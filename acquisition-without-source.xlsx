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360" yWindow="15" windowWidth="20955" windowHeight="9720" tabRatio="600" firstSheet="0" activeTab="2" autoFilterDateGrouping="1"/>
  </bookViews>
  <sheets>
    <sheet xmlns:r="http://schemas.openxmlformats.org/officeDocument/2006/relationships" name="Read me first" sheetId="1" state="visible" r:id="rId1"/>
    <sheet xmlns:r="http://schemas.openxmlformats.org/officeDocument/2006/relationships" name="Summary" sheetId="2" state="visible" r:id="rId2"/>
    <sheet xmlns:r="http://schemas.openxmlformats.org/officeDocument/2006/relationships" name="No source" sheetId="3" state="visible" r:id="rId3"/>
    <sheet xmlns:r="http://schemas.openxmlformats.org/officeDocument/2006/relationships" name="Archive" sheetId="4" state="visible" r:id="rId4"/>
  </sheets>
  <definedNames>
    <definedName name="_xlnm.Print_Titles" localSheetId="1">'Summary'!$1:$1</definedName>
    <definedName name="_xlnm._FilterDatabase" localSheetId="2" hidden="1">'No source'!$A$1:$P$1</definedName>
    <definedName name="_xlnm.Print_Titles" localSheetId="2">'No source'!$1:$1</definedName>
    <definedName name="_xlnm._FilterDatabase" localSheetId="3" hidden="1">'Archive'!$A$1:$O$1973</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b val="1"/>
      <sz val="14"/>
    </font>
    <font>
      <sz val="11"/>
    </font>
    <font>
      <b val="1"/>
      <sz val="11"/>
    </font>
    <font>
      <name val="Arial"/>
      <b val="1"/>
      <sz val="16"/>
    </font>
    <font>
      <name val="Arial"/>
      <sz val="11"/>
    </font>
    <font>
      <name val="Arial"/>
      <color rgb="FF9C5700"/>
      <sz val="10"/>
    </font>
    <font>
      <name val="Arial"/>
      <i val="1"/>
      <color rgb="FF666666"/>
      <sz val="10"/>
    </font>
    <font>
      <name val="Arial"/>
      <b val="1"/>
      <sz val="12"/>
    </font>
    <font>
      <name val="Arial"/>
      <b val="1"/>
      <color indexed="65"/>
      <sz val="11"/>
    </font>
    <font>
      <name val="Arial"/>
      <sz val="10"/>
    </font>
    <font>
      <i val="1"/>
    </font>
    <font>
      <b val="1"/>
    </font>
    <font>
      <name val="Calibri"/>
      <color theme="10"/>
      <sz val="11"/>
      <u val="single"/>
    </font>
  </fonts>
  <fills count="5">
    <fill>
      <patternFill/>
    </fill>
    <fill>
      <patternFill patternType="gray125"/>
    </fill>
    <fill>
      <patternFill patternType="solid">
        <fgColor rgb="FFFFF2CC"/>
      </patternFill>
    </fill>
    <fill>
      <patternFill patternType="solid">
        <fgColor rgb="FF1F4E79"/>
      </patternFill>
    </fill>
    <fill>
      <patternFill patternType="solid">
        <fgColor rgb="FFC65911"/>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pivotButton="0" quotePrefix="0" xfId="0"/>
    <xf numFmtId="0" fontId="5" fillId="0" borderId="0" applyAlignment="1" pivotButton="0" quotePrefix="0" xfId="0">
      <alignment vertical="top" wrapText="1"/>
    </xf>
    <xf numFmtId="0" fontId="5" fillId="0" borderId="0" pivotButton="0" quotePrefix="0" xfId="0"/>
    <xf numFmtId="0" fontId="6" fillId="2" borderId="0" applyProtection="1" pivotButton="0" quotePrefix="0" xfId="0">
      <protection locked="0" hidden="0"/>
    </xf>
    <xf numFmtId="0" fontId="7" fillId="0" borderId="0" pivotButton="0" quotePrefix="0" xfId="0"/>
    <xf numFmtId="0" fontId="5" fillId="0" borderId="0" applyAlignment="1" pivotButton="0" quotePrefix="0" xfId="0">
      <alignment wrapText="1"/>
    </xf>
    <xf numFmtId="0" fontId="8" fillId="0" borderId="0" pivotButton="0" quotePrefix="0" xfId="0"/>
    <xf numFmtId="0" fontId="9" fillId="3" borderId="0" pivotButton="0" quotePrefix="0" xfId="0"/>
    <xf numFmtId="0" fontId="10" fillId="0" borderId="0" pivotButton="0" quotePrefix="0" xfId="0"/>
    <xf numFmtId="0" fontId="11" fillId="0" borderId="0" pivotButton="0" quotePrefix="0" xfId="0"/>
    <xf numFmtId="0" fontId="0" fillId="0" borderId="0" applyAlignment="1" pivotButton="0" quotePrefix="0" xfId="0">
      <alignment wrapText="1"/>
    </xf>
    <xf numFmtId="0" fontId="12" fillId="3" borderId="0" applyAlignment="1" pivotButton="0" quotePrefix="0" xfId="0">
      <alignment vertical="top" wrapText="1"/>
    </xf>
    <xf numFmtId="0" fontId="12" fillId="4" borderId="0" applyAlignment="1" pivotButton="0" quotePrefix="0" xfId="0">
      <alignment vertical="top" wrapText="1"/>
    </xf>
    <xf numFmtId="0" fontId="9" fillId="3" borderId="0" applyAlignment="1" pivotButton="0" quotePrefix="0" xfId="0">
      <alignment vertical="center" wrapText="1"/>
    </xf>
    <xf numFmtId="0" fontId="12" fillId="0" borderId="0" applyAlignment="1" pivotButton="0" quotePrefix="0" xfId="0">
      <alignment vertical="top" wrapText="1"/>
    </xf>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tc={FE35F143-10F1-4BA6-BC12-4B255C05CE9D}</author>
  </authors>
  <commentList>
    <comment ref="C1" authorId="0" shapeId="0">
      <text>
        <t xml:space="preserve">tc={0F07881B-F360-4B12-8292-2774E4EEA15F}:
tc={DA89FB35-D823-4374-8984-DA233CFF8BE8}:
tc={16DF678B-FB16-4500-B9A3-21DD9DB67113}:
tc={0447D6BF-39D8-4769-B79F-207BD73C7306}:
tc={6BACB511-0ECF-4BF2-84B9-D4EDF81EB8AA}:
tc={3E8BDE92-07EE-4CB7-B49D-A9646B0EFF4F}:
tc={996843CC-6574-4681-BED7-DC35593140EF}:
Orbiter:
Type the place this path comes from. This is the only column to edit. The path in column A is the key.
</t>
      </text>
    </comment>
  </commentList>
</comment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applyStyles="0" summaryBelow="1" summaryRight="1" showOutlineSymbols="1"/>
    <pageSetUpPr autoPageBreaks="1" fitToPage="0"/>
  </sheetPr>
  <dimension ref="A1:A18"/>
  <sheetViews>
    <sheetView zoomScale="100" workbookViewId="0">
      <selection activeCell="A1" activeCellId="0" sqref="A1"/>
    </sheetView>
  </sheetViews>
  <sheetFormatPr baseColWidth="8" defaultRowHeight="15"/>
  <cols>
    <col width="110" customWidth="1" min="1" max="1"/>
  </cols>
  <sheetData>
    <row r="1">
      <c r="A1" s="1" t="inlineStr">
        <is>
          <t>Read me first</t>
        </is>
      </c>
    </row>
    <row r="3">
      <c r="A3" s="2" t="inlineStr">
        <is>
          <t>Yellow column = your answer. Type where the item comes from when you know it. We will not overwrite that.</t>
        </is>
      </c>
    </row>
    <row r="5">
      <c r="A5" s="3" t="inlineStr">
        <is>
          <t>Two different 'where it comes from' columns</t>
        </is>
      </c>
    </row>
    <row r="6">
      <c r="A6" s="2" t="inlineStr">
        <is>
          <t>From wiki tables = we pulled it from the wiki's big data lists (shops, drop tables).</t>
        </is>
      </c>
    </row>
    <row r="7">
      <c r="A7" s="2" t="inlineStr">
        <is>
          <t>From wiki pages = we searched the item name, opened a page, and copied the line next to the name.</t>
        </is>
      </c>
    </row>
    <row r="9">
      <c r="A9" s="3" t="inlineStr">
        <is>
          <t>What we found (the status column)</t>
        </is>
      </c>
    </row>
    <row r="10">
      <c r="A10" s="2" t="inlineStr">
        <is>
          <t>• We already know where it comes from → use the wiki-tables column. You can accept that.</t>
        </is>
      </c>
    </row>
    <row r="11">
      <c r="A11" s="2" t="inlineStr">
        <is>
          <t>• We copied where it comes from off the wiki page → use the wiki-pages column.</t>
        </is>
      </c>
    </row>
    <row r="12">
      <c r="A12" s="2" t="inlineStr">
        <is>
          <t>• More than one answer → the wiki-pages column has two places separated by |. You pick.</t>
        </is>
      </c>
    </row>
    <row r="13">
      <c r="A13" s="2" t="inlineStr">
        <is>
          <t>• Page mentions the name but never says where to get it → dead end on that page.</t>
        </is>
      </c>
    </row>
    <row r="14">
      <c r="A14" s="2" t="inlineStr">
        <is>
          <t>• No wiki page uses this exact name → search will not help until the name is fixed.</t>
        </is>
      </c>
    </row>
    <row r="15">
      <c r="A15" s="2" t="inlineStr">
        <is>
          <t>• No name in the game files → cannot search.</t>
        </is>
      </c>
    </row>
    <row r="17">
      <c r="A17" s="3" t="inlineStr">
        <is>
          <t>Why still on this list</t>
        </is>
      </c>
    </row>
    <row r="18">
      <c r="A18" s="2" t="inlineStr">
        <is>
          <t>That column is older bookkeeping from when we tried to attach wiki page titles. It is not the same as 'where it drops.' Prefer 'What we found' and the two place columns.</t>
        </is>
      </c>
    </row>
  </sheetData>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applyStyles="0" summaryBelow="1" summaryRight="1" showOutlineSymbols="1"/>
    <pageSetUpPr autoPageBreaks="1" fitToPage="1"/>
  </sheetPr>
  <dimension ref="A1:D27"/>
  <sheetViews>
    <sheetView showGridLines="0" topLeftCell="A1" zoomScale="100" workbookViewId="0">
      <pane ySplit="4" topLeftCell="A5" activePane="bottomLeft" state="frozen"/>
      <selection activeCell="A1" activeCellId="0" sqref="A1"/>
    </sheetView>
  </sheetViews>
  <sheetFormatPr baseColWidth="8" defaultRowHeight="14.25"/>
  <cols>
    <col width="42" customWidth="1" min="1" max="1"/>
    <col width="88" customWidth="1" min="2" max="2"/>
    <col width="78" customWidth="1" min="3" max="3"/>
    <col width="24" customWidth="1" min="4" max="4"/>
  </cols>
  <sheetData>
    <row r="1" ht="19.5" customHeight="1">
      <c r="A1" s="4" t="inlineStr">
        <is>
          <t>Items with no acquisition source</t>
        </is>
      </c>
    </row>
    <row r="3" ht="48" customHeight="1">
      <c r="A3" s="5" t="inlineStr">
        <is>
          <t>Edit the yellow cells only. On No source, column C is where you type the place a path comes from. Column J is a place copied from the fresh wiki module files. Column K is the module that lists the item when no place was named.</t>
        </is>
      </c>
    </row>
    <row r="5">
      <c r="A5" s="6" t="inlineStr">
        <is>
          <t>Paste a path</t>
        </is>
      </c>
      <c r="B5" s="7" t="n"/>
      <c r="C5" s="8" t="inlineStr">
        <is>
          <t>Yellow cell. Paste a path from column A.</t>
        </is>
      </c>
    </row>
    <row r="6">
      <c r="A6" s="6" t="inlineStr">
        <is>
          <t>Official name</t>
        </is>
      </c>
      <c r="B6" s="9">
        <f>IF(B5="","",IFERROR(INDEX('No source'!B:B,MATCH(B5,'No source'!A:A,0)),"That path is not on the No source sheet"))</f>
        <v/>
      </c>
    </row>
    <row r="7" ht="15" customHeight="1">
      <c r="A7" s="10" t="inlineStr">
        <is>
          <t>Where it comes from</t>
        </is>
      </c>
      <c r="B7" s="6">
        <f>IF(B5="","",IFERROR(INDEX('No source'!C:C,MATCH(B5,'No source'!A:A,0)),""))</f>
        <v/>
      </c>
      <c r="C7" s="6" t="inlineStr">
        <is>
          <t>This shows what you typed in column C for that path.</t>
        </is>
      </c>
    </row>
    <row r="9" ht="15" customHeight="1">
      <c r="A9" s="6" t="inlineStr">
        <is>
          <t>Rows</t>
        </is>
      </c>
      <c r="B9" s="10">
        <f>COUNTA('No source'!A2:A2006)</f>
        <v/>
      </c>
    </row>
    <row r="10">
      <c r="A10" s="6" t="inlineStr">
        <is>
          <t>With an official name</t>
        </is>
      </c>
      <c r="B10" s="6">
        <f>COUNTIF('No source'!B2:B2006,"&lt;&gt;")</f>
        <v/>
      </c>
    </row>
    <row r="11">
      <c r="A11" s="6" t="inlineStr">
        <is>
          <t>Path only, no official name</t>
        </is>
      </c>
      <c r="B11" s="6">
        <f>B9-B10</f>
        <v/>
      </c>
    </row>
    <row r="12" ht="15" customHeight="1">
      <c r="A12" s="6" t="inlineStr">
        <is>
          <t>Places you have typed</t>
        </is>
      </c>
      <c r="B12" s="10">
        <f>COUNTIF('No source'!C2:C2006,"&lt;&gt;")</f>
        <v/>
      </c>
    </row>
    <row r="13" ht="15" customHeight="1">
      <c r="A13" s="6" t="inlineStr">
        <is>
          <t>Places from modules</t>
        </is>
      </c>
      <c r="B13" s="10">
        <f>COUNTIF('No source'!J2:J2006,"&lt;&gt;")</f>
        <v/>
      </c>
    </row>
    <row r="14">
      <c r="A14" s="6" t="inlineStr">
        <is>
          <t>Listed, no place</t>
        </is>
      </c>
      <c r="B14" s="6">
        <f>COUNTIFS('No source'!J2:J2006,"",'No source'!L2:L2006,"listed, no place")</f>
        <v/>
      </c>
    </row>
    <row r="15">
      <c r="A15" s="8" t="inlineStr">
        <is>
          <t>Path</t>
        </is>
      </c>
      <c r="B15" s="8" t="inlineStr">
        <is>
          <t>/Lotus/Types/Game/Projections/T3VoidProjectionSevagothHydroidVaultAPlatinum</t>
        </is>
      </c>
    </row>
    <row r="16">
      <c r="A16" s="8" t="inlineStr">
        <is>
          <t>Where it comes from</t>
        </is>
      </c>
      <c r="B16" s="8" t="inlineStr">
        <is>
          <t>the place, written the way you want to read it later</t>
        </is>
      </c>
    </row>
    <row r="17">
      <c r="A17" s="8" t="inlineStr">
        <is>
          <t>Example only. That path is not filled in on the list.</t>
        </is>
      </c>
    </row>
    <row r="18">
      <c r="A18" s="11" t="inlineStr">
        <is>
          <t>Category</t>
        </is>
      </c>
      <c r="B18" s="11" t="inlineStr">
        <is>
          <t>Rows</t>
        </is>
      </c>
    </row>
    <row r="19">
      <c r="A19" s="12" t="inlineStr">
        <is>
          <t>ExportArcanes</t>
        </is>
      </c>
      <c r="B19" s="12">
        <f>COUNTIF('No source'!D:D,A19)</f>
        <v/>
      </c>
    </row>
    <row r="20">
      <c r="A20" s="13" t="inlineStr">
        <is>
          <t>ExportCustoms</t>
        </is>
      </c>
      <c r="B20" s="12">
        <f>COUNTIF('No source'!D:D,A20)</f>
        <v/>
      </c>
    </row>
    <row r="21">
      <c r="A21" s="12" t="inlineStr">
        <is>
          <t>ExportGear</t>
        </is>
      </c>
      <c r="B21" s="12">
        <f>COUNTIF('No source'!D:D,A21)</f>
        <v/>
      </c>
    </row>
    <row r="22">
      <c r="A22" s="12" t="inlineStr">
        <is>
          <t>ExportRelics</t>
        </is>
      </c>
      <c r="B22" s="12">
        <f>COUNTIF('No source'!D:D,A22)</f>
        <v/>
      </c>
    </row>
    <row r="23">
      <c r="A23" s="12" t="inlineStr">
        <is>
          <t>ExportResources</t>
        </is>
      </c>
      <c r="B23" s="12">
        <f>COUNTIF('No source'!D:D,A23)</f>
        <v/>
      </c>
    </row>
    <row r="24">
      <c r="A24" s="12" t="inlineStr">
        <is>
          <t>ExportSentinels</t>
        </is>
      </c>
      <c r="B24" s="12">
        <f>COUNTIF('No source'!D:D,A24)</f>
        <v/>
      </c>
    </row>
    <row r="25">
      <c r="A25" s="12" t="inlineStr">
        <is>
          <t>ExportUpgrades</t>
        </is>
      </c>
      <c r="B25" s="12">
        <f>COUNTIF('No source'!D:D,A25)</f>
        <v/>
      </c>
    </row>
    <row r="26">
      <c r="A26" s="12" t="inlineStr">
        <is>
          <t>ExportWeapons</t>
        </is>
      </c>
      <c r="B26" s="12">
        <f>COUNTIF('No source'!D:D,A26)</f>
        <v/>
      </c>
    </row>
    <row r="27" ht="15" customHeight="1">
      <c r="A27" s="10" t="inlineStr">
        <is>
          <t>Total</t>
        </is>
      </c>
      <c r="B27" s="10">
        <f>SUM(B19:B26)</f>
        <v/>
      </c>
    </row>
  </sheetData>
  <mergeCells count="1">
    <mergeCell ref="A3:D3"/>
  </mergeCells>
  <printOptions headings="0" gridLines="0"/>
  <pageMargins left="0.75" right="0.75" top="1" bottom="1" header="0.5" footer="0.5"/>
  <pageSetup orientation="landscape" paperSize="3" scale="100" fitToHeight="1" fitToWidth="1" useFirstPageNumber="0" pageOrder="downThenOver" usePrinterDefaults="1" blackAndWhite="0" draft="0" errors="displayed" horizontalDpi="600" verticalDpi="600" copies="1"/>
  <headerFooter>
    <oddHeader/>
    <oddFooter>&amp;RPage &amp;P of &amp;N</oddFooter>
    <evenHeader/>
    <evenFooter/>
    <firstHeader/>
    <firstFooter/>
  </headerFooter>
</worksheet>
</file>

<file path=xl/worksheets/sheet3.xml><?xml version="1.0" encoding="utf-8"?>
<worksheet xmlns="http://schemas.openxmlformats.org/spreadsheetml/2006/main">
  <sheetPr>
    <outlinePr applyStyles="0" summaryBelow="1" summaryRight="1" showOutlineSymbols="1"/>
    <pageSetUpPr autoPageBreaks="1" fitToPage="1"/>
  </sheetPr>
  <dimension ref="A1:P1"/>
  <sheetViews>
    <sheetView showGridLines="0" topLeftCell="A1" zoomScale="100" workbookViewId="0">
      <pane ySplit="1" topLeftCell="A2" activePane="bottomLeft" state="frozen"/>
      <selection activeCell="A1" activeCellId="0" sqref="A1"/>
    </sheetView>
  </sheetViews>
  <sheetFormatPr baseColWidth="8" defaultRowHeight="14.25"/>
  <cols>
    <col width="78" customWidth="1" min="1" max="1"/>
    <col width="24.140625" customWidth="1" min="2" max="2"/>
    <col width="42" customWidth="1" min="3" max="3"/>
    <col width="15.140625" bestFit="1" customWidth="1" min="4" max="4"/>
    <col hidden="1" width="16" customWidth="1" min="5" max="5"/>
    <col width="25.28125" customWidth="1" min="6" max="6"/>
    <col width="28" customWidth="1" min="7" max="7"/>
    <col width="44" customWidth="1" min="8" max="8"/>
    <col width="18" customWidth="1" min="9" max="9"/>
    <col width="56" customWidth="1" min="10" max="10"/>
    <col width="36" customWidth="1" min="11" max="11"/>
    <col width="18" customWidth="1" min="12" max="12"/>
    <col width="13" customWidth="1" min="13" max="14"/>
    <col width="38.57421875" customWidth="1" style="14" min="15" max="15"/>
    <col width="231.00390625" bestFit="1" customWidth="1" min="16" max="16"/>
  </cols>
  <sheetData>
    <row r="1" ht="30" customHeight="1">
      <c r="A1" s="15" t="inlineStr">
        <is>
          <t>Item id</t>
        </is>
      </c>
      <c r="B1" s="15" t="inlineStr">
        <is>
          <t>Game name</t>
        </is>
      </c>
      <c r="C1" s="16" t="inlineStr">
        <is>
          <t>Your answer (type here)</t>
        </is>
      </c>
      <c r="D1" s="17" t="inlineStr">
        <is>
          <t>Category</t>
        </is>
      </c>
      <c r="E1" s="17" t="inlineStr">
        <is>
          <t>Refinement</t>
        </is>
      </c>
      <c r="F1" s="17" t="inlineStr">
        <is>
          <t>Previous export name</t>
        </is>
      </c>
      <c r="G1" s="15" t="inlineStr">
        <is>
          <t>Wiki page title</t>
        </is>
      </c>
      <c r="H1" s="15" t="inlineStr">
        <is>
          <t>Why still on this list</t>
        </is>
      </c>
      <c r="I1" s="17" t="inlineStr">
        <is>
          <t>Name source</t>
        </is>
      </c>
      <c r="J1" s="15" t="inlineStr">
        <is>
          <t>Where it comes from (from wiki tables)</t>
        </is>
      </c>
      <c r="K1" s="15" t="inlineStr">
        <is>
          <t>Which wiki table</t>
        </is>
      </c>
      <c r="L1" s="15" t="inlineStr">
        <is>
          <t>How we matched the name</t>
        </is>
      </c>
      <c r="M1" s="18" t="inlineStr">
        <is>
          <t>Where it comes from (from wiki pages)</t>
        </is>
      </c>
      <c r="N1" s="18" t="inlineStr">
        <is>
          <t>Wiki pages we checked</t>
        </is>
      </c>
      <c r="O1" s="18" t="inlineStr">
        <is>
          <t>What we found</t>
        </is>
      </c>
      <c r="P1" s="14" t="inlineStr">
        <is>
          <t>App acquisition lead</t>
        </is>
      </c>
    </row>
    <row r="2" ht="25.5" customHeight="1"/>
    <row r="3" ht="28.5" customHeight="1"/>
    <row r="4" ht="28.5" customHeight="1"/>
    <row r="5" ht="28.5" customHeight="1"/>
    <row r="6" ht="28.5" customHeight="1"/>
    <row r="7" ht="25.5" customHeight="1"/>
    <row r="8" ht="25.5" customHeight="1"/>
    <row r="9" ht="25.5" customHeight="1"/>
    <row r="10" ht="25.5" customHeight="1"/>
    <row r="11" ht="28.5" customHeight="1"/>
    <row r="12" ht="28.5" customHeight="1"/>
    <row r="13" ht="28.5" customHeight="1"/>
    <row r="14" ht="28.5" customHeight="1"/>
    <row r="15" ht="25.5" customHeight="1"/>
    <row r="16" ht="28.5" customHeight="1"/>
    <row r="17" ht="28.5" customHeight="1"/>
    <row r="18" ht="28.5" customHeight="1"/>
    <row r="19" ht="28.5" customHeight="1"/>
    <row r="20" ht="28.5" customHeight="1"/>
    <row r="21" ht="25.5" customHeight="1"/>
    <row r="22" ht="28.5" customHeight="1"/>
    <row r="23" ht="28.5" customHeight="1"/>
    <row r="24" ht="28.5" customHeight="1"/>
    <row r="25" ht="28.5" customHeight="1"/>
    <row r="26" ht="28.5" customHeight="1"/>
    <row r="27" ht="28.5" customHeight="1"/>
    <row r="28" ht="28.5" customHeight="1"/>
    <row r="29" ht="28.5" customHeight="1"/>
    <row r="30" ht="25.5" customHeight="1"/>
    <row r="31" ht="28.5" customHeight="1"/>
    <row r="32" ht="28.5" customHeight="1"/>
    <row r="33" ht="28.5" customHeight="1"/>
    <row r="34" ht="28.5" customHeight="1"/>
    <row r="35" ht="28.5" customHeight="1"/>
    <row r="36" ht="28.5" customHeight="1"/>
    <row r="37" ht="28.5" customHeight="1"/>
    <row r="38" ht="28.5" customHeight="1"/>
    <row r="39" ht="28.5" customHeight="1"/>
    <row r="40" ht="28.5" customHeight="1"/>
    <row r="41" ht="25.5" customHeight="1"/>
    <row r="42" ht="28.5" customHeight="1"/>
    <row r="43" ht="25.5" customHeight="1"/>
    <row r="44" ht="25.5" customHeight="1"/>
    <row r="45" ht="25.5" customHeight="1"/>
    <row r="46" ht="42.75" customHeight="1"/>
    <row r="47" ht="28.5" customHeight="1"/>
    <row r="48" ht="28.5" customHeight="1"/>
    <row r="49" ht="28.5" customHeight="1"/>
    <row r="50" ht="28.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8.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row r="2001" hidden="1"/>
    <row r="2002" hidden="1"/>
    <row r="2003" hidden="1"/>
    <row r="2004" hidden="1"/>
    <row r="2005" hidden="1"/>
    <row r="2006" hidden="1"/>
    <row r="2007" hidden="1"/>
    <row r="2008" hidden="1"/>
    <row r="2009" hidden="1"/>
    <row r="2010" hidden="1"/>
    <row r="2011" hidden="1"/>
    <row r="2012" hidden="1"/>
    <row r="2013" hidden="1"/>
    <row r="2014" hidden="1"/>
  </sheetData>
  <autoFilter ref="A1:P1"/>
  <printOptions headings="0" gridLines="0"/>
  <pageMargins left="0.75" right="0.75" top="1" bottom="1" header="0.5" footer="0.5"/>
  <pageSetup orientation="landscape" paperSize="3" scale="100" fitToHeight="0" fitToWidth="1" useFirstPageNumber="0" pageOrder="downThenOver" usePrinterDefaults="1" blackAndWhite="0" draft="0" errors="displayed" horizontalDpi="600" verticalDpi="600" copies="1"/>
  <headerFooter>
    <oddHeader>&amp;LType sources in the yellow column</oddHeader>
    <oddFooter>&amp;RPage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applyStyles="0" summaryBelow="1" summaryRight="1" showOutlineSymbols="1"/>
    <pageSetUpPr autoPageBreaks="1" fitToPage="0"/>
  </sheetPr>
  <dimension ref="A1:O1973"/>
  <sheetViews>
    <sheetView zoomScale="100" workbookViewId="0">
      <pane ySplit="1" topLeftCell="A2" activePane="bottomLeft" state="frozen"/>
      <selection activeCell="A1" activeCellId="0" sqref="A1"/>
    </sheetView>
  </sheetViews>
  <sheetFormatPr baseColWidth="8" defaultRowHeight="15"/>
  <cols>
    <col width="78" customWidth="1" min="1" max="1"/>
    <col width="24.140625" customWidth="1" min="2" max="2"/>
    <col width="42" customWidth="1" min="3" max="3"/>
    <col width="15.140625" customWidth="1" min="4" max="4"/>
    <col width="16" customWidth="1" min="5" max="5"/>
    <col width="25.28125" customWidth="1" min="6" max="6"/>
    <col width="28" customWidth="1" min="7" max="7"/>
    <col width="44" customWidth="1" min="8" max="8"/>
    <col width="18" customWidth="1" min="9" max="9"/>
    <col width="56" customWidth="1" min="10" max="10"/>
    <col width="36" customWidth="1" min="11" max="11"/>
    <col width="18" customWidth="1" min="12" max="12"/>
    <col width="13" customWidth="1" min="13" max="14"/>
    <col width="52" customWidth="1" min="15" max="15"/>
  </cols>
  <sheetData>
    <row r="1">
      <c r="A1" s="15" t="inlineStr">
        <is>
          <t>Item id</t>
        </is>
      </c>
      <c r="B1" s="15" t="inlineStr">
        <is>
          <t>Game name</t>
        </is>
      </c>
      <c r="C1" s="16" t="inlineStr">
        <is>
          <t>Your answer (type here)</t>
        </is>
      </c>
      <c r="D1" s="17" t="inlineStr">
        <is>
          <t>Category</t>
        </is>
      </c>
      <c r="E1" s="17" t="inlineStr">
        <is>
          <t>Refinement</t>
        </is>
      </c>
      <c r="F1" s="17" t="inlineStr">
        <is>
          <t>Previous export name</t>
        </is>
      </c>
      <c r="G1" s="15" t="inlineStr">
        <is>
          <t>Wiki page title</t>
        </is>
      </c>
      <c r="H1" s="15" t="inlineStr">
        <is>
          <t>Why still on this list</t>
        </is>
      </c>
      <c r="I1" s="17" t="inlineStr">
        <is>
          <t>Name source</t>
        </is>
      </c>
      <c r="J1" s="15" t="inlineStr">
        <is>
          <t>Where it comes from (from wiki tables)</t>
        </is>
      </c>
      <c r="K1" s="15" t="inlineStr">
        <is>
          <t>Which wiki table</t>
        </is>
      </c>
      <c r="L1" s="15" t="inlineStr">
        <is>
          <t>How we matched the name</t>
        </is>
      </c>
      <c r="M1" s="18" t="inlineStr">
        <is>
          <t>Where it comes from (from wiki pages)</t>
        </is>
      </c>
      <c r="N1" s="18" t="inlineStr">
        <is>
          <t>Wiki pages we checked</t>
        </is>
      </c>
      <c r="O1" s="18" t="inlineStr">
        <is>
          <t>What we found</t>
        </is>
      </c>
    </row>
    <row r="2">
      <c r="A2" t="inlineStr">
        <is>
          <t>/Lotus/Upgrades/Skins/Promo/Seasonal/DogDays2025BadgeItem</t>
        </is>
      </c>
      <c r="B2" t="inlineStr">
        <is>
          <t>Aqua Heart Emblem</t>
        </is>
      </c>
      <c r="C2" t="inlineStr">
        <is>
          <t>https://wiki.warframe.com/w/Dog_Days | https://wiki.warframe.com/w/Emblems</t>
        </is>
      </c>
      <c r="D2" t="inlineStr">
        <is>
          <t>ExportCustoms</t>
        </is>
      </c>
      <c r="F2" t="inlineStr">
        <is>
          <t>Aqua Heart Emblem</t>
        </is>
      </c>
      <c r="H2" t="inlineStr">
        <is>
          <t>Solved: current place verified and archived 2026-10-16.</t>
        </is>
      </c>
      <c r="I2" t="inlineStr">
        <is>
          <t>Customs</t>
        </is>
      </c>
      <c r="J2" t="inlineStr">
        <is>
          <t>ExportCustoms_ground_truth</t>
        </is>
      </c>
      <c r="K2" t="inlineStr">
        <is>
          <t>name or path</t>
        </is>
      </c>
      <c r="M2" t="inlineStr">
        <is>
          <t>Purchase from the Dog Days event store for 75 Nakak Pearls.</t>
        </is>
      </c>
      <c r="N2" t="inlineStr">
        <is>
          <t>Dog Days | Emblems</t>
        </is>
      </c>
      <c r="O2" t="inlineStr">
        <is>
          <t>We copied where it comes from off the wiki page. See place from wiki page.</t>
        </is>
      </c>
    </row>
    <row r="3">
      <c r="A3" t="inlineStr">
        <is>
          <t>/Lotus/Upgrades/Skins/Operator/Accessories/YontaCrownFacialAcc</t>
        </is>
      </c>
      <c r="B3" t="inlineStr">
        <is>
          <t>Archimedean Diadem</t>
        </is>
      </c>
      <c r="C3" t="inlineStr">
        <is>
          <t>https://wiki.warframe.com/w/Operation:_Atramentum | https://wiki.warframe.com/w/Operator/Customization</t>
        </is>
      </c>
      <c r="D3" t="inlineStr">
        <is>
          <t>ExportCustoms</t>
        </is>
      </c>
      <c r="F3" t="inlineStr">
        <is>
          <t>Archimedean Diadem</t>
        </is>
      </c>
      <c r="H3" t="inlineStr">
        <is>
          <t>Solved: current place verified and archived 2026-10-16.</t>
        </is>
      </c>
      <c r="I3" t="inlineStr">
        <is>
          <t>Customs</t>
        </is>
      </c>
      <c r="J3" t="inlineStr">
        <is>
          <t>Cosmetics_data, Cosmetics_userdata, ExportCustoms_ground_truth</t>
        </is>
      </c>
      <c r="K3" t="inlineStr">
        <is>
          <t>name or path</t>
        </is>
      </c>
      <c r="M3" t="inlineStr">
        <is>
          <t>Purchase from the Operation: Atramentum offerings for 60 Nightmare Tatters.</t>
        </is>
      </c>
      <c r="N3" t="inlineStr">
        <is>
          <t>Operation: Atramentum | Operator/Customization</t>
        </is>
      </c>
      <c r="O3" t="inlineStr">
        <is>
          <t>We copied where it comes from off the wiki page. See place from wiki page.</t>
        </is>
      </c>
    </row>
    <row r="4">
      <c r="A4" t="inlineStr">
        <is>
          <t>/Lotus/Upgrades/Skins/MeleeDangles/AtomicycleKeychainMeleeDangle</t>
        </is>
      </c>
      <c r="B4" t="inlineStr">
        <is>
          <t>Atomicycle Key Sugatra</t>
        </is>
      </c>
      <c r="C4" t="inlineStr">
        <is>
          <t>https://wiki.warframe.com/w/Sugatra | https://wiki.warframe.com/w/Amir</t>
        </is>
      </c>
      <c r="D4" t="inlineStr">
        <is>
          <t>ExportCustoms</t>
        </is>
      </c>
      <c r="F4" t="inlineStr">
        <is>
          <t>Atomicycle Key Sugatra</t>
        </is>
      </c>
      <c r="H4" t="inlineStr">
        <is>
          <t>Solved: current place verified and archived 2026-10-16.</t>
        </is>
      </c>
      <c r="I4" t="inlineStr">
        <is>
          <t>Customs</t>
        </is>
      </c>
      <c r="J4" t="inlineStr">
        <is>
          <t>ExportCustoms_ground_truth</t>
        </is>
      </c>
      <c r="K4" t="inlineStr">
        <is>
          <t>name or path</t>
        </is>
      </c>
      <c r="M4" t="inlineStr">
        <is>
          <t>Purchase from Amir's Fables &amp; Frontiers store for 20,000 The Hex Standing.</t>
        </is>
      </c>
      <c r="N4" t="inlineStr">
        <is>
          <t>Sugatra | Amir</t>
        </is>
      </c>
      <c r="O4" t="inlineStr">
        <is>
          <t>We copied where it comes from off the wiki page. See place from wiki page.</t>
        </is>
      </c>
    </row>
    <row r="5">
      <c r="A5" t="inlineStr">
        <is>
          <t>/Lotus/Upgrades/Skins/Clan/ShadowgrapherEventBadgeItem</t>
        </is>
      </c>
      <c r="B5" t="inlineStr">
        <is>
          <t>Atramentum Emblem</t>
        </is>
      </c>
      <c r="C5" t="inlineStr">
        <is>
          <t>https://wiki.warframe.com/w/Operation:_Atramentum | https://wiki.warframe.com/w/Emblems</t>
        </is>
      </c>
      <c r="D5" t="inlineStr">
        <is>
          <t>ExportCustoms</t>
        </is>
      </c>
      <c r="F5" t="inlineStr">
        <is>
          <t>Atramentum Emblem</t>
        </is>
      </c>
      <c r="H5" t="inlineStr">
        <is>
          <t>Solved: current place verified and archived 2026-10-16.</t>
        </is>
      </c>
      <c r="I5" t="inlineStr">
        <is>
          <t>Customs</t>
        </is>
      </c>
      <c r="J5" t="inlineStr">
        <is>
          <t>ExportCustoms_ground_truth</t>
        </is>
      </c>
      <c r="K5" t="inlineStr">
        <is>
          <t>name or path</t>
        </is>
      </c>
      <c r="M5" t="inlineStr">
        <is>
          <t>Purchase from the Operation: Atramentum offerings for 40 Nightmare Tatters.</t>
        </is>
      </c>
      <c r="N5" t="inlineStr">
        <is>
          <t>Operation: Atramentum | Emblems</t>
        </is>
      </c>
      <c r="O5" t="inlineStr">
        <is>
          <t>We copied where it comes from off the wiki page. See place from wiki page.</t>
        </is>
      </c>
    </row>
    <row r="6">
      <c r="A6" t="inlineStr">
        <is>
          <t>/Lotus/Upgrades/Skins/Operator/MakeupMasks/MakeupMaskH</t>
        </is>
      </c>
      <c r="B6" t="inlineStr">
        <is>
          <t>Balika Look</t>
        </is>
      </c>
      <c r="C6" t="inlineStr">
        <is>
          <t>https://wiki.warframe.com/w/Operator/Customization</t>
        </is>
      </c>
      <c r="D6" t="inlineStr">
        <is>
          <t>ExportCustoms</t>
        </is>
      </c>
      <c r="F6" t="inlineStr">
        <is>
          <t>Balika Look</t>
        </is>
      </c>
      <c r="H6" t="inlineStr">
        <is>
          <t>Solved: current place verified and archived 2026-10-16.</t>
        </is>
      </c>
      <c r="I6" t="inlineStr">
        <is>
          <t>Customs</t>
        </is>
      </c>
      <c r="J6" t="inlineStr">
        <is>
          <t>ExportCustoms_ground_truth</t>
        </is>
      </c>
      <c r="K6" t="inlineStr">
        <is>
          <t>name or path</t>
        </is>
      </c>
      <c r="M6" t="inlineStr">
        <is>
          <t>Unlocked by default in Operator appearance customization.</t>
        </is>
      </c>
      <c r="N6" t="inlineStr">
        <is>
          <t>Operator/Customization</t>
        </is>
      </c>
      <c r="O6" t="inlineStr">
        <is>
          <t>Saved a concrete acquisition place from the official Warframe Wiki. Operator/Customization Makeup gallery marks it (default).</t>
        </is>
      </c>
    </row>
    <row r="7">
      <c r="A7" t="inlineStr">
        <is>
          <t>/Lotus/Upgrades/Skins/Operator/MakeupMasks/MakeupMaskA</t>
        </is>
      </c>
      <c r="B7" t="inlineStr">
        <is>
          <t>Bavana Look</t>
        </is>
      </c>
      <c r="C7" t="inlineStr">
        <is>
          <t>https://wiki.warframe.com/w/Operator/Customization</t>
        </is>
      </c>
      <c r="D7" t="inlineStr">
        <is>
          <t>ExportCustoms</t>
        </is>
      </c>
      <c r="F7" t="inlineStr">
        <is>
          <t>Bavana Look</t>
        </is>
      </c>
      <c r="H7" t="inlineStr">
        <is>
          <t>Solved: current place verified and archived 2026-10-16.</t>
        </is>
      </c>
      <c r="I7" t="inlineStr">
        <is>
          <t>Customs</t>
        </is>
      </c>
      <c r="J7" t="inlineStr">
        <is>
          <t>ExportCustoms_ground_truth</t>
        </is>
      </c>
      <c r="K7" t="inlineStr">
        <is>
          <t>name or path</t>
        </is>
      </c>
      <c r="M7" t="inlineStr">
        <is>
          <t>Unlocked by default in Operator appearance customization.</t>
        </is>
      </c>
      <c r="N7" t="inlineStr">
        <is>
          <t>Operator/Customization</t>
        </is>
      </c>
      <c r="O7" t="inlineStr">
        <is>
          <t>Saved a concrete acquisition place from the official Warframe Wiki. Operator/Customization Makeup gallery marks it (default).</t>
        </is>
      </c>
    </row>
    <row r="8">
      <c r="A8" t="inlineStr">
        <is>
          <t>/Lotus/Upgrades/Skins/Sony/PS4Mk1Braton</t>
        </is>
      </c>
      <c r="B8" t="inlineStr">
        <is>
          <t>Braton Obsidian Skin</t>
        </is>
      </c>
      <c r="C8" t="inlineStr">
        <is>
          <t>https://wiki.warframe.com/w/Braton | https://wiki.warframe.com/w/Third_Party_Deals_and_Rewards | https://wiki.warframe.com/w/Cross_Platform_Save</t>
        </is>
      </c>
      <c r="D8" t="inlineStr">
        <is>
          <t>ExportCustoms</t>
        </is>
      </c>
      <c r="F8" t="inlineStr">
        <is>
          <t>Braton Obsidian Skin</t>
        </is>
      </c>
      <c r="G8" t="inlineStr">
        <is>
          <t>Braton Obsidian Skin</t>
        </is>
      </c>
      <c r="H8" t="inlineStr">
        <is>
          <t>Solved: current place verified and archived 2026-10-16.</t>
        </is>
      </c>
      <c r="I8" t="inlineStr">
        <is>
          <t>Customs</t>
        </is>
      </c>
      <c r="J8" t="inlineStr">
        <is>
          <t>Cosmetics_data, Cosmetics_data_weaponskin, Cosmetics_userdata, ExportCustoms_ground_truth</t>
        </is>
      </c>
      <c r="K8" t="inlineStr">
        <is>
          <t>Cosmetics/data/weaponskin</t>
        </is>
      </c>
      <c r="L8" t="inlineStr">
        <is>
          <t>listed, no place</t>
        </is>
      </c>
      <c r="M8" t="inlineStr">
        <is>
          <t>PlayStation exclusive; included in the PlayStation Ultimate Fan Pack.</t>
        </is>
      </c>
      <c r="N8" t="inlineStr">
        <is>
          <t>Braton; Third Party Deals and Rewards; Cross Platform Save</t>
        </is>
      </c>
      <c r="O8" t="inlineStr">
        <is>
          <t>Wiki marks Obsidian skins as PlayStation exclusive; Braton Obsidian Skin is listed with the PlayStation Ultimate Fan Pack. Sheet uniqueName differs from the wiki module id, but Jacob confirmed Obsidian skins are PlayStation-only — accepted on that basis.</t>
        </is>
      </c>
    </row>
    <row r="9">
      <c r="A9" t="inlineStr">
        <is>
          <t>/Lotus/Upgrades/Skins/Daybreak/DaybreakBubonicoSkin</t>
        </is>
      </c>
      <c r="B9" t="inlineStr">
        <is>
          <t>Bubonico Daybreak Skin</t>
        </is>
      </c>
      <c r="C9" t="inlineStr">
        <is>
          <t>https://wiki.warframe.com/w/Dog_Days | https://wiki.warframe.com/w/Weapon_Cosmetics</t>
        </is>
      </c>
      <c r="D9" t="inlineStr">
        <is>
          <t>ExportCustoms</t>
        </is>
      </c>
      <c r="F9" t="inlineStr">
        <is>
          <t>Bubonico Daybreak Skin</t>
        </is>
      </c>
      <c r="H9" t="inlineStr">
        <is>
          <t>Solved: current place verified and archived 2026-10-16.</t>
        </is>
      </c>
      <c r="I9" t="inlineStr">
        <is>
          <t>Customs</t>
        </is>
      </c>
      <c r="J9" t="inlineStr">
        <is>
          <t>ExportCustoms_ground_truth</t>
        </is>
      </c>
      <c r="K9" t="inlineStr">
        <is>
          <t>name or path</t>
        </is>
      </c>
      <c r="M9" t="inlineStr">
        <is>
          <t>Purchase from the Dog Days event store for 250 Nakak Pearls.</t>
        </is>
      </c>
      <c r="N9" t="inlineStr">
        <is>
          <t>Dog Days | Weapon Cosmetics</t>
        </is>
      </c>
      <c r="O9" t="inlineStr">
        <is>
          <t>We copied where it comes from off the wiki page. See place from wiki page.</t>
        </is>
      </c>
    </row>
    <row r="10">
      <c r="A10" t="inlineStr">
        <is>
          <t>/Lotus/Upgrades/Skins/Clan/NokkoBabySecretEmblemItem</t>
        </is>
      </c>
      <c r="B10" t="inlineStr">
        <is>
          <t>Cheeky Sprodling Emblem</t>
        </is>
      </c>
      <c r="C10" t="inlineStr">
        <is>
          <t>https://wiki.warframe.com/w/Emblems | https://wiki.warframe.com/w/Deepmines</t>
        </is>
      </c>
      <c r="D10" t="inlineStr">
        <is>
          <t>ExportCustoms</t>
        </is>
      </c>
      <c r="F10" t="inlineStr">
        <is>
          <t>Cheeky Sprodling Emblem</t>
        </is>
      </c>
      <c r="H10" t="inlineStr">
        <is>
          <t>Solved: current place verified and archived 2026-10-16.</t>
        </is>
      </c>
      <c r="I10" t="inlineStr">
        <is>
          <t>Customs</t>
        </is>
      </c>
      <c r="J10" t="inlineStr">
        <is>
          <t>ExportCustoms_ground_truth</t>
        </is>
      </c>
      <c r="K10" t="inlineStr">
        <is>
          <t>name or path</t>
        </is>
      </c>
      <c r="M10" t="inlineStr">
        <is>
          <t>Awarded for completing the Green Stem Path.</t>
        </is>
      </c>
      <c r="N10" t="inlineStr">
        <is>
          <t>Emblems</t>
        </is>
      </c>
      <c r="O10" t="inlineStr">
        <is>
          <t>Saved a concrete acquisition place from the official Warframe Wiki. Emblems page, Cheeky Sprodling Emblem section.</t>
        </is>
      </c>
    </row>
    <row r="11">
      <c r="A11" t="inlineStr">
        <is>
          <t>/Lotus/Upgrades/Skins/Sentinels/Wings/InfNightWaveWingsRight</t>
        </is>
      </c>
      <c r="B11" t="inlineStr">
        <is>
          <t>Chitoid Sentinel Wings</t>
        </is>
      </c>
      <c r="C11" t="inlineStr">
        <is>
          <t>https://wiki.warframe.com/w/Sentinel_Cosmetics | https://wiki.warframe.com/w/Nightwave/Series_2</t>
        </is>
      </c>
      <c r="D11" t="inlineStr">
        <is>
          <t>ExportCustoms</t>
        </is>
      </c>
      <c r="F11" t="inlineStr">
        <is>
          <t>Chitoid Sentinel Wings</t>
        </is>
      </c>
      <c r="G11" t="inlineStr">
        <is>
          <t>Chitoid Sentinel Wings</t>
        </is>
      </c>
      <c r="H11" t="inlineStr">
        <is>
          <t>Solved: current place verified and archived 2026-10-16.</t>
        </is>
      </c>
      <c r="I11" t="inlineStr">
        <is>
          <t>Customs</t>
        </is>
      </c>
      <c r="J11" t="inlineStr">
        <is>
          <t>Cosmetics_data, Cosmetics_data_sentinelarmor, Cosmetics_userdata, ExportCustoms_ground_truth</t>
        </is>
      </c>
      <c r="K11" t="inlineStr">
        <is>
          <t>Cosmetics/data/sentinelarmor</t>
        </is>
      </c>
      <c r="L11" t="inlineStr">
        <is>
          <t>listed, no place</t>
        </is>
      </c>
      <c r="M11" t="inlineStr">
        <is>
          <t>Nightwave Series 2 rank 29 reward (Chitoid Sentinel Bundle).</t>
        </is>
      </c>
      <c r="N11" t="inlineStr">
        <is>
          <t>Sentinel Cosmetics | Nightwave/Series 2</t>
        </is>
      </c>
      <c r="O11" t="inlineStr">
        <is>
          <t>Saved a concrete acquisition place from the official Warframe Wiki.</t>
        </is>
      </c>
    </row>
    <row r="12">
      <c r="A12" t="inlineStr">
        <is>
          <t>/Lotus/Upgrades/Skins/Sentinels/Wings/InfestedWingsRight</t>
        </is>
      </c>
      <c r="B12" t="inlineStr">
        <is>
          <t>Chrysalis Sentinel Wings</t>
        </is>
      </c>
      <c r="C12" t="inlineStr">
        <is>
          <t>https://wiki.warframe.com/w/Sentinel_Cosmetics</t>
        </is>
      </c>
      <c r="D12" t="inlineStr">
        <is>
          <t>ExportCustoms</t>
        </is>
      </c>
      <c r="F12" t="inlineStr">
        <is>
          <t>Chrysalis Sentinel Wings</t>
        </is>
      </c>
      <c r="G12" t="inlineStr">
        <is>
          <t>Chrysalis Sentinel Wings</t>
        </is>
      </c>
      <c r="H12" t="inlineStr">
        <is>
          <t>Solved: current place verified and archived 2026-10-16.</t>
        </is>
      </c>
      <c r="I12" t="inlineStr">
        <is>
          <t>Customs</t>
        </is>
      </c>
      <c r="J12" t="inlineStr">
        <is>
          <t>Cosmetics_data, Cosmetics_data_sentinelarmor, Cosmetics_userdata, ExportCustoms_ground_truth</t>
        </is>
      </c>
      <c r="K12" t="inlineStr">
        <is>
          <t>Cosmetics/data/sentinelarmor</t>
        </is>
      </c>
      <c r="L12" t="inlineStr">
        <is>
          <t>listed, no place</t>
        </is>
      </c>
      <c r="M12" t="inlineStr">
        <is>
          <t>In-game Market for 15 Platinum.</t>
        </is>
      </c>
      <c r="N12" t="inlineStr">
        <is>
          <t>Sentinel Cosmetics</t>
        </is>
      </c>
      <c r="O12" t="inlineStr">
        <is>
          <t>Saved a concrete acquisition place from the official Warframe Wiki.</t>
        </is>
      </c>
    </row>
    <row r="13">
      <c r="A13" t="inlineStr">
        <is>
          <t>/Lotus/Upgrades/Skins/Operator/Skirts/SkirtAdultLasrianB</t>
        </is>
      </c>
      <c r="B13" t="inlineStr">
        <is>
          <t>Chymerist Apparel</t>
        </is>
      </c>
      <c r="C13" t="inlineStr">
        <is>
          <t>https://wiki.warframe.com/w/Chymerist_Collection | https://wiki.warframe.com/w/Scaldra_Authority_Pack</t>
        </is>
      </c>
      <c r="D13" t="inlineStr">
        <is>
          <t>ExportCustoms</t>
        </is>
      </c>
      <c r="F13" t="inlineStr">
        <is>
          <t>Chymerist Apparel</t>
        </is>
      </c>
      <c r="H13" t="inlineStr">
        <is>
          <t>Solved: current place verified and archived 2026-10-16.</t>
        </is>
      </c>
      <c r="I13" t="inlineStr">
        <is>
          <t>Customs</t>
        </is>
      </c>
      <c r="J13" t="inlineStr">
        <is>
          <t>ExportCustoms_ground_truth</t>
        </is>
      </c>
      <c r="K13" t="inlineStr">
        <is>
          <t>name or path</t>
        </is>
      </c>
      <c r="M13" t="inlineStr">
        <is>
          <t>In-game Market for 25 Platinum.</t>
        </is>
      </c>
      <c r="N13" t="inlineStr">
        <is>
          <t>Chymerist Collection | Scaldra Authority Pack</t>
        </is>
      </c>
      <c r="O13" t="inlineStr">
        <is>
          <t>We copied where it comes from off the wiki page. See place from wiki page.</t>
        </is>
      </c>
    </row>
    <row r="14">
      <c r="A14" t="inlineStr">
        <is>
          <t>/Lotus/Upgrades/Skins/Operator/Skirts/SkirtLasrianB</t>
        </is>
      </c>
      <c r="B14" t="inlineStr">
        <is>
          <t>Chymerist Apparel</t>
        </is>
      </c>
      <c r="C14" t="inlineStr">
        <is>
          <t>https://wiki.warframe.com/w/Chymerist_Collection | https://wiki.warframe.com/w/Scaldra_Authority_Pack</t>
        </is>
      </c>
      <c r="D14" t="inlineStr">
        <is>
          <t>ExportCustoms</t>
        </is>
      </c>
      <c r="F14" t="inlineStr">
        <is>
          <t>Chymerist Apparel</t>
        </is>
      </c>
      <c r="H14" t="inlineStr">
        <is>
          <t>Solved: current place verified and archived 2026-10-16.</t>
        </is>
      </c>
      <c r="I14" t="inlineStr">
        <is>
          <t>Customs</t>
        </is>
      </c>
      <c r="J14" t="inlineStr">
        <is>
          <t>ExportCustoms_ground_truth</t>
        </is>
      </c>
      <c r="K14" t="inlineStr">
        <is>
          <t>name or path</t>
        </is>
      </c>
      <c r="M14" t="inlineStr">
        <is>
          <t>In-game Market for 25 Platinum.</t>
        </is>
      </c>
      <c r="N14" t="inlineStr">
        <is>
          <t>Chymerist Collection | Scaldra Authority Pack</t>
        </is>
      </c>
      <c r="O14" t="inlineStr">
        <is>
          <t>We copied where it comes from off the wiki page. See place from wiki page.</t>
        </is>
      </c>
    </row>
    <row r="15">
      <c r="A15" t="inlineStr">
        <is>
          <t>/Lotus/Upgrades/Skins/Operator/Leggings/LeggingsAdultOperatorLasrianB</t>
        </is>
      </c>
      <c r="B15" t="inlineStr">
        <is>
          <t>Chymerist Boots</t>
        </is>
      </c>
      <c r="C15" t="inlineStr">
        <is>
          <t>https://wiki.warframe.com/w/Chymerist_Collection | https://wiki.warframe.com/w/Scaldra_Authority_Pack</t>
        </is>
      </c>
      <c r="D15" t="inlineStr">
        <is>
          <t>ExportCustoms</t>
        </is>
      </c>
      <c r="F15" t="inlineStr">
        <is>
          <t>Chymerist Boots</t>
        </is>
      </c>
      <c r="H15" t="inlineStr">
        <is>
          <t>Solved: current place verified and archived 2026-10-16.</t>
        </is>
      </c>
      <c r="I15" t="inlineStr">
        <is>
          <t>Customs</t>
        </is>
      </c>
      <c r="J15" t="inlineStr">
        <is>
          <t>ExportCustoms_ground_truth</t>
        </is>
      </c>
      <c r="K15" t="inlineStr">
        <is>
          <t>name or path</t>
        </is>
      </c>
      <c r="M15" t="inlineStr">
        <is>
          <t>In-game Market for 30 Platinum.</t>
        </is>
      </c>
      <c r="N15" t="inlineStr">
        <is>
          <t>Chymerist Collection | Scaldra Authority Pack | Drifter/Patch History | Operator/Patch History | Update 38</t>
        </is>
      </c>
      <c r="O15" t="inlineStr">
        <is>
          <t>We copied where it comes from off the wiki page. See place from wiki page.</t>
        </is>
      </c>
    </row>
    <row r="16">
      <c r="A16" t="inlineStr">
        <is>
          <t>/Lotus/Upgrades/Skins/Operator/Leggings/LeggingsOperatorLasrianB</t>
        </is>
      </c>
      <c r="B16" t="inlineStr">
        <is>
          <t>Chymerist Boots</t>
        </is>
      </c>
      <c r="C16" t="inlineStr">
        <is>
          <t>https://wiki.warframe.com/w/Chymerist_Collection | https://wiki.warframe.com/w/Scaldra_Authority_Pack</t>
        </is>
      </c>
      <c r="D16" t="inlineStr">
        <is>
          <t>ExportCustoms</t>
        </is>
      </c>
      <c r="F16" t="inlineStr">
        <is>
          <t>Chymerist Boots</t>
        </is>
      </c>
      <c r="H16" t="inlineStr">
        <is>
          <t>Solved: current place verified and archived 2026-10-16.</t>
        </is>
      </c>
      <c r="I16" t="inlineStr">
        <is>
          <t>Customs</t>
        </is>
      </c>
      <c r="J16" t="inlineStr">
        <is>
          <t>ExportCustoms_ground_truth</t>
        </is>
      </c>
      <c r="K16" t="inlineStr">
        <is>
          <t>name or path</t>
        </is>
      </c>
      <c r="M16" t="inlineStr">
        <is>
          <t>In-game Market for 30 Platinum.</t>
        </is>
      </c>
      <c r="N16" t="inlineStr">
        <is>
          <t>Chymerist Collection | Scaldra Authority Pack | Drifter/Patch History | Operator/Patch History | Update 38</t>
        </is>
      </c>
      <c r="O16" t="inlineStr">
        <is>
          <t>We copied where it comes from off the wiki page. See place from wiki page.</t>
        </is>
      </c>
    </row>
    <row r="17">
      <c r="A17" t="inlineStr">
        <is>
          <t>/Lotus/Upgrades/Skins/Operator/Sleeves/SleevesAdultOperatorLasrianB</t>
        </is>
      </c>
      <c r="B17" t="inlineStr">
        <is>
          <t>Chymerist Gloves</t>
        </is>
      </c>
      <c r="C17" t="inlineStr">
        <is>
          <t>https://wiki.warframe.com/w/Chymerist_Collection | https://wiki.warframe.com/w/Scaldra_Authority_Pack</t>
        </is>
      </c>
      <c r="D17" t="inlineStr">
        <is>
          <t>ExportCustoms</t>
        </is>
      </c>
      <c r="F17" t="inlineStr">
        <is>
          <t>Chymerist Gloves</t>
        </is>
      </c>
      <c r="H17" t="inlineStr">
        <is>
          <t>Solved: current place verified and archived 2026-10-16.</t>
        </is>
      </c>
      <c r="I17" t="inlineStr">
        <is>
          <t>Customs</t>
        </is>
      </c>
      <c r="J17" t="inlineStr">
        <is>
          <t>ExportCustoms_ground_truth</t>
        </is>
      </c>
      <c r="K17" t="inlineStr">
        <is>
          <t>name or path</t>
        </is>
      </c>
      <c r="M17" t="inlineStr">
        <is>
          <t>In-game Market for 30 Platinum.</t>
        </is>
      </c>
      <c r="N17" t="inlineStr">
        <is>
          <t>Chymerist Collection | Scaldra Authority Pack | Drifter/Patch History | Operator/Patch History | Update 38</t>
        </is>
      </c>
      <c r="O17" t="inlineStr">
        <is>
          <t>We copied where it comes from off the wiki page. See place from wiki page.</t>
        </is>
      </c>
    </row>
    <row r="18">
      <c r="A18" t="inlineStr">
        <is>
          <t>/Lotus/Upgrades/Skins/Operator/Sleeves/SleevesOperatorLasrianB</t>
        </is>
      </c>
      <c r="B18" t="inlineStr">
        <is>
          <t>Chymerist Gloves</t>
        </is>
      </c>
      <c r="C18" t="inlineStr">
        <is>
          <t>https://wiki.warframe.com/w/Chymerist_Collection | https://wiki.warframe.com/w/Scaldra_Authority_Pack</t>
        </is>
      </c>
      <c r="D18" t="inlineStr">
        <is>
          <t>ExportCustoms</t>
        </is>
      </c>
      <c r="F18" t="inlineStr">
        <is>
          <t>Chymerist Gloves</t>
        </is>
      </c>
      <c r="H18" t="inlineStr">
        <is>
          <t>Solved: current place verified and archived 2026-10-16.</t>
        </is>
      </c>
      <c r="I18" t="inlineStr">
        <is>
          <t>Customs</t>
        </is>
      </c>
      <c r="J18" t="inlineStr">
        <is>
          <t>ExportCustoms_ground_truth</t>
        </is>
      </c>
      <c r="K18" t="inlineStr">
        <is>
          <t>name or path</t>
        </is>
      </c>
      <c r="M18" t="inlineStr">
        <is>
          <t>In-game Market for 30 Platinum.</t>
        </is>
      </c>
      <c r="N18" t="inlineStr">
        <is>
          <t>Chymerist Collection | Scaldra Authority Pack | Drifter/Patch History | Operator/Patch History | Update 38</t>
        </is>
      </c>
      <c r="O18" t="inlineStr">
        <is>
          <t>We copied where it comes from off the wiki page. See place from wiki page.</t>
        </is>
      </c>
    </row>
    <row r="19">
      <c r="A19" t="inlineStr">
        <is>
          <t>/Lotus/Upgrades/Skins/Operator/Hoods/HoodAdultOperatorLasrianB</t>
        </is>
      </c>
      <c r="B19" t="inlineStr">
        <is>
          <t>Chymerist Mask</t>
        </is>
      </c>
      <c r="C19" t="inlineStr">
        <is>
          <t>https://wiki.warframe.com/w/Chymerist_Collection | https://wiki.warframe.com/w/Scaldra_Authority_Pack</t>
        </is>
      </c>
      <c r="D19" t="inlineStr">
        <is>
          <t>ExportCustoms</t>
        </is>
      </c>
      <c r="F19" t="inlineStr">
        <is>
          <t>Chymerist Mask</t>
        </is>
      </c>
      <c r="H19" t="inlineStr">
        <is>
          <t>Solved: current place verified and archived 2026-10-16.</t>
        </is>
      </c>
      <c r="I19" t="inlineStr">
        <is>
          <t>Customs</t>
        </is>
      </c>
      <c r="J19" t="inlineStr">
        <is>
          <t>ExportCustoms_ground_truth</t>
        </is>
      </c>
      <c r="K19" t="inlineStr">
        <is>
          <t>name or path</t>
        </is>
      </c>
      <c r="M19" t="inlineStr">
        <is>
          <t>In-game Market for 40 Platinum.</t>
        </is>
      </c>
      <c r="N19" t="inlineStr">
        <is>
          <t>Chymerist Collection | Scaldra Authority Pack | Drifter/Patch History | Operator/Patch History | Update 38</t>
        </is>
      </c>
      <c r="O19" t="inlineStr">
        <is>
          <t>We copied where it comes from off the wiki page. See place from wiki page.</t>
        </is>
      </c>
    </row>
    <row r="20">
      <c r="A20" t="inlineStr">
        <is>
          <t>/Lotus/Upgrades/Skins/Operator/Hoods/HoodOperatorLasrianB</t>
        </is>
      </c>
      <c r="B20" t="inlineStr">
        <is>
          <t>Chymerist Mask</t>
        </is>
      </c>
      <c r="C20" t="inlineStr">
        <is>
          <t>https://wiki.warframe.com/w/Chymerist_Collection | https://wiki.warframe.com/w/Scaldra_Authority_Pack</t>
        </is>
      </c>
      <c r="D20" t="inlineStr">
        <is>
          <t>ExportCustoms</t>
        </is>
      </c>
      <c r="F20" t="inlineStr">
        <is>
          <t>Chymerist Mask</t>
        </is>
      </c>
      <c r="H20" t="inlineStr">
        <is>
          <t>Solved: current place verified and archived 2026-10-16.</t>
        </is>
      </c>
      <c r="I20" t="inlineStr">
        <is>
          <t>Customs</t>
        </is>
      </c>
      <c r="J20" t="inlineStr">
        <is>
          <t>ExportCustoms_ground_truth</t>
        </is>
      </c>
      <c r="K20" t="inlineStr">
        <is>
          <t>name or path</t>
        </is>
      </c>
      <c r="M20" t="inlineStr">
        <is>
          <t>In-game Market for 40 Platinum.</t>
        </is>
      </c>
      <c r="N20" t="inlineStr">
        <is>
          <t>Chymerist Collection | Scaldra Authority Pack | Drifter/Patch History | Operator/Patch History | Update 38</t>
        </is>
      </c>
      <c r="O20" t="inlineStr">
        <is>
          <t>We copied where it comes from off the wiki page. See place from wiki page.</t>
        </is>
      </c>
    </row>
    <row r="21">
      <c r="A21" t="inlineStr">
        <is>
          <t>/Lotus/Upgrades/Skins/Operator/BodySuits/BodySuitAdultOperatorLasrianB</t>
        </is>
      </c>
      <c r="B21" t="inlineStr">
        <is>
          <t>Chymerist Uniform</t>
        </is>
      </c>
      <c r="C21" t="inlineStr">
        <is>
          <t>https://wiki.warframe.com/w/Chymerist_Collection | https://wiki.warframe.com/w/Scaldra_Authority_Pack | https://wiki.warframe.com/w/Armor_(Cosmetic)</t>
        </is>
      </c>
      <c r="D21" t="inlineStr">
        <is>
          <t>ExportCustoms</t>
        </is>
      </c>
      <c r="F21" t="inlineStr">
        <is>
          <t>Chymerist Uniform</t>
        </is>
      </c>
      <c r="H21" t="inlineStr">
        <is>
          <t>Solved: current place verified and archived 2026-10-16.</t>
        </is>
      </c>
      <c r="I21" t="inlineStr">
        <is>
          <t>Customs</t>
        </is>
      </c>
      <c r="J21" t="inlineStr">
        <is>
          <t>ExportCustoms_ground_truth</t>
        </is>
      </c>
      <c r="K21" t="inlineStr">
        <is>
          <t>name or path</t>
        </is>
      </c>
      <c r="M21" t="inlineStr">
        <is>
          <t>In-game Market for 40 Platinum.</t>
        </is>
      </c>
      <c r="N21" t="inlineStr">
        <is>
          <t>Chymerist Collection | Scaldra Authority Pack | Armor (Cosmetic) | Drifter/Patch History | Update 38</t>
        </is>
      </c>
      <c r="O21" t="inlineStr">
        <is>
          <t>We copied where it comes from off the wiki page. See place from wiki page.</t>
        </is>
      </c>
    </row>
    <row r="22">
      <c r="A22" t="inlineStr">
        <is>
          <t>/Lotus/Upgrades/Skins/Operator/BodySuits/BodySuitOperatorLasrianB</t>
        </is>
      </c>
      <c r="B22" t="inlineStr">
        <is>
          <t>Chymerist Uniform</t>
        </is>
      </c>
      <c r="C22" t="inlineStr">
        <is>
          <t>https://wiki.warframe.com/w/Chymerist_Collection | https://wiki.warframe.com/w/Scaldra_Authority_Pack | https://wiki.warframe.com/w/Armor_(Cosmetic)</t>
        </is>
      </c>
      <c r="D22" t="inlineStr">
        <is>
          <t>ExportCustoms</t>
        </is>
      </c>
      <c r="F22" t="inlineStr">
        <is>
          <t>Chymerist Uniform</t>
        </is>
      </c>
      <c r="H22" t="inlineStr">
        <is>
          <t>Solved: current place verified and archived 2026-10-16.</t>
        </is>
      </c>
      <c r="I22" t="inlineStr">
        <is>
          <t>Customs</t>
        </is>
      </c>
      <c r="J22" t="inlineStr">
        <is>
          <t>ExportCustoms_ground_truth</t>
        </is>
      </c>
      <c r="K22" t="inlineStr">
        <is>
          <t>name or path</t>
        </is>
      </c>
      <c r="M22" t="inlineStr">
        <is>
          <t>In-game Market for 40 Platinum.</t>
        </is>
      </c>
      <c r="N22" t="inlineStr">
        <is>
          <t>Chymerist Collection | Scaldra Authority Pack | Armor (Cosmetic) | Drifter/Patch History | Update 38</t>
        </is>
      </c>
      <c r="O22" t="inlineStr">
        <is>
          <t>We copied where it comes from off the wiki page. See place from wiki page.</t>
        </is>
      </c>
    </row>
    <row r="23">
      <c r="A23" t="inlineStr">
        <is>
          <t>/Lotus/Upgrades/Skins/Sigils/ClanSigilBasic</t>
        </is>
      </c>
      <c r="B23" t="inlineStr">
        <is>
          <t>Clan Sigil</t>
        </is>
      </c>
      <c r="C23" t="inlineStr">
        <is>
          <t>https://wiki.warframe.com/w/Sigils | https://wiki.warframe.com/w/Operation:_Atramentum | https://wiki.warframe.com/w/Operation:_Blood_of_Perita | https://wiki.warframe.com/w/Operation:_Eight_Claw</t>
        </is>
      </c>
      <c r="D23" t="inlineStr">
        <is>
          <t>ExportCustoms</t>
        </is>
      </c>
      <c r="F23" t="inlineStr">
        <is>
          <t>Clan Sigil</t>
        </is>
      </c>
      <c r="H23" t="inlineStr">
        <is>
          <t>Solved: current place verified and archived 2026-10-16.</t>
        </is>
      </c>
      <c r="I23" t="inlineStr">
        <is>
          <t>Customs</t>
        </is>
      </c>
      <c r="J23" t="inlineStr">
        <is>
          <t>ExportCustoms_ground_truth</t>
        </is>
      </c>
      <c r="K23" t="inlineStr">
        <is>
          <t>name or path</t>
        </is>
      </c>
      <c r="M23" t="inlineStr">
        <is>
          <t>Purchase from the Operation: Atramentum offerings for 15 Nightmare Tatters, or the Operation: Blood of Perita offerings for 20 Marks of Valiance.</t>
        </is>
      </c>
      <c r="N23" t="inlineStr">
        <is>
          <t>Sigils | Operation: Atramentum | Operation: Blood of Perita | Operation: Eight Claw</t>
        </is>
      </c>
      <c r="O23" t="inlineStr">
        <is>
          <t>We found more than one answer for where it comes from. Look at place from wiki page — the answers are separated by | — and pick the right one.</t>
        </is>
      </c>
    </row>
    <row r="24">
      <c r="A24" t="inlineStr">
        <is>
          <t>/Lotus/Upgrades/Skins/Sigils/LotusHeartSigil</t>
        </is>
      </c>
      <c r="B24" t="inlineStr">
        <is>
          <t>Community Of Tenno</t>
        </is>
      </c>
      <c r="C24" t="inlineStr">
        <is>
          <t>https://wiki.warframe.com/w/Sigils | https://wiki.warframe.com/w/Market/Warframes</t>
        </is>
      </c>
      <c r="D24" t="inlineStr">
        <is>
          <t>ExportCustoms</t>
        </is>
      </c>
      <c r="F24" t="inlineStr">
        <is>
          <t>Community Of Tenno</t>
        </is>
      </c>
      <c r="H24" t="inlineStr">
        <is>
          <t>Solved: current place verified and archived 2026-10-16.</t>
        </is>
      </c>
      <c r="I24" t="inlineStr">
        <is>
          <t>Customs</t>
        </is>
      </c>
      <c r="J24" t="inlineStr">
        <is>
          <t>Cosmetics_data, ExportCustoms_ground_truth, Sigils_data</t>
        </is>
      </c>
      <c r="K24" t="inlineStr">
        <is>
          <t>Sigils/data</t>
        </is>
      </c>
      <c r="L24" t="inlineStr">
        <is>
          <t>listed, no place</t>
        </is>
      </c>
      <c r="M24" t="inlineStr">
        <is>
          <t>In-game Market for 1 Credit.</t>
        </is>
      </c>
      <c r="N24" t="inlineStr">
        <is>
          <t>Sigils | Update 18 | Market/Warframes</t>
        </is>
      </c>
      <c r="O24" t="inlineStr">
        <is>
          <t>We copied where it comes from off the wiki page. See place from wiki page.</t>
        </is>
      </c>
    </row>
    <row r="25">
      <c r="A25" t="inlineStr">
        <is>
          <t>/Lotus/Upgrades/Skins/Operator/Hair/HairVTwo</t>
        </is>
      </c>
      <c r="B25" t="inlineStr">
        <is>
          <t>Curls Short</t>
        </is>
      </c>
      <c r="C25" t="inlineStr">
        <is>
          <t>https://wiki.warframe.com/w/Definitive_Salon_Pack | https://wiki.warframe.com/w/Operator/Customization</t>
        </is>
      </c>
      <c r="D25" t="inlineStr">
        <is>
          <t>ExportCustoms</t>
        </is>
      </c>
      <c r="F25" t="inlineStr">
        <is>
          <t>Curls Short</t>
        </is>
      </c>
      <c r="H25" t="inlineStr">
        <is>
          <t>Solved: current place verified and archived 2026-10-16.</t>
        </is>
      </c>
      <c r="I25" t="inlineStr">
        <is>
          <t>Customs</t>
        </is>
      </c>
      <c r="J25" t="inlineStr">
        <is>
          <t>Cosmetics_data, Cosmetics_data_face, ExportCustoms_ground_truth</t>
        </is>
      </c>
      <c r="K25" t="inlineStr">
        <is>
          <t>name or path</t>
        </is>
      </c>
      <c r="M25" t="inlineStr">
        <is>
          <t>In-game Market for 25 Platinum.</t>
        </is>
      </c>
      <c r="N25" t="inlineStr">
        <is>
          <t>Definitive Salon Pack | Operator/Customization | Update 41: The Old Peace | Drifter/Patch History</t>
        </is>
      </c>
      <c r="O25" t="inlineStr">
        <is>
          <t>We copied where it comes from off the wiki page. See place from wiki page.</t>
        </is>
      </c>
    </row>
    <row r="26">
      <c r="A26" t="inlineStr">
        <is>
          <t>/Lotus/Upgrades/Skins/Dagath/SWYhavanDagathSkinHelmet</t>
        </is>
      </c>
      <c r="B26" t="inlineStr">
        <is>
          <t>Dagath Yhavan Helmet</t>
        </is>
      </c>
      <c r="C26" t="inlineStr">
        <is>
          <t>https://wiki.warframe.com/w/Dagath_Yhavan_Skin</t>
        </is>
      </c>
      <c r="D26" t="inlineStr">
        <is>
          <t>ExportCustoms</t>
        </is>
      </c>
      <c r="F26" t="inlineStr">
        <is>
          <t>Dagath Yhavan Helmet</t>
        </is>
      </c>
      <c r="H26" t="inlineStr">
        <is>
          <t>Solved: current place verified and archived 2026-10-16.</t>
        </is>
      </c>
      <c r="I26" t="inlineStr">
        <is>
          <t>Customs</t>
        </is>
      </c>
      <c r="J26" t="inlineStr">
        <is>
          <t>Cosmetics_data, Cosmetics_userdata, ExportCustoms_ground_truth</t>
        </is>
      </c>
      <c r="K26" t="inlineStr">
        <is>
          <t>name or path</t>
        </is>
      </c>
      <c r="M26" t="inlineStr">
        <is>
          <t>Included with the Dagath Yhavan Skin (TennoGen); buy it with Steam Wallet credit on PC or for 165 Platinum on consoles.</t>
        </is>
      </c>
      <c r="N26" t="inlineStr">
        <is>
          <t>Dagath Yhavan Skin</t>
        </is>
      </c>
      <c r="O26" t="inlineStr">
        <is>
          <t>Saved a concrete acquisition place from the official Warframe Wiki. Skin page Acquisition section; the skin page names this helmet.</t>
        </is>
      </c>
    </row>
    <row r="27">
      <c r="A27" t="inlineStr">
        <is>
          <t>/Lotus/Upgrades/Skins/MeleeDangles/DaybreakDamanMeleeDangle</t>
        </is>
      </c>
      <c r="B27" t="inlineStr">
        <is>
          <t>Daman Daybreak Sugatra</t>
        </is>
      </c>
      <c r="C27" t="inlineStr">
        <is>
          <t>https://wiki.warframe.com/w/Dog_Days | https://wiki.warframe.com/w/Sugatra</t>
        </is>
      </c>
      <c r="D27" t="inlineStr">
        <is>
          <t>ExportCustoms</t>
        </is>
      </c>
      <c r="F27" t="inlineStr">
        <is>
          <t>Daman Daybreak Sugatra</t>
        </is>
      </c>
      <c r="H27" t="inlineStr">
        <is>
          <t>Solved: current place verified and archived 2026-10-16.</t>
        </is>
      </c>
      <c r="I27" t="inlineStr">
        <is>
          <t>Customs</t>
        </is>
      </c>
      <c r="J27" t="inlineStr">
        <is>
          <t>ExportCustoms_ground_truth</t>
        </is>
      </c>
      <c r="K27" t="inlineStr">
        <is>
          <t>name or path</t>
        </is>
      </c>
      <c r="M27" t="inlineStr">
        <is>
          <t>Purchase from the Dog Days event store for 180 Nakak Pearls.</t>
        </is>
      </c>
      <c r="N27" t="inlineStr">
        <is>
          <t>Dog Days | Sugatra</t>
        </is>
      </c>
      <c r="O27" t="inlineStr">
        <is>
          <t>We copied where it comes from off the wiki page. See place from wiki page.</t>
        </is>
      </c>
    </row>
    <row r="28">
      <c r="A28" t="inlineStr">
        <is>
          <t>/Lotus/Upgrades/Skins/MeleeDangles/DrippyKeychainMeleeDangle</t>
        </is>
      </c>
      <c r="B28" t="inlineStr">
        <is>
          <t>Drippy Keychain Sugatra</t>
        </is>
      </c>
      <c r="C28" t="inlineStr">
        <is>
          <t>https://wiki.warframe.com/w/Sugatra | https://wiki.warframe.com/w/Drippy</t>
        </is>
      </c>
      <c r="D28" t="inlineStr">
        <is>
          <t>ExportCustoms</t>
        </is>
      </c>
      <c r="F28" t="inlineStr">
        <is>
          <t>Drippy Keychain Sugatra</t>
        </is>
      </c>
      <c r="H28" t="inlineStr">
        <is>
          <t>Solved: current place verified and archived 2026-10-16.</t>
        </is>
      </c>
      <c r="I28" t="inlineStr">
        <is>
          <t>Customs</t>
        </is>
      </c>
      <c r="J28" t="inlineStr">
        <is>
          <t>ExportCustoms_ground_truth</t>
        </is>
      </c>
      <c r="K28" t="inlineStr">
        <is>
          <t>name or path</t>
        </is>
      </c>
      <c r="M28" t="inlineStr">
        <is>
          <t>Reward from Nightwave: Amir's Shockwave.</t>
        </is>
      </c>
      <c r="N28" t="inlineStr">
        <is>
          <t>Sugatra | Update 43: Jade Shadows: Constellations | Drippy</t>
        </is>
      </c>
      <c r="O28" t="inlineStr">
        <is>
          <t>We copied where it comes from off the wiki page. See place from wiki page.</t>
        </is>
      </c>
    </row>
    <row r="29">
      <c r="A29" t="inlineStr">
        <is>
          <t>/Lotus/Upgrades/Skins/Operator/Leggings/LeggingsAdultInfested</t>
        </is>
      </c>
      <c r="B29" t="inlineStr">
        <is>
          <t>Emissary Greaves</t>
        </is>
      </c>
      <c r="C29" t="inlineStr">
        <is>
          <t>https://wiki.warframe.com/w/Operator/Customization | https://wiki.warframe.com/w/Nightwave/Series_2</t>
        </is>
      </c>
      <c r="D29" t="inlineStr">
        <is>
          <t>ExportCustoms</t>
        </is>
      </c>
      <c r="F29" t="inlineStr">
        <is>
          <t>Emissary Greaves</t>
        </is>
      </c>
      <c r="G29" t="inlineStr">
        <is>
          <t>Emissary Greaves</t>
        </is>
      </c>
      <c r="H29" t="inlineStr">
        <is>
          <t>Solved: current place verified and archived 2026-10-16.</t>
        </is>
      </c>
      <c r="I29" t="inlineStr">
        <is>
          <t>Customs</t>
        </is>
      </c>
      <c r="J29" t="inlineStr">
        <is>
          <t>Cosmetics_data, Cosmetics_data_transferencesuit, Cosmetics_userdata, ExportCustoms_ground_truth</t>
        </is>
      </c>
      <c r="K29" t="inlineStr">
        <is>
          <t>Cosmetics/data/transferencesuit</t>
        </is>
      </c>
      <c r="L29" t="inlineStr">
        <is>
          <t>listed, no place</t>
        </is>
      </c>
      <c r="M29" t="inlineStr">
        <is>
          <t>Nightwave Series 2 rank 30 reward (Emissary Operator Collection).</t>
        </is>
      </c>
      <c r="N29" t="inlineStr">
        <is>
          <t>Operator/Customization | Nightwave/Series 2</t>
        </is>
      </c>
      <c r="O29" t="inlineStr">
        <is>
          <t>Saved a concrete acquisition place from the official Warframe Wiki.</t>
        </is>
      </c>
    </row>
    <row r="30">
      <c r="A30" t="inlineStr">
        <is>
          <t>/Lotus/Upgrades/Skins/Operator/Hoods/HoodAdultInfested</t>
        </is>
      </c>
      <c r="B30" t="inlineStr">
        <is>
          <t>Emissary Hood</t>
        </is>
      </c>
      <c r="C30" t="inlineStr">
        <is>
          <t>https://wiki.warframe.com/w/Operator/Customization | https://wiki.warframe.com/w/Nightwave/Series_2</t>
        </is>
      </c>
      <c r="D30" t="inlineStr">
        <is>
          <t>ExportCustoms</t>
        </is>
      </c>
      <c r="F30" t="inlineStr">
        <is>
          <t>Emissary Hood</t>
        </is>
      </c>
      <c r="G30" t="inlineStr">
        <is>
          <t>Emissary Hood</t>
        </is>
      </c>
      <c r="H30" t="inlineStr">
        <is>
          <t>Solved: current place verified and archived 2026-10-16.</t>
        </is>
      </c>
      <c r="I30" t="inlineStr">
        <is>
          <t>Customs</t>
        </is>
      </c>
      <c r="J30" t="inlineStr">
        <is>
          <t>Cosmetics_data, Cosmetics_data_transferencesuit, Cosmetics_userdata, ExportCustoms_ground_truth</t>
        </is>
      </c>
      <c r="K30" t="inlineStr">
        <is>
          <t>Cosmetics/data/transferencesuit</t>
        </is>
      </c>
      <c r="L30" t="inlineStr">
        <is>
          <t>listed, no place</t>
        </is>
      </c>
      <c r="M30" t="inlineStr">
        <is>
          <t>Nightwave Series 2 rank 30 reward (Emissary Operator Collection).</t>
        </is>
      </c>
      <c r="N30" t="inlineStr">
        <is>
          <t>Operator/Customization | Nightwave/Series 2</t>
        </is>
      </c>
      <c r="O30" t="inlineStr">
        <is>
          <t>Saved a concrete acquisition place from the official Warframe Wiki.</t>
        </is>
      </c>
    </row>
    <row r="31">
      <c r="A31" t="inlineStr">
        <is>
          <t>/Lotus/Upgrades/Skins/Operator/Sleeves/SleevesAdultInfested</t>
        </is>
      </c>
      <c r="B31" t="inlineStr">
        <is>
          <t>Emissary Sleeves</t>
        </is>
      </c>
      <c r="C31" t="inlineStr">
        <is>
          <t>https://wiki.warframe.com/w/Operator/Customization | https://wiki.warframe.com/w/Nightwave/Series_2</t>
        </is>
      </c>
      <c r="D31" t="inlineStr">
        <is>
          <t>ExportCustoms</t>
        </is>
      </c>
      <c r="F31" t="inlineStr">
        <is>
          <t>Emissary Sleeves</t>
        </is>
      </c>
      <c r="G31" t="inlineStr">
        <is>
          <t>Emissary Sleeves</t>
        </is>
      </c>
      <c r="H31" t="inlineStr">
        <is>
          <t>Solved: current place verified and archived 2026-10-16.</t>
        </is>
      </c>
      <c r="I31" t="inlineStr">
        <is>
          <t>Customs</t>
        </is>
      </c>
      <c r="J31" t="inlineStr">
        <is>
          <t>Cosmetics_data, Cosmetics_data_transferencesuit, Cosmetics_userdata, ExportCustoms_ground_truth</t>
        </is>
      </c>
      <c r="K31" t="inlineStr">
        <is>
          <t>Cosmetics/data/transferencesuit</t>
        </is>
      </c>
      <c r="L31" t="inlineStr">
        <is>
          <t>listed, no place</t>
        </is>
      </c>
      <c r="M31" t="inlineStr">
        <is>
          <t>Nightwave Series 2 rank 30 reward (Emissary Operator Collection).</t>
        </is>
      </c>
      <c r="N31" t="inlineStr">
        <is>
          <t>Operator/Customization | Nightwave/Series 2</t>
        </is>
      </c>
      <c r="O31" t="inlineStr">
        <is>
          <t>Saved a concrete acquisition place from the official Warframe Wiki.</t>
        </is>
      </c>
    </row>
    <row r="32">
      <c r="A32" t="inlineStr">
        <is>
          <t>/Lotus/Upgrades/Skins/Operator/BodySuits/BodySuitAdultInfested</t>
        </is>
      </c>
      <c r="B32" t="inlineStr">
        <is>
          <t>Emissary Suit</t>
        </is>
      </c>
      <c r="C32" t="inlineStr">
        <is>
          <t>https://wiki.warframe.com/w/Operator/Customization | https://wiki.warframe.com/w/Nightwave/Series_2</t>
        </is>
      </c>
      <c r="D32" t="inlineStr">
        <is>
          <t>ExportCustoms</t>
        </is>
      </c>
      <c r="F32" t="inlineStr">
        <is>
          <t>Emissary Suit</t>
        </is>
      </c>
      <c r="G32" t="inlineStr">
        <is>
          <t>Emissary Suit</t>
        </is>
      </c>
      <c r="H32" t="inlineStr">
        <is>
          <t>Solved: current place verified and archived 2026-10-16.</t>
        </is>
      </c>
      <c r="I32" t="inlineStr">
        <is>
          <t>Customs</t>
        </is>
      </c>
      <c r="J32" t="inlineStr">
        <is>
          <t>Cosmetics_data, Cosmetics_data_transferencesuit, Cosmetics_userdata, ExportCustoms_ground_truth</t>
        </is>
      </c>
      <c r="K32" t="inlineStr">
        <is>
          <t>Cosmetics/data/transferencesuit</t>
        </is>
      </c>
      <c r="L32" t="inlineStr">
        <is>
          <t>listed, no place</t>
        </is>
      </c>
      <c r="M32" t="inlineStr">
        <is>
          <t>Nightwave Series 2 rank 30 reward (Emissary Operator Collection).</t>
        </is>
      </c>
      <c r="N32" t="inlineStr">
        <is>
          <t>Operator/Customization | Nightwave/Series 2</t>
        </is>
      </c>
      <c r="O32" t="inlineStr">
        <is>
          <t>Saved a concrete acquisition place from the official Warframe Wiki.</t>
        </is>
      </c>
    </row>
    <row r="33">
      <c r="A33" t="inlineStr">
        <is>
          <t>/Lotus/Upgrades/Skins/Inkblot/InkblotAgileAnims</t>
        </is>
      </c>
      <c r="B33" t="inlineStr">
        <is>
          <t>Follie Agile Animation Set</t>
        </is>
      </c>
      <c r="C33" t="inlineStr">
        <is>
          <t>https://wiki.warframe.com/w/Follie_Animation_Set</t>
        </is>
      </c>
      <c r="D33" t="inlineStr">
        <is>
          <t>ExportCustoms</t>
        </is>
      </c>
      <c r="F33" t="inlineStr">
        <is>
          <t>Follie Agile Animation Set</t>
        </is>
      </c>
      <c r="H33" t="inlineStr">
        <is>
          <t>Solved: current place verified and archived 2026-10-16.</t>
        </is>
      </c>
      <c r="I33" t="inlineStr">
        <is>
          <t>Customs</t>
        </is>
      </c>
      <c r="J33" t="inlineStr">
        <is>
          <t>Cosmetics_data, Cosmetics_userdata, ExportCustoms_ground_truth</t>
        </is>
      </c>
      <c r="K33" t="inlineStr">
        <is>
          <t>name or path</t>
        </is>
      </c>
      <c r="M33" t="inlineStr">
        <is>
          <t>In-game Market for 50 Platinum.</t>
        </is>
      </c>
      <c r="N33" t="inlineStr">
        <is>
          <t>Follie Animation Set</t>
        </is>
      </c>
      <c r="O33" t="inlineStr">
        <is>
          <t>We copied where it comes from off the wiki page. See place from wiki page.</t>
        </is>
      </c>
    </row>
    <row r="34">
      <c r="A34" t="inlineStr">
        <is>
          <t>/Lotus/Upgrades/Skins/Inkblot/InkblotNobleAnims</t>
        </is>
      </c>
      <c r="B34" t="inlineStr">
        <is>
          <t>Follie Noble Animation Set</t>
        </is>
      </c>
      <c r="C34" t="inlineStr">
        <is>
          <t>https://wiki.warframe.com/w/Follie_Animation_Set</t>
        </is>
      </c>
      <c r="D34" t="inlineStr">
        <is>
          <t>ExportCustoms</t>
        </is>
      </c>
      <c r="F34" t="inlineStr">
        <is>
          <t>Follie Noble Animation Set</t>
        </is>
      </c>
      <c r="H34" t="inlineStr">
        <is>
          <t>Solved: current place verified and archived 2026-10-16.</t>
        </is>
      </c>
      <c r="I34" t="inlineStr">
        <is>
          <t>Customs</t>
        </is>
      </c>
      <c r="J34" t="inlineStr">
        <is>
          <t>Cosmetics_data, Cosmetics_userdata, ExportCustoms_ground_truth</t>
        </is>
      </c>
      <c r="K34" t="inlineStr">
        <is>
          <t>name or path</t>
        </is>
      </c>
      <c r="M34" t="inlineStr">
        <is>
          <t>In-game Market for 50 Platinum.</t>
        </is>
      </c>
      <c r="N34" t="inlineStr">
        <is>
          <t>Follie Animation Set</t>
        </is>
      </c>
      <c r="O34" t="inlineStr">
        <is>
          <t>We copied where it comes from off the wiki page. See place from wiki page.</t>
        </is>
      </c>
    </row>
    <row r="35">
      <c r="A35" t="inlineStr">
        <is>
          <t>/Lotus/Upgrades/Skins/Runner/SWProfitasHelmet</t>
        </is>
      </c>
      <c r="B35" t="inlineStr">
        <is>
          <t>Gauss Profitas Helmet</t>
        </is>
      </c>
      <c r="C35" t="inlineStr">
        <is>
          <t>https://wiki.warframe.com/w/Gauss_Profitas_Skin</t>
        </is>
      </c>
      <c r="D35" t="inlineStr">
        <is>
          <t>ExportCustoms</t>
        </is>
      </c>
      <c r="F35" t="inlineStr">
        <is>
          <t>Gauss Profitas Helmet</t>
        </is>
      </c>
      <c r="H35" t="inlineStr">
        <is>
          <t>Solved: current place verified and archived 2026-10-16.</t>
        </is>
      </c>
      <c r="I35" t="inlineStr">
        <is>
          <t>Customs</t>
        </is>
      </c>
      <c r="J35" t="inlineStr">
        <is>
          <t>Cosmetics_data, Cosmetics_userdata, ExportCustoms_ground_truth</t>
        </is>
      </c>
      <c r="K35" t="inlineStr">
        <is>
          <t>name or path</t>
        </is>
      </c>
      <c r="M35" t="inlineStr">
        <is>
          <t>Included with the Gauss Profitas Skin (TennoGen); buy it with Steam Wallet credit on PC or for 165 Platinum on consoles.</t>
        </is>
      </c>
      <c r="N35" t="inlineStr">
        <is>
          <t>Gauss Profitas Skin</t>
        </is>
      </c>
      <c r="O35" t="inlineStr">
        <is>
          <t>Saved a concrete acquisition place from the official Warframe Wiki. Skin page Acquisition section; the skin page names this helmet.</t>
        </is>
      </c>
    </row>
    <row r="36">
      <c r="A36" t="inlineStr">
        <is>
          <t>/Lotus/Upgrades/Skins/Operator/BodySuits/BodySuitAdultOperatorDemonframe</t>
        </is>
      </c>
      <c r="B36" t="inlineStr">
        <is>
          <t>Grand Carnus Cuirass</t>
        </is>
      </c>
      <c r="C36" t="inlineStr">
        <is>
          <t>https://wiki.warframe.com/w/Grand_Carnus_Regalia_Collection | https://wiki.warframe.com/w/The_Old_Peace_Uriel_Bundle</t>
        </is>
      </c>
      <c r="D36" t="inlineStr">
        <is>
          <t>ExportCustoms</t>
        </is>
      </c>
      <c r="F36" t="inlineStr">
        <is>
          <t>Grand Carnus Cuirass</t>
        </is>
      </c>
      <c r="H36" t="inlineStr">
        <is>
          <t>Solved: current place verified and archived 2026-10-16.</t>
        </is>
      </c>
      <c r="I36" t="inlineStr">
        <is>
          <t>Customs</t>
        </is>
      </c>
      <c r="J36" t="inlineStr">
        <is>
          <t>ExportCustoms_ground_truth</t>
        </is>
      </c>
      <c r="K36" t="inlineStr">
        <is>
          <t>name or path</t>
        </is>
      </c>
      <c r="M36" t="inlineStr">
        <is>
          <t>In-game Market for 40 Platinum.</t>
        </is>
      </c>
      <c r="N36" t="inlineStr">
        <is>
          <t>Grand Carnus Regalia Collection | The Old Peace Uriel Bundle | Drifter/Patch History | Operator/Patch History</t>
        </is>
      </c>
      <c r="O36" t="inlineStr">
        <is>
          <t>We copied where it comes from off the wiki page. See place from wiki page.</t>
        </is>
      </c>
    </row>
    <row r="37">
      <c r="A37" t="inlineStr">
        <is>
          <t>/Lotus/Upgrades/Skins/Operator/BodySuits/BodySuitOperatorDemonframe</t>
        </is>
      </c>
      <c r="B37" t="inlineStr">
        <is>
          <t>Grand Carnus Cuirass</t>
        </is>
      </c>
      <c r="C37" t="inlineStr">
        <is>
          <t>https://wiki.warframe.com/w/Grand_Carnus_Regalia_Collection | https://wiki.warframe.com/w/The_Old_Peace_Uriel_Bundle</t>
        </is>
      </c>
      <c r="D37" t="inlineStr">
        <is>
          <t>ExportCustoms</t>
        </is>
      </c>
      <c r="F37" t="inlineStr">
        <is>
          <t>Grand Carnus Cuirass</t>
        </is>
      </c>
      <c r="H37" t="inlineStr">
        <is>
          <t>Solved: current place verified and archived 2026-10-16.</t>
        </is>
      </c>
      <c r="I37" t="inlineStr">
        <is>
          <t>Customs</t>
        </is>
      </c>
      <c r="J37" t="inlineStr">
        <is>
          <t>ExportCustoms_ground_truth</t>
        </is>
      </c>
      <c r="K37" t="inlineStr">
        <is>
          <t>name or path</t>
        </is>
      </c>
      <c r="M37" t="inlineStr">
        <is>
          <t>In-game Market for 40 Platinum.</t>
        </is>
      </c>
      <c r="N37" t="inlineStr">
        <is>
          <t>Grand Carnus Regalia Collection | The Old Peace Uriel Bundle | Drifter/Patch History | Operator/Patch History</t>
        </is>
      </c>
      <c r="O37" t="inlineStr">
        <is>
          <t>We copied where it comes from off the wiki page. See place from wiki page.</t>
        </is>
      </c>
    </row>
    <row r="38">
      <c r="A38" t="inlineStr">
        <is>
          <t>/Lotus/Upgrades/Skins/Operator/Leggings/LeggingsAdultOperatorDemonframe</t>
        </is>
      </c>
      <c r="B38" t="inlineStr">
        <is>
          <t>Grand Carnus Greaves</t>
        </is>
      </c>
      <c r="C38" t="inlineStr">
        <is>
          <t>https://wiki.warframe.com/w/Grand_Carnus_Regalia_Collection | https://wiki.warframe.com/w/The_Old_Peace_Uriel_Bundle</t>
        </is>
      </c>
      <c r="D38" t="inlineStr">
        <is>
          <t>ExportCustoms</t>
        </is>
      </c>
      <c r="F38" t="inlineStr">
        <is>
          <t>Grand Carnus Greaves</t>
        </is>
      </c>
      <c r="H38" t="inlineStr">
        <is>
          <t>Solved: current place verified and archived 2026-10-16.</t>
        </is>
      </c>
      <c r="I38" t="inlineStr">
        <is>
          <t>Customs</t>
        </is>
      </c>
      <c r="J38" t="inlineStr">
        <is>
          <t>ExportCustoms_ground_truth</t>
        </is>
      </c>
      <c r="K38" t="inlineStr">
        <is>
          <t>name or path</t>
        </is>
      </c>
      <c r="M38" t="inlineStr">
        <is>
          <t>In-game Market for 30 Platinum.</t>
        </is>
      </c>
      <c r="N38" t="inlineStr">
        <is>
          <t>Grand Carnus Regalia Collection | The Old Peace Uriel Bundle | Drifter/Patch History | Operator/Patch History</t>
        </is>
      </c>
      <c r="O38" t="inlineStr">
        <is>
          <t>We copied where it comes from off the wiki page. See place from wiki page.</t>
        </is>
      </c>
    </row>
    <row r="39">
      <c r="A39" t="inlineStr">
        <is>
          <t>/Lotus/Upgrades/Skins/Operator/Leggings/LeggingsOperatorDemonframe</t>
        </is>
      </c>
      <c r="B39" t="inlineStr">
        <is>
          <t>Grand Carnus Greaves</t>
        </is>
      </c>
      <c r="C39" t="inlineStr">
        <is>
          <t>https://wiki.warframe.com/w/Grand_Carnus_Regalia_Collection | https://wiki.warframe.com/w/The_Old_Peace_Uriel_Bundle</t>
        </is>
      </c>
      <c r="D39" t="inlineStr">
        <is>
          <t>ExportCustoms</t>
        </is>
      </c>
      <c r="F39" t="inlineStr">
        <is>
          <t>Grand Carnus Greaves</t>
        </is>
      </c>
      <c r="H39" t="inlineStr">
        <is>
          <t>Solved: current place verified and archived 2026-10-16.</t>
        </is>
      </c>
      <c r="I39" t="inlineStr">
        <is>
          <t>Customs</t>
        </is>
      </c>
      <c r="J39" t="inlineStr">
        <is>
          <t>ExportCustoms_ground_truth</t>
        </is>
      </c>
      <c r="K39" t="inlineStr">
        <is>
          <t>name or path</t>
        </is>
      </c>
      <c r="M39" t="inlineStr">
        <is>
          <t>In-game Market for 30 Platinum.</t>
        </is>
      </c>
      <c r="N39" t="inlineStr">
        <is>
          <t>Grand Carnus Regalia Collection | The Old Peace Uriel Bundle | Drifter/Patch History | Operator/Patch History</t>
        </is>
      </c>
      <c r="O39" t="inlineStr">
        <is>
          <t>We copied where it comes from off the wiki page. See place from wiki page.</t>
        </is>
      </c>
    </row>
    <row r="40">
      <c r="A40" t="inlineStr">
        <is>
          <t>/Lotus/Upgrades/Skins/Operator/Hoods/HoodAdultOperatorDemonframe</t>
        </is>
      </c>
      <c r="B40" t="inlineStr">
        <is>
          <t>Grand Carnus Hood</t>
        </is>
      </c>
      <c r="C40" t="inlineStr">
        <is>
          <t>https://wiki.warframe.com/w/Grand_Carnus_Regalia_Collection | https://wiki.warframe.com/w/The_Old_Peace_Uriel_Bundle</t>
        </is>
      </c>
      <c r="D40" t="inlineStr">
        <is>
          <t>ExportCustoms</t>
        </is>
      </c>
      <c r="F40" t="inlineStr">
        <is>
          <t>Grand Carnus Hood</t>
        </is>
      </c>
      <c r="H40" t="inlineStr">
        <is>
          <t>Solved: current place verified and archived 2026-10-16.</t>
        </is>
      </c>
      <c r="I40" t="inlineStr">
        <is>
          <t>Customs</t>
        </is>
      </c>
      <c r="J40" t="inlineStr">
        <is>
          <t>ExportCustoms_ground_truth</t>
        </is>
      </c>
      <c r="K40" t="inlineStr">
        <is>
          <t>name or path</t>
        </is>
      </c>
      <c r="M40" t="inlineStr">
        <is>
          <t>In-game Market for 40 Platinum.</t>
        </is>
      </c>
      <c r="N40" t="inlineStr">
        <is>
          <t>Grand Carnus Regalia Collection | The Old Peace Uriel Bundle | Update 41: The Old Peace | Drifter/Patch History | Operator/Patch History</t>
        </is>
      </c>
      <c r="O40" t="inlineStr">
        <is>
          <t>We copied where it comes from off the wiki page. See place from wiki page.</t>
        </is>
      </c>
    </row>
    <row r="41">
      <c r="A41" t="inlineStr">
        <is>
          <t>/Lotus/Upgrades/Skins/Operator/Hoods/HoodOperatorDemonframe</t>
        </is>
      </c>
      <c r="B41" t="inlineStr">
        <is>
          <t>Grand Carnus Hood</t>
        </is>
      </c>
      <c r="C41" t="inlineStr">
        <is>
          <t>https://wiki.warframe.com/w/Grand_Carnus_Regalia_Collection | https://wiki.warframe.com/w/The_Old_Peace_Uriel_Bundle</t>
        </is>
      </c>
      <c r="D41" t="inlineStr">
        <is>
          <t>ExportCustoms</t>
        </is>
      </c>
      <c r="F41" t="inlineStr">
        <is>
          <t>Grand Carnus Hood</t>
        </is>
      </c>
      <c r="H41" t="inlineStr">
        <is>
          <t>Solved: current place verified and archived 2026-10-16.</t>
        </is>
      </c>
      <c r="I41" t="inlineStr">
        <is>
          <t>Customs</t>
        </is>
      </c>
      <c r="J41" t="inlineStr">
        <is>
          <t>ExportCustoms_ground_truth</t>
        </is>
      </c>
      <c r="K41" t="inlineStr">
        <is>
          <t>name or path</t>
        </is>
      </c>
      <c r="M41" t="inlineStr">
        <is>
          <t>In-game Market for 40 Platinum.</t>
        </is>
      </c>
      <c r="N41" t="inlineStr">
        <is>
          <t>Grand Carnus Regalia Collection | The Old Peace Uriel Bundle | Update 41: The Old Peace | Drifter/Patch History | Operator/Patch History</t>
        </is>
      </c>
      <c r="O41" t="inlineStr">
        <is>
          <t>We copied where it comes from off the wiki page. See place from wiki page.</t>
        </is>
      </c>
    </row>
    <row r="42">
      <c r="A42" t="inlineStr">
        <is>
          <t>/Lotus/Upgrades/Skins/Operator/Skirts/SkirtAdultOperatorDemonframe</t>
        </is>
      </c>
      <c r="B42" t="inlineStr">
        <is>
          <t>Grand Carnus Regalia</t>
        </is>
      </c>
      <c r="C42" t="inlineStr">
        <is>
          <t>https://wiki.warframe.com/w/Grand_Carnus_Regalia_Collection | https://wiki.warframe.com/w/Drifter/Customization | https://wiki.warframe.com/w/Operator/Customization | https://wiki.warframe.com/w/Market/Bundles</t>
        </is>
      </c>
      <c r="D42" t="inlineStr">
        <is>
          <t>ExportCustoms</t>
        </is>
      </c>
      <c r="F42" t="inlineStr">
        <is>
          <t>Grand Carnus Regalia</t>
        </is>
      </c>
      <c r="H42" t="inlineStr">
        <is>
          <t>Solved: current place verified and archived 2026-10-16.</t>
        </is>
      </c>
      <c r="I42" t="inlineStr">
        <is>
          <t>Customs</t>
        </is>
      </c>
      <c r="J42" t="inlineStr">
        <is>
          <t>ExportCustoms_ground_truth</t>
        </is>
      </c>
      <c r="K42" t="inlineStr">
        <is>
          <t>name or path</t>
        </is>
      </c>
      <c r="M42" t="inlineStr">
        <is>
          <t>In-game Market for 25 Platinum, or in the Grand Carnus Regalia Collection for 130 Platinum.</t>
        </is>
      </c>
      <c r="N42" t="inlineStr">
        <is>
          <t>Grand Carnus Regalia Collection | Drifter/Customization | Operator/Customization | Market/Bundles</t>
        </is>
      </c>
      <c r="O42" t="inlineStr">
        <is>
          <t>We found more than one answer for where it comes from. Look at place from wiki page — the answers are separated by | — and pick the right one.</t>
        </is>
      </c>
    </row>
    <row r="43">
      <c r="A43" t="inlineStr">
        <is>
          <t>/Lotus/Upgrades/Skins/Operator/Skirts/SkirtOperatorDemonframe</t>
        </is>
      </c>
      <c r="B43" t="inlineStr">
        <is>
          <t>Grand Carnus Regalia</t>
        </is>
      </c>
      <c r="C43" t="inlineStr">
        <is>
          <t>https://wiki.warframe.com/w/Grand_Carnus_Regalia_Collection | https://wiki.warframe.com/w/Drifter/Customization | https://wiki.warframe.com/w/Operator/Customization | https://wiki.warframe.com/w/Market/Bundles</t>
        </is>
      </c>
      <c r="D43" t="inlineStr">
        <is>
          <t>ExportCustoms</t>
        </is>
      </c>
      <c r="F43" t="inlineStr">
        <is>
          <t>Grand Carnus Regalia</t>
        </is>
      </c>
      <c r="H43" t="inlineStr">
        <is>
          <t>Solved: current place verified and archived 2026-10-16.</t>
        </is>
      </c>
      <c r="I43" t="inlineStr">
        <is>
          <t>Customs</t>
        </is>
      </c>
      <c r="J43" t="inlineStr">
        <is>
          <t>ExportCustoms_ground_truth</t>
        </is>
      </c>
      <c r="K43" t="inlineStr">
        <is>
          <t>name or path</t>
        </is>
      </c>
      <c r="M43" t="inlineStr">
        <is>
          <t>In-game Market for 25 Platinum, or in the Grand Carnus Regalia Collection for 130 Platinum.</t>
        </is>
      </c>
      <c r="N43" t="inlineStr">
        <is>
          <t>Grand Carnus Regalia Collection | Drifter/Customization | Operator/Customization | Market/Bundles</t>
        </is>
      </c>
      <c r="O43" t="inlineStr">
        <is>
          <t>We found more than one answer for where it comes from. Look at place from wiki page — the answers are separated by | — and pick the right one.</t>
        </is>
      </c>
    </row>
    <row r="44">
      <c r="A44" t="inlineStr">
        <is>
          <t>/Lotus/Upgrades/Skins/Operator/Sleeves/SleevesAdultOperatorDemonframe</t>
        </is>
      </c>
      <c r="B44" t="inlineStr">
        <is>
          <t>Grand Carnus Sleeves</t>
        </is>
      </c>
      <c r="C44" t="inlineStr">
        <is>
          <t>https://wiki.warframe.com/w/Grand_Carnus_Regalia_Collection | https://wiki.warframe.com/w/The_Old_Peace_Uriel_Bundle</t>
        </is>
      </c>
      <c r="D44" t="inlineStr">
        <is>
          <t>ExportCustoms</t>
        </is>
      </c>
      <c r="F44" t="inlineStr">
        <is>
          <t>Grand Carnus Sleeves</t>
        </is>
      </c>
      <c r="H44" t="inlineStr">
        <is>
          <t>Solved: current place verified and archived 2026-10-16.</t>
        </is>
      </c>
      <c r="I44" t="inlineStr">
        <is>
          <t>Customs</t>
        </is>
      </c>
      <c r="J44" t="inlineStr">
        <is>
          <t>ExportCustoms_ground_truth</t>
        </is>
      </c>
      <c r="K44" t="inlineStr">
        <is>
          <t>name or path</t>
        </is>
      </c>
      <c r="M44" t="inlineStr">
        <is>
          <t>In-game Market for 30 Platinum.</t>
        </is>
      </c>
      <c r="N44" t="inlineStr">
        <is>
          <t>Grand Carnus Regalia Collection | The Old Peace Uriel Bundle | Drifter/Patch History | Operator/Patch History</t>
        </is>
      </c>
      <c r="O44" t="inlineStr">
        <is>
          <t>We copied where it comes from off the wiki page. See place from wiki page.</t>
        </is>
      </c>
    </row>
    <row r="45">
      <c r="A45" t="inlineStr">
        <is>
          <t>/Lotus/Upgrades/Skins/Operator/Sleeves/SleevesOperatorDemonframe</t>
        </is>
      </c>
      <c r="B45" t="inlineStr">
        <is>
          <t>Grand Carnus Sleeves</t>
        </is>
      </c>
      <c r="C45" t="inlineStr">
        <is>
          <t>https://wiki.warframe.com/w/Grand_Carnus_Regalia_Collection | https://wiki.warframe.com/w/The_Old_Peace_Uriel_Bundle</t>
        </is>
      </c>
      <c r="D45" t="inlineStr">
        <is>
          <t>ExportCustoms</t>
        </is>
      </c>
      <c r="F45" t="inlineStr">
        <is>
          <t>Grand Carnus Sleeves</t>
        </is>
      </c>
      <c r="H45" t="inlineStr">
        <is>
          <t>Solved: current place verified and archived 2026-10-16.</t>
        </is>
      </c>
      <c r="I45" t="inlineStr">
        <is>
          <t>Customs</t>
        </is>
      </c>
      <c r="J45" t="inlineStr">
        <is>
          <t>ExportCustoms_ground_truth</t>
        </is>
      </c>
      <c r="K45" t="inlineStr">
        <is>
          <t>name or path</t>
        </is>
      </c>
      <c r="M45" t="inlineStr">
        <is>
          <t>In-game Market for 30 Platinum.</t>
        </is>
      </c>
      <c r="N45" t="inlineStr">
        <is>
          <t>Grand Carnus Regalia Collection | The Old Peace Uriel Bundle | Drifter/Patch History | Operator/Patch History</t>
        </is>
      </c>
      <c r="O45" t="inlineStr">
        <is>
          <t>We copied where it comes from off the wiki page. See place from wiki page.</t>
        </is>
      </c>
    </row>
    <row r="46">
      <c r="A46" t="inlineStr">
        <is>
          <t>/Lotus/Upgrades/Skins/Horse/DagathDeluxeLNYHorseBodySkin</t>
        </is>
      </c>
      <c r="B46" t="inlineStr">
        <is>
          <t>Gynfas Kaithe</t>
        </is>
      </c>
      <c r="C46" t="inlineStr">
        <is>
          <t>https://wiki.warframe.com/w/Year_Of_The_Kaithe_Collection | https://wiki.warframe.com/w/Lunar_Renewal | https://wiki.warframe.com/w/Kaithe | https://wiki.warframe.com/w/Lustrous_Lunar_Renewal_Collection</t>
        </is>
      </c>
      <c r="D46" t="inlineStr">
        <is>
          <t>ExportCustoms</t>
        </is>
      </c>
      <c r="F46" t="inlineStr">
        <is>
          <t>Gynfas Kaithe</t>
        </is>
      </c>
      <c r="H46" t="inlineStr">
        <is>
          <t>Solved: current place verified and archived 2026-10-16.</t>
        </is>
      </c>
      <c r="I46" t="inlineStr">
        <is>
          <t>Customs</t>
        </is>
      </c>
      <c r="J46" t="inlineStr">
        <is>
          <t>ExportCustoms_ground_truth</t>
        </is>
      </c>
      <c r="K46" t="inlineStr">
        <is>
          <t>name or path</t>
        </is>
      </c>
      <c r="M46" t="inlineStr">
        <is>
          <t>In-game Market for 220 Platinum, or in the Year Of The Kaithe Collection for 295 Platinum.</t>
        </is>
      </c>
      <c r="N46" t="inlineStr">
        <is>
          <t>Year Of The Kaithe Collection | Lunar Renewal | Kaithe | Update 41: The Old Peace | Lustrous Lunar Renewal Collection</t>
        </is>
      </c>
      <c r="O46" t="inlineStr">
        <is>
          <t>We found more than one answer for where it comes from. Look at place from wiki page — the answers are separated by | — and pick the right one.</t>
        </is>
      </c>
    </row>
    <row r="47">
      <c r="A47" t="inlineStr">
        <is>
          <t>/Lotus/Upgrades/Skins/Horse/DagathDeluxeLNYHorseTail</t>
        </is>
      </c>
      <c r="B47" t="inlineStr">
        <is>
          <t>Gynfas Tail</t>
        </is>
      </c>
      <c r="C47" t="inlineStr">
        <is>
          <t>https://wiki.warframe.com/w/Kaithe</t>
        </is>
      </c>
      <c r="D47" t="inlineStr">
        <is>
          <t>ExportCustoms</t>
        </is>
      </c>
      <c r="F47" t="inlineStr">
        <is>
          <t>Gynfas Tail</t>
        </is>
      </c>
      <c r="H47" t="inlineStr">
        <is>
          <t>Solved: current place verified and archived 2026-10-16.</t>
        </is>
      </c>
      <c r="I47" t="inlineStr">
        <is>
          <t>Customs</t>
        </is>
      </c>
      <c r="J47" t="inlineStr">
        <is>
          <t>ExportCustoms_ground_truth</t>
        </is>
      </c>
      <c r="K47" t="inlineStr">
        <is>
          <t>name or path</t>
        </is>
      </c>
      <c r="M47" t="inlineStr">
        <is>
          <t>In-game Market for 30 Platinum.</t>
        </is>
      </c>
      <c r="N47" t="inlineStr">
        <is>
          <t>Kaithe | Update 41: The Old Peace</t>
        </is>
      </c>
      <c r="O47" t="inlineStr">
        <is>
          <t>We copied where it comes from off the wiki page. See place from wiki page.</t>
        </is>
      </c>
    </row>
    <row r="48">
      <c r="A48" t="inlineStr">
        <is>
          <t>/Lotus/Upgrades/Skins/Operator/Accessories/SWHaemadysMaskAcc</t>
        </is>
      </c>
      <c r="B48" t="inlineStr">
        <is>
          <t>Haemadys Mask</t>
        </is>
      </c>
      <c r="C48" t="inlineStr">
        <is>
          <t>https://wiki.warframe.com/w/TennoGen_Fables_Bundle | https://wiki.warframe.com/w/TennoGen</t>
        </is>
      </c>
      <c r="D48" t="inlineStr">
        <is>
          <t>ExportCustoms</t>
        </is>
      </c>
      <c r="G48" t="inlineStr">
        <is>
          <t>Haemadys Mask</t>
        </is>
      </c>
      <c r="H48" t="inlineStr">
        <is>
          <t>Solved: current place verified and archived 2026-10-16.</t>
        </is>
      </c>
      <c r="I48" t="inlineStr">
        <is>
          <t>Customs</t>
        </is>
      </c>
      <c r="J48" t="inlineStr">
        <is>
          <t>Cosmetics_data, Cosmetics_data_facialaccessory, ExportCustoms_ground_truth</t>
        </is>
      </c>
      <c r="K48" t="inlineStr">
        <is>
          <t>Cosmetics/data/facialaccessory</t>
        </is>
      </c>
      <c r="L48" t="inlineStr">
        <is>
          <t>listed, no place</t>
        </is>
      </c>
      <c r="M48" t="inlineStr">
        <is>
          <t>TennoGen Market for 35 Platinum on consoles or $1.99 on PC.</t>
        </is>
      </c>
      <c r="N48" t="inlineStr">
        <is>
          <t>TennoGen Fables Bundle | TennoGen</t>
        </is>
      </c>
      <c r="O48" t="inlineStr">
        <is>
          <t>Saved a concrete acquisition place from the official Warframe Wiki.</t>
        </is>
      </c>
    </row>
    <row r="49">
      <c r="A49" t="inlineStr">
        <is>
          <t>/Lotus/Upgrades/Skins/Sentinels/Wings/IctusPrimeWingsRight</t>
        </is>
      </c>
      <c r="B49" t="inlineStr">
        <is>
          <t>Ictus Prime Wings</t>
        </is>
      </c>
      <c r="C49" t="inlineStr">
        <is>
          <t>https://wiki.warframe.com/w/Sentinel_Cosmetics</t>
        </is>
      </c>
      <c r="D49" t="inlineStr">
        <is>
          <t>ExportCustoms</t>
        </is>
      </c>
      <c r="F49" t="inlineStr">
        <is>
          <t>Ictus Prime Wings</t>
        </is>
      </c>
      <c r="G49" t="inlineStr">
        <is>
          <t>Ictus Prime Wings</t>
        </is>
      </c>
      <c r="H49" t="inlineStr">
        <is>
          <t>Solved: current place verified and archived 2026-10-16.</t>
        </is>
      </c>
      <c r="I49" t="inlineStr">
        <is>
          <t>Customs</t>
        </is>
      </c>
      <c r="J49" t="inlineStr">
        <is>
          <t>Cosmetics_data, Cosmetics_data_sentinelarmor, Cosmetics_userdata, ExportCustoms_ground_truth</t>
        </is>
      </c>
      <c r="K49" t="inlineStr">
        <is>
          <t>Cosmetics/data/sentinelarmor</t>
        </is>
      </c>
      <c r="L49" t="inlineStr">
        <is>
          <t>listed, no place</t>
        </is>
      </c>
      <c r="M49" t="inlineStr">
        <is>
          <t>Included in Banshee Prime Access (Ictus Prime Sentinel Accessories).</t>
        </is>
      </c>
      <c r="N49" t="inlineStr">
        <is>
          <t>Sentinel Cosmetics</t>
        </is>
      </c>
      <c r="O49" t="inlineStr">
        <is>
          <t>Saved a concrete acquisition place from the official Warframe Wiki.</t>
        </is>
      </c>
    </row>
    <row r="50">
      <c r="A50" t="inlineStr">
        <is>
          <t>/Lotus/Upgrades/Skins/Sentinels/Wings/IctusWingsRight</t>
        </is>
      </c>
      <c r="B50" t="inlineStr">
        <is>
          <t>Ictus Sentinel Wings</t>
        </is>
      </c>
      <c r="C50" t="inlineStr">
        <is>
          <t>https://wiki.warframe.com/w/Ictus_Sentinel_Pack | https://wiki.warframe.com/w/Sentinel_Cosmetics</t>
        </is>
      </c>
      <c r="D50" t="inlineStr">
        <is>
          <t>ExportCustoms</t>
        </is>
      </c>
      <c r="F50" t="inlineStr">
        <is>
          <t>Ictus Sentinel Wings</t>
        </is>
      </c>
      <c r="G50" t="inlineStr">
        <is>
          <t>Ictus Sentinel Wings</t>
        </is>
      </c>
      <c r="H50" t="inlineStr">
        <is>
          <t>Solved: current place verified and archived 2026-10-16.</t>
        </is>
      </c>
      <c r="I50" t="inlineStr">
        <is>
          <t>Customs</t>
        </is>
      </c>
      <c r="J50" t="inlineStr">
        <is>
          <t>Cosmetics_data, Cosmetics_data_sentinelarmor, Cosmetics_userdata, ExportCustoms_ground_truth</t>
        </is>
      </c>
      <c r="K50" t="inlineStr">
        <is>
          <t>Cosmetics/data/sentinelarmor</t>
        </is>
      </c>
      <c r="L50" t="inlineStr">
        <is>
          <t>listed, no place</t>
        </is>
      </c>
      <c r="M50" t="inlineStr">
        <is>
          <t>In-game Market for 15 Platinum, or in the Ictus Sentinel Pack.</t>
        </is>
      </c>
      <c r="N50" t="inlineStr">
        <is>
          <t>Ictus Sentinel Pack | Sentinel Cosmetics</t>
        </is>
      </c>
      <c r="O50" t="inlineStr">
        <is>
          <t>Saved a concrete acquisition place from the official Warframe Wiki.</t>
        </is>
      </c>
    </row>
    <row r="51">
      <c r="A51" t="inlineStr">
        <is>
          <t>/Lotus/Upgrades/Skins/Operator/Accessories/EyepieceOperatorGlassesSensei</t>
        </is>
      </c>
      <c r="B51" t="inlineStr">
        <is>
          <t>Itzam's Oculus</t>
        </is>
      </c>
      <c r="C51" t="inlineStr">
        <is>
          <t>https://wiki.warframe.com/w/Itzam | https://wiki.warframe.com/w/Operator/Customization | https://wiki.warframe.com/w/War_Stories_Bundle</t>
        </is>
      </c>
      <c r="D51" t="inlineStr">
        <is>
          <t>ExportCustoms</t>
        </is>
      </c>
      <c r="F51" t="inlineStr">
        <is>
          <t>Itzam's Oculus</t>
        </is>
      </c>
      <c r="H51" t="inlineStr">
        <is>
          <t>Solved: current place verified and archived 2026-10-16.</t>
        </is>
      </c>
      <c r="I51" t="inlineStr">
        <is>
          <t>Customs</t>
        </is>
      </c>
      <c r="J51" t="inlineStr">
        <is>
          <t>Cosmetics_data, Cosmetics_userdata, ExportCustoms_ground_truth</t>
        </is>
      </c>
      <c r="K51" t="inlineStr">
        <is>
          <t>name or path</t>
        </is>
      </c>
      <c r="M51" t="inlineStr">
        <is>
          <t>In-game Market for 75 Platinum.</t>
        </is>
      </c>
      <c r="N51" t="inlineStr">
        <is>
          <t>Itzam | Operator/Customization | War Stories Bundle | Update 41: The Old Peace</t>
        </is>
      </c>
      <c r="O51" t="inlineStr">
        <is>
          <t>We copied where it comes from off the wiki page. See place from wiki page.</t>
        </is>
      </c>
    </row>
    <row r="52">
      <c r="A52" t="inlineStr">
        <is>
          <t>/Lotus/Upgrades/Skins/Operator/MakeupMasks/MakeupMaskI</t>
        </is>
      </c>
      <c r="B52" t="inlineStr">
        <is>
          <t>Kathaya Look</t>
        </is>
      </c>
      <c r="C52" t="inlineStr">
        <is>
          <t>https://wiki.warframe.com/w/Operator/Customization</t>
        </is>
      </c>
      <c r="D52" t="inlineStr">
        <is>
          <t>ExportCustoms</t>
        </is>
      </c>
      <c r="F52" t="inlineStr">
        <is>
          <t>Kathaya Look</t>
        </is>
      </c>
      <c r="H52" t="inlineStr">
        <is>
          <t>Solved: current place verified and archived 2026-10-16.</t>
        </is>
      </c>
      <c r="I52" t="inlineStr">
        <is>
          <t>Customs</t>
        </is>
      </c>
      <c r="J52" t="inlineStr">
        <is>
          <t>ExportCustoms_ground_truth</t>
        </is>
      </c>
      <c r="K52" t="inlineStr">
        <is>
          <t>name or path</t>
        </is>
      </c>
      <c r="M52" t="inlineStr">
        <is>
          <t>Unlocked by default in Operator appearance customization.</t>
        </is>
      </c>
      <c r="N52" t="inlineStr">
        <is>
          <t>Operator/Customization</t>
        </is>
      </c>
      <c r="O52" t="inlineStr">
        <is>
          <t>Saved a concrete acquisition place from the official Warframe Wiki. Operator/Customization Makeup gallery marks it (default).</t>
        </is>
      </c>
    </row>
    <row r="53">
      <c r="A53" t="inlineStr">
        <is>
          <t>/Lotus/Types/Game/CatbrowPet/Patterns/DuviriCatbrowPattern</t>
        </is>
      </c>
      <c r="B53" t="inlineStr">
        <is>
          <t>Kexat Skin</t>
        </is>
      </c>
      <c r="C53" t="inlineStr">
        <is>
          <t>https://wiki.warframe.com/w/Kavat_Cosmetics</t>
        </is>
      </c>
      <c r="D53" t="inlineStr">
        <is>
          <t>ExportCustoms</t>
        </is>
      </c>
      <c r="F53" t="inlineStr">
        <is>
          <t>Kexat Skin</t>
        </is>
      </c>
      <c r="H53" t="inlineStr">
        <is>
          <t>Solved: current place verified and archived 2026-10-16.</t>
        </is>
      </c>
      <c r="I53" t="inlineStr">
        <is>
          <t>Customs</t>
        </is>
      </c>
      <c r="J53" t="inlineStr">
        <is>
          <t>Cosmetics_data, Cosmetics_userdata, ExportCustoms_ground_truth</t>
        </is>
      </c>
      <c r="K53" t="inlineStr">
        <is>
          <t>name or path</t>
        </is>
      </c>
      <c r="M53" t="inlineStr">
        <is>
          <t>Kexat Gene-Masking Kit for 12 Medical Debt-Bonds during Star Days.</t>
        </is>
      </c>
      <c r="N53" t="inlineStr">
        <is>
          <t>Kavat Cosmetics</t>
        </is>
      </c>
      <c r="O53" t="inlineStr">
        <is>
          <t>Saved a concrete acquisition place from the official Warframe Wiki. Kavat Cosmetics lists the Kexat skin at 12 Medical Debt-Bond, seasonal.</t>
        </is>
      </c>
    </row>
    <row r="54">
      <c r="A54" t="inlineStr">
        <is>
          <t>/Lotus/Upgrades/Skins/Yareli/KompressaDaybreakSkin</t>
        </is>
      </c>
      <c r="B54" t="inlineStr">
        <is>
          <t>Kompressa Daybreak Skin</t>
        </is>
      </c>
      <c r="C54" t="inlineStr">
        <is>
          <t>https://wiki.warframe.com/w/Dog_Days | https://wiki.warframe.com/w/Weapon_Cosmetics</t>
        </is>
      </c>
      <c r="D54" t="inlineStr">
        <is>
          <t>ExportCustoms</t>
        </is>
      </c>
      <c r="F54" t="inlineStr">
        <is>
          <t>Kompressa Daybreak Skin</t>
        </is>
      </c>
      <c r="H54" t="inlineStr">
        <is>
          <t>Solved: current place verified and archived 2026-10-16.</t>
        </is>
      </c>
      <c r="I54" t="inlineStr">
        <is>
          <t>Customs</t>
        </is>
      </c>
      <c r="J54" t="inlineStr">
        <is>
          <t>ExportCustoms_ground_truth</t>
        </is>
      </c>
      <c r="K54" t="inlineStr">
        <is>
          <t>name or path</t>
        </is>
      </c>
      <c r="M54" t="inlineStr">
        <is>
          <t>Purchase from the Dog Days event store for 250 Nakak Pearls.</t>
        </is>
      </c>
      <c r="N54" t="inlineStr">
        <is>
          <t>Dog Days | Weapon Cosmetics</t>
        </is>
      </c>
      <c r="O54" t="inlineStr">
        <is>
          <t>We copied where it comes from off the wiki page. See place from wiki page.</t>
        </is>
      </c>
    </row>
    <row r="55">
      <c r="A55" t="inlineStr">
        <is>
          <t>/Lotus/Upgrades/Skins/Operator/Skirts/SkirtAdultB</t>
        </is>
      </c>
      <c r="B55" t="inlineStr">
        <is>
          <t>Koppra Faulds</t>
        </is>
      </c>
      <c r="C55" t="inlineStr">
        <is>
          <t>https://wiki.warframe.com/w/Operator_Suit_Collection</t>
        </is>
      </c>
      <c r="D55" t="inlineStr">
        <is>
          <t>ExportCustoms</t>
        </is>
      </c>
      <c r="F55" t="inlineStr">
        <is>
          <t>Koppra Faulds</t>
        </is>
      </c>
      <c r="G55" t="inlineStr">
        <is>
          <t>Koppra Faulds</t>
        </is>
      </c>
      <c r="H55" t="inlineStr">
        <is>
          <t>Solved: current place verified and archived 2026-10-16.</t>
        </is>
      </c>
      <c r="I55" t="inlineStr">
        <is>
          <t>Customs</t>
        </is>
      </c>
      <c r="J55" t="inlineStr">
        <is>
          <t>Cosmetics_data, Cosmetics_data_transferencesuit, Cosmetics_userdata, ExportCustoms_ground_truth</t>
        </is>
      </c>
      <c r="K55" t="inlineStr">
        <is>
          <t>Cosmetics/data/transferencesuit</t>
        </is>
      </c>
      <c r="L55" t="inlineStr">
        <is>
          <t>listed, no place</t>
        </is>
      </c>
      <c r="M55" t="inlineStr">
        <is>
          <t>In-game Market for 25 Platinum.</t>
        </is>
      </c>
      <c r="N55" t="inlineStr">
        <is>
          <t>Operator Suit Collection</t>
        </is>
      </c>
      <c r="O55" t="inlineStr">
        <is>
          <t>Saved a concrete acquisition place from the official Warframe Wiki.</t>
        </is>
      </c>
    </row>
    <row r="56">
      <c r="A56" t="inlineStr">
        <is>
          <t>/Lotus/Upgrades/Skins/Operator/Hoods/HoodAdultB</t>
        </is>
      </c>
      <c r="B56" t="inlineStr">
        <is>
          <t>Koppra Hood</t>
        </is>
      </c>
      <c r="C56" t="inlineStr">
        <is>
          <t>https://wiki.warframe.com/w/Operator_Suit_Collection</t>
        </is>
      </c>
      <c r="D56" t="inlineStr">
        <is>
          <t>ExportCustoms</t>
        </is>
      </c>
      <c r="F56" t="inlineStr">
        <is>
          <t>Koppra Hood</t>
        </is>
      </c>
      <c r="G56" t="inlineStr">
        <is>
          <t>Koppra Hood</t>
        </is>
      </c>
      <c r="H56" t="inlineStr">
        <is>
          <t>Solved: current place verified and archived 2026-10-16.</t>
        </is>
      </c>
      <c r="I56" t="inlineStr">
        <is>
          <t>Customs</t>
        </is>
      </c>
      <c r="J56" t="inlineStr">
        <is>
          <t>Cosmetics_data, Cosmetics_data_transferencesuit, Cosmetics_userdata, ExportCustoms_ground_truth</t>
        </is>
      </c>
      <c r="K56" t="inlineStr">
        <is>
          <t>Cosmetics/data/transferencesuit</t>
        </is>
      </c>
      <c r="L56" t="inlineStr">
        <is>
          <t>listed, no place</t>
        </is>
      </c>
      <c r="M56" t="inlineStr">
        <is>
          <t>In-game Market for 30 Platinum.</t>
        </is>
      </c>
      <c r="N56" t="inlineStr">
        <is>
          <t>Operator Suit Collection</t>
        </is>
      </c>
      <c r="O56" t="inlineStr">
        <is>
          <t>Saved a concrete acquisition place from the official Warframe Wiki.</t>
        </is>
      </c>
    </row>
    <row r="57">
      <c r="A57" t="inlineStr">
        <is>
          <t>/Lotus/Upgrades/Skins/Operator/Leggings/LeggingsAdultB</t>
        </is>
      </c>
      <c r="B57" t="inlineStr">
        <is>
          <t>Koppra Leggings</t>
        </is>
      </c>
      <c r="C57" t="inlineStr">
        <is>
          <t>https://wiki.warframe.com/w/Operator_Suit_Collection</t>
        </is>
      </c>
      <c r="D57" t="inlineStr">
        <is>
          <t>ExportCustoms</t>
        </is>
      </c>
      <c r="F57" t="inlineStr">
        <is>
          <t>Koppra Leggings</t>
        </is>
      </c>
      <c r="G57" t="inlineStr">
        <is>
          <t>Koppra Leggings</t>
        </is>
      </c>
      <c r="H57" t="inlineStr">
        <is>
          <t>Solved: current place verified and archived 2026-10-16.</t>
        </is>
      </c>
      <c r="I57" t="inlineStr">
        <is>
          <t>Customs</t>
        </is>
      </c>
      <c r="J57" t="inlineStr">
        <is>
          <t>Cosmetics_data, Cosmetics_data_transferencesuit, Cosmetics_userdata, ExportCustoms_ground_truth</t>
        </is>
      </c>
      <c r="K57" t="inlineStr">
        <is>
          <t>Cosmetics/data/transferencesuit</t>
        </is>
      </c>
      <c r="L57" t="inlineStr">
        <is>
          <t>listed, no place</t>
        </is>
      </c>
      <c r="M57" t="inlineStr">
        <is>
          <t>In-game Market for 25 Platinum.</t>
        </is>
      </c>
      <c r="N57" t="inlineStr">
        <is>
          <t>Operator Suit Collection</t>
        </is>
      </c>
      <c r="O57" t="inlineStr">
        <is>
          <t>Saved a concrete acquisition place from the official Warframe Wiki.</t>
        </is>
      </c>
    </row>
    <row r="58">
      <c r="A58" t="inlineStr">
        <is>
          <t>/Lotus/Upgrades/Skins/Operator/Sleeves/SleevesAdultB</t>
        </is>
      </c>
      <c r="B58" t="inlineStr">
        <is>
          <t>Koppra Sleeves</t>
        </is>
      </c>
      <c r="C58" t="inlineStr">
        <is>
          <t>https://wiki.warframe.com/w/Operator_Suit_Collection</t>
        </is>
      </c>
      <c r="D58" t="inlineStr">
        <is>
          <t>ExportCustoms</t>
        </is>
      </c>
      <c r="F58" t="inlineStr">
        <is>
          <t>Koppra Sleeves</t>
        </is>
      </c>
      <c r="G58" t="inlineStr">
        <is>
          <t>Koppra Sleeves</t>
        </is>
      </c>
      <c r="H58" t="inlineStr">
        <is>
          <t>Solved: current place verified and archived 2026-10-16.</t>
        </is>
      </c>
      <c r="I58" t="inlineStr">
        <is>
          <t>Customs</t>
        </is>
      </c>
      <c r="J58" t="inlineStr">
        <is>
          <t>Cosmetics_data, Cosmetics_data_transferencesuit, Cosmetics_userdata, ExportCustoms_ground_truth</t>
        </is>
      </c>
      <c r="K58" t="inlineStr">
        <is>
          <t>Cosmetics/data/transferencesuit</t>
        </is>
      </c>
      <c r="L58" t="inlineStr">
        <is>
          <t>listed, no place</t>
        </is>
      </c>
      <c r="M58" t="inlineStr">
        <is>
          <t>In-game Market for 25 Platinum.</t>
        </is>
      </c>
      <c r="N58" t="inlineStr">
        <is>
          <t>Operator Suit Collection</t>
        </is>
      </c>
      <c r="O58" t="inlineStr">
        <is>
          <t>Saved a concrete acquisition place from the official Warframe Wiki.</t>
        </is>
      </c>
    </row>
    <row r="59">
      <c r="A59" t="inlineStr">
        <is>
          <t>/Lotus/Upgrades/Skins/Operator/BodySuits/BodySuitAdultB</t>
        </is>
      </c>
      <c r="B59" t="inlineStr">
        <is>
          <t>Koppra Suit</t>
        </is>
      </c>
      <c r="C59" t="inlineStr">
        <is>
          <t>https://wiki.warframe.com/w/Operator_Suit_Collection</t>
        </is>
      </c>
      <c r="D59" t="inlineStr">
        <is>
          <t>ExportCustoms</t>
        </is>
      </c>
      <c r="F59" t="inlineStr">
        <is>
          <t>Koppra Suit</t>
        </is>
      </c>
      <c r="G59" t="inlineStr">
        <is>
          <t>Koppra Suit</t>
        </is>
      </c>
      <c r="H59" t="inlineStr">
        <is>
          <t>Solved: current place verified and archived 2026-10-16.</t>
        </is>
      </c>
      <c r="I59" t="inlineStr">
        <is>
          <t>Customs</t>
        </is>
      </c>
      <c r="J59" t="inlineStr">
        <is>
          <t>Cosmetics_data, Cosmetics_data_transferencesuit, Cosmetics_userdata, ExportCustoms_ground_truth</t>
        </is>
      </c>
      <c r="K59" t="inlineStr">
        <is>
          <t>Cosmetics/data/transferencesuit</t>
        </is>
      </c>
      <c r="L59" t="inlineStr">
        <is>
          <t>listed, no place</t>
        </is>
      </c>
      <c r="M59" t="inlineStr">
        <is>
          <t>In-game Market for 25 Platinum.</t>
        </is>
      </c>
      <c r="N59" t="inlineStr">
        <is>
          <t>Operator Suit Collection</t>
        </is>
      </c>
      <c r="O59" t="inlineStr">
        <is>
          <t>Saved a concrete acquisition place from the official Warframe Wiki.</t>
        </is>
      </c>
    </row>
    <row r="60">
      <c r="A60" t="inlineStr">
        <is>
          <t>/Lotus/Upgrades/Skins/Operator/MakeupMasks/MaduraiMaskA</t>
        </is>
      </c>
      <c r="B60" t="inlineStr">
        <is>
          <t>Madurai Paint A</t>
        </is>
      </c>
      <c r="C60" t="inlineStr">
        <is>
          <t>https://wiki.warframe.com/w/Operator/Customization | https://wiki.warframe.com/w/Focus</t>
        </is>
      </c>
      <c r="D60" t="inlineStr">
        <is>
          <t>ExportCustoms</t>
        </is>
      </c>
      <c r="F60" t="inlineStr">
        <is>
          <t>Madurai Paint A</t>
        </is>
      </c>
      <c r="H60" t="inlineStr">
        <is>
          <t>Solved: current place verified and archived 2026-10-16.</t>
        </is>
      </c>
      <c r="I60" t="inlineStr">
        <is>
          <t>Customs</t>
        </is>
      </c>
      <c r="J60" t="inlineStr">
        <is>
          <t>ExportCustoms_ground_truth</t>
        </is>
      </c>
      <c r="K60" t="inlineStr">
        <is>
          <t>name or path</t>
        </is>
      </c>
      <c r="M60" t="inlineStr">
        <is>
          <t>Purchase with 100,000 Madurai Focus Points.</t>
        </is>
      </c>
      <c r="N60" t="inlineStr">
        <is>
          <t>Operator/Customization | Update 41: The Old Peace | Focus | Drifter/Patch History</t>
        </is>
      </c>
      <c r="O60" t="inlineStr">
        <is>
          <t>We copied where it comes from off the wiki page. See place from wiki page.</t>
        </is>
      </c>
    </row>
    <row r="61">
      <c r="A61" t="inlineStr">
        <is>
          <t>/Lotus/Upgrades/Skins/Operator/MakeupMasks/MaduraiMaskB</t>
        </is>
      </c>
      <c r="B61" t="inlineStr">
        <is>
          <t>Madurai Paint B</t>
        </is>
      </c>
      <c r="C61" t="inlineStr">
        <is>
          <t>https://wiki.warframe.com/w/Operator/Customization</t>
        </is>
      </c>
      <c r="D61" t="inlineStr">
        <is>
          <t>ExportCustoms</t>
        </is>
      </c>
      <c r="F61" t="inlineStr">
        <is>
          <t>Madurai Paint B</t>
        </is>
      </c>
      <c r="H61" t="inlineStr">
        <is>
          <t>Solved: current place verified and archived 2026-10-16.</t>
        </is>
      </c>
      <c r="I61" t="inlineStr">
        <is>
          <t>Customs</t>
        </is>
      </c>
      <c r="J61" t="inlineStr">
        <is>
          <t>ExportCustoms_ground_truth</t>
        </is>
      </c>
      <c r="K61" t="inlineStr">
        <is>
          <t>name or path</t>
        </is>
      </c>
      <c r="M61" t="inlineStr">
        <is>
          <t>Purchase with 100,000 Madurai Focus Points.</t>
        </is>
      </c>
      <c r="N61" t="inlineStr">
        <is>
          <t>Operator/Customization | Drifter/Patch History | Operator/Patch History</t>
        </is>
      </c>
      <c r="O61" t="inlineStr">
        <is>
          <t>We copied where it comes from off the wiki page. See place from wiki page.</t>
        </is>
      </c>
    </row>
    <row r="62">
      <c r="A62" t="inlineStr">
        <is>
          <t>/Lotus/Upgrades/Skins/Daybreak/DaybreakMagistarSkin</t>
        </is>
      </c>
      <c r="B62" t="inlineStr">
        <is>
          <t>Magistar Daybreak Skin</t>
        </is>
      </c>
      <c r="C62" t="inlineStr">
        <is>
          <t>https://wiki.warframe.com/w/Dog_Days | https://wiki.warframe.com/w/Weapon_Cosmetics</t>
        </is>
      </c>
      <c r="D62" t="inlineStr">
        <is>
          <t>ExportCustoms</t>
        </is>
      </c>
      <c r="F62" t="inlineStr">
        <is>
          <t>Magistar Daybreak Skin</t>
        </is>
      </c>
      <c r="H62" t="inlineStr">
        <is>
          <t>Solved: current place verified and archived 2026-10-16.</t>
        </is>
      </c>
      <c r="I62" t="inlineStr">
        <is>
          <t>Customs</t>
        </is>
      </c>
      <c r="J62" t="inlineStr">
        <is>
          <t>ExportCustoms_ground_truth</t>
        </is>
      </c>
      <c r="K62" t="inlineStr">
        <is>
          <t>name or path</t>
        </is>
      </c>
      <c r="M62" t="inlineStr">
        <is>
          <t>Purchase from the Dog Days event store for 200 Nakak Pearls.</t>
        </is>
      </c>
      <c r="N62" t="inlineStr">
        <is>
          <t>Dog Days | Weapon Cosmetics</t>
        </is>
      </c>
      <c r="O62" t="inlineStr">
        <is>
          <t>We copied where it comes from off the wiki page. See place from wiki page.</t>
        </is>
      </c>
    </row>
    <row r="63">
      <c r="A63" t="inlineStr">
        <is>
          <t>/Lotus/Upgrades/Skins/Operator/Hoods/HoodAdultD</t>
        </is>
      </c>
      <c r="B63" t="inlineStr">
        <is>
          <t>Manduka Hood</t>
        </is>
      </c>
      <c r="C63" t="inlineStr">
        <is>
          <t>https://wiki.warframe.com/w/Manduka_Pack</t>
        </is>
      </c>
      <c r="D63" t="inlineStr">
        <is>
          <t>ExportCustoms</t>
        </is>
      </c>
      <c r="F63" t="inlineStr">
        <is>
          <t>Manduka Hood</t>
        </is>
      </c>
      <c r="G63" t="inlineStr">
        <is>
          <t>Manduka Hood</t>
        </is>
      </c>
      <c r="H63" t="inlineStr">
        <is>
          <t>Solved: current place verified and archived 2026-10-16.</t>
        </is>
      </c>
      <c r="I63" t="inlineStr">
        <is>
          <t>Customs</t>
        </is>
      </c>
      <c r="J63" t="inlineStr">
        <is>
          <t>Cosmetics_data, Cosmetics_data_transferencesuit, Cosmetics_userdata, ExportCustoms_ground_truth</t>
        </is>
      </c>
      <c r="K63" t="inlineStr">
        <is>
          <t>Cosmetics/data/transferencesuit</t>
        </is>
      </c>
      <c r="L63" t="inlineStr">
        <is>
          <t>listed, no place</t>
        </is>
      </c>
      <c r="M63" t="inlineStr">
        <is>
          <t>In-game Market for 30 Platinum.</t>
        </is>
      </c>
      <c r="N63" t="inlineStr">
        <is>
          <t>Manduka Pack</t>
        </is>
      </c>
      <c r="O63" t="inlineStr">
        <is>
          <t>Saved a concrete acquisition place from the official Warframe Wiki.</t>
        </is>
      </c>
    </row>
    <row r="64">
      <c r="A64" t="inlineStr">
        <is>
          <t>/Lotus/Upgrades/Skins/Operator/Leggings/LeggingsAdultD</t>
        </is>
      </c>
      <c r="B64" t="inlineStr">
        <is>
          <t>Manduka Leggings</t>
        </is>
      </c>
      <c r="C64" t="inlineStr">
        <is>
          <t>https://wiki.warframe.com/w/Manduka_Pack</t>
        </is>
      </c>
      <c r="D64" t="inlineStr">
        <is>
          <t>ExportCustoms</t>
        </is>
      </c>
      <c r="F64" t="inlineStr">
        <is>
          <t>Manduka Leggings</t>
        </is>
      </c>
      <c r="G64" t="inlineStr">
        <is>
          <t>Manduka Leggings</t>
        </is>
      </c>
      <c r="H64" t="inlineStr">
        <is>
          <t>Solved: current place verified and archived 2026-10-16.</t>
        </is>
      </c>
      <c r="I64" t="inlineStr">
        <is>
          <t>Customs</t>
        </is>
      </c>
      <c r="J64" t="inlineStr">
        <is>
          <t>Cosmetics_data, Cosmetics_data_transferencesuit, Cosmetics_userdata, ExportCustoms_ground_truth</t>
        </is>
      </c>
      <c r="K64" t="inlineStr">
        <is>
          <t>Cosmetics/data/transferencesuit</t>
        </is>
      </c>
      <c r="L64" t="inlineStr">
        <is>
          <t>listed, no place</t>
        </is>
      </c>
      <c r="M64" t="inlineStr">
        <is>
          <t>In-game Market for 25 Platinum.</t>
        </is>
      </c>
      <c r="N64" t="inlineStr">
        <is>
          <t>Manduka Pack</t>
        </is>
      </c>
      <c r="O64" t="inlineStr">
        <is>
          <t>Saved a concrete acquisition place from the official Warframe Wiki.</t>
        </is>
      </c>
    </row>
    <row r="65">
      <c r="A65" t="inlineStr">
        <is>
          <t>/Lotus/Upgrades/Skins/Operator/Sleeves/SleevesAdultD</t>
        </is>
      </c>
      <c r="B65" t="inlineStr">
        <is>
          <t>Manduka Sleeves</t>
        </is>
      </c>
      <c r="C65" t="inlineStr">
        <is>
          <t>https://wiki.warframe.com/w/Manduka_Pack</t>
        </is>
      </c>
      <c r="D65" t="inlineStr">
        <is>
          <t>ExportCustoms</t>
        </is>
      </c>
      <c r="F65" t="inlineStr">
        <is>
          <t>Manduka Sleeves</t>
        </is>
      </c>
      <c r="G65" t="inlineStr">
        <is>
          <t>Manduka Sleeves</t>
        </is>
      </c>
      <c r="H65" t="inlineStr">
        <is>
          <t>Solved: current place verified and archived 2026-10-16.</t>
        </is>
      </c>
      <c r="I65" t="inlineStr">
        <is>
          <t>Customs</t>
        </is>
      </c>
      <c r="J65" t="inlineStr">
        <is>
          <t>Cosmetics_data, Cosmetics_data_transferencesuit, Cosmetics_userdata, ExportCustoms_ground_truth</t>
        </is>
      </c>
      <c r="K65" t="inlineStr">
        <is>
          <t>Cosmetics/data/transferencesuit</t>
        </is>
      </c>
      <c r="L65" t="inlineStr">
        <is>
          <t>listed, no place</t>
        </is>
      </c>
      <c r="M65" t="inlineStr">
        <is>
          <t>In-game Market for 25 Platinum.</t>
        </is>
      </c>
      <c r="N65" t="inlineStr">
        <is>
          <t>Manduka Pack</t>
        </is>
      </c>
      <c r="O65" t="inlineStr">
        <is>
          <t>Saved a concrete acquisition place from the official Warframe Wiki.</t>
        </is>
      </c>
    </row>
    <row r="66">
      <c r="A66" t="inlineStr">
        <is>
          <t>/Lotus/Upgrades/Skins/Operator/BodySuits/BodySuitAdultD</t>
        </is>
      </c>
      <c r="B66" t="inlineStr">
        <is>
          <t>Manduka Suit</t>
        </is>
      </c>
      <c r="C66" t="inlineStr">
        <is>
          <t>https://wiki.warframe.com/w/Manduka_Pack</t>
        </is>
      </c>
      <c r="D66" t="inlineStr">
        <is>
          <t>ExportCustoms</t>
        </is>
      </c>
      <c r="F66" t="inlineStr">
        <is>
          <t>Manduka Suit</t>
        </is>
      </c>
      <c r="G66" t="inlineStr">
        <is>
          <t>Manduka Suit</t>
        </is>
      </c>
      <c r="H66" t="inlineStr">
        <is>
          <t>Solved: current place verified and archived 2026-10-16.</t>
        </is>
      </c>
      <c r="I66" t="inlineStr">
        <is>
          <t>Customs</t>
        </is>
      </c>
      <c r="J66" t="inlineStr">
        <is>
          <t>Cosmetics_data, Cosmetics_data_transferencesuit, Cosmetics_userdata, ExportCustoms_ground_truth</t>
        </is>
      </c>
      <c r="K66" t="inlineStr">
        <is>
          <t>Cosmetics/data/transferencesuit</t>
        </is>
      </c>
      <c r="L66" t="inlineStr">
        <is>
          <t>listed, no place</t>
        </is>
      </c>
      <c r="M66" t="inlineStr">
        <is>
          <t>In-game Market for 25 Platinum.</t>
        </is>
      </c>
      <c r="N66" t="inlineStr">
        <is>
          <t>Manduka Pack</t>
        </is>
      </c>
      <c r="O66" t="inlineStr">
        <is>
          <t>Saved a concrete acquisition place from the official Warframe Wiki.</t>
        </is>
      </c>
    </row>
    <row r="67">
      <c r="A67" t="inlineStr">
        <is>
          <t>/Lotus/Upgrades/Skins/Cowgirl/MesaHeirloomArmGunSkin</t>
        </is>
      </c>
      <c r="B67" t="inlineStr">
        <is>
          <t>Mesa Heirloom Regulators Skin</t>
        </is>
      </c>
      <c r="C67" t="inlineStr">
        <is>
          <t>https://wiki.warframe.com/w/Update_43:_Jade_Shadows:_Constellations</t>
        </is>
      </c>
      <c r="D67" t="inlineStr">
        <is>
          <t>ExportCustoms</t>
        </is>
      </c>
      <c r="F67" t="inlineStr">
        <is>
          <t>Mesa Heirloom Regulators Skin</t>
        </is>
      </c>
      <c r="H67" t="inlineStr">
        <is>
          <t>Solved: current place verified and archived 2026-10-16.</t>
        </is>
      </c>
      <c r="I67" t="inlineStr">
        <is>
          <t>Customs</t>
        </is>
      </c>
      <c r="J67" t="inlineStr">
        <is>
          <t>ExportCustoms_ground_truth</t>
        </is>
      </c>
      <c r="K67" t="inlineStr">
        <is>
          <t>name or path</t>
        </is>
      </c>
      <c r="M67" t="inlineStr">
        <is>
          <t>Included with the Mesa Heirloom Skin, sold in the Market for 225 Platinum.</t>
        </is>
      </c>
      <c r="N67" t="inlineStr">
        <is>
          <t>Mesa Heirloom Skin</t>
        </is>
      </c>
      <c r="O67" t="inlineStr">
        <is>
          <t>Saved a concrete acquisition place from the official Warframe Wiki. Skin page Acquisition and Notes: the skin also comes with a skin for Mesa's Regulators.</t>
        </is>
      </c>
    </row>
    <row r="68">
      <c r="A68" t="inlineStr">
        <is>
          <t>/Lotus/Upgrades/Skins/Operator/MakeupMasks/NaramonMaskA</t>
        </is>
      </c>
      <c r="B68" t="inlineStr">
        <is>
          <t>Naramon Paint A</t>
        </is>
      </c>
      <c r="C68" t="inlineStr">
        <is>
          <t>https://wiki.warframe.com/w/Operator/Customization</t>
        </is>
      </c>
      <c r="D68" t="inlineStr">
        <is>
          <t>ExportCustoms</t>
        </is>
      </c>
      <c r="F68" t="inlineStr">
        <is>
          <t>Naramon Paint A</t>
        </is>
      </c>
      <c r="H68" t="inlineStr">
        <is>
          <t>Solved: current place verified and archived 2026-10-16.</t>
        </is>
      </c>
      <c r="I68" t="inlineStr">
        <is>
          <t>Customs</t>
        </is>
      </c>
      <c r="J68" t="inlineStr">
        <is>
          <t>ExportCustoms_ground_truth</t>
        </is>
      </c>
      <c r="K68" t="inlineStr">
        <is>
          <t>name or path</t>
        </is>
      </c>
      <c r="M68" t="inlineStr">
        <is>
          <t>Purchase with 100,000 Naramon Focus Points.</t>
        </is>
      </c>
      <c r="N68" t="inlineStr">
        <is>
          <t>Operator/Customization | Drifter/Patch History | Operator/Patch History</t>
        </is>
      </c>
      <c r="O68" t="inlineStr">
        <is>
          <t>We copied where it comes from off the wiki page. See place from wiki page.</t>
        </is>
      </c>
    </row>
    <row r="69">
      <c r="A69" t="inlineStr">
        <is>
          <t>/Lotus/Upgrades/Skins/Operator/MakeupMasks/NaramonMaskB</t>
        </is>
      </c>
      <c r="B69" t="inlineStr">
        <is>
          <t>Naramon Paint B</t>
        </is>
      </c>
      <c r="C69" t="inlineStr">
        <is>
          <t>https://wiki.warframe.com/w/Operator/Customization</t>
        </is>
      </c>
      <c r="D69" t="inlineStr">
        <is>
          <t>ExportCustoms</t>
        </is>
      </c>
      <c r="F69" t="inlineStr">
        <is>
          <t>Naramon Paint B</t>
        </is>
      </c>
      <c r="H69" t="inlineStr">
        <is>
          <t>Solved: current place verified and archived 2026-10-16.</t>
        </is>
      </c>
      <c r="I69" t="inlineStr">
        <is>
          <t>Customs</t>
        </is>
      </c>
      <c r="J69" t="inlineStr">
        <is>
          <t>ExportCustoms_ground_truth</t>
        </is>
      </c>
      <c r="K69" t="inlineStr">
        <is>
          <t>name or path</t>
        </is>
      </c>
      <c r="M69" t="inlineStr">
        <is>
          <t>Purchase with 100,000 Naramon Focus Points.</t>
        </is>
      </c>
      <c r="N69" t="inlineStr">
        <is>
          <t>Operator/Customization | Drifter/Patch History | Operator/Patch History</t>
        </is>
      </c>
      <c r="O69" t="inlineStr">
        <is>
          <t>We copied where it comes from off the wiki page. See place from wiki page.</t>
        </is>
      </c>
    </row>
    <row r="70">
      <c r="A70" t="inlineStr">
        <is>
          <t>/Lotus/Upgrades/Skins/Nokko/NokkoAgileAnims</t>
        </is>
      </c>
      <c r="B70" t="inlineStr">
        <is>
          <t>Nokko Agile Animation Set</t>
        </is>
      </c>
      <c r="C70" t="inlineStr">
        <is>
          <t>https://wiki.warframe.com/w/Nokko_Animation_Set</t>
        </is>
      </c>
      <c r="D70" t="inlineStr">
        <is>
          <t>ExportCustoms</t>
        </is>
      </c>
      <c r="F70" t="inlineStr">
        <is>
          <t>Nokko Agile Animation Set</t>
        </is>
      </c>
      <c r="H70" t="inlineStr">
        <is>
          <t>Solved: current place verified and archived 2026-10-16.</t>
        </is>
      </c>
      <c r="I70" t="inlineStr">
        <is>
          <t>Customs</t>
        </is>
      </c>
      <c r="J70" t="inlineStr">
        <is>
          <t>Cosmetics_data, Cosmetics_userdata, ExportCustoms_ground_truth</t>
        </is>
      </c>
      <c r="K70" t="inlineStr">
        <is>
          <t>name or path</t>
        </is>
      </c>
      <c r="M70" t="inlineStr">
        <is>
          <t>In-game Market for 50 Platinum.</t>
        </is>
      </c>
      <c r="N70" t="inlineStr">
        <is>
          <t>Nokko Animation Set</t>
        </is>
      </c>
      <c r="O70" t="inlineStr">
        <is>
          <t>We copied where it comes from off the wiki page. See place from wiki page.</t>
        </is>
      </c>
    </row>
    <row r="71">
      <c r="A71" t="inlineStr">
        <is>
          <t>/Lotus/Upgrades/Skins/Nokko/NokkoNobleAnims</t>
        </is>
      </c>
      <c r="B71" t="inlineStr">
        <is>
          <t>Nokko Noble Animation Set</t>
        </is>
      </c>
      <c r="C71" t="inlineStr">
        <is>
          <t>https://wiki.warframe.com/w/Nokko_Animation_Set</t>
        </is>
      </c>
      <c r="D71" t="inlineStr">
        <is>
          <t>ExportCustoms</t>
        </is>
      </c>
      <c r="F71" t="inlineStr">
        <is>
          <t>Nokko Noble Animation Set</t>
        </is>
      </c>
      <c r="H71" t="inlineStr">
        <is>
          <t>Solved: current place verified and archived 2026-10-16.</t>
        </is>
      </c>
      <c r="I71" t="inlineStr">
        <is>
          <t>Customs</t>
        </is>
      </c>
      <c r="J71" t="inlineStr">
        <is>
          <t>Cosmetics_data, Cosmetics_userdata, ExportCustoms_ground_truth</t>
        </is>
      </c>
      <c r="K71" t="inlineStr">
        <is>
          <t>name or path</t>
        </is>
      </c>
      <c r="M71" t="inlineStr">
        <is>
          <t>In-game Market for 50 Platinum.</t>
        </is>
      </c>
      <c r="N71" t="inlineStr">
        <is>
          <t>Nokko Animation Set</t>
        </is>
      </c>
      <c r="O71" t="inlineStr">
        <is>
          <t>We copied where it comes from off the wiki page. See place from wiki page.</t>
        </is>
      </c>
    </row>
    <row r="72">
      <c r="A72" t="inlineStr">
        <is>
          <t>/Lotus/Upgrades/Skins/Hammer/NoodleHammerSkin</t>
        </is>
      </c>
      <c r="B72" t="inlineStr">
        <is>
          <t>Noodletron Hammer Skin</t>
        </is>
      </c>
      <c r="C72" t="inlineStr">
        <is>
          <t>https://wiki.warframe.com/w/Dog_Days | https://wiki.warframe.com/w/Weapon_Cosmetics</t>
        </is>
      </c>
      <c r="D72" t="inlineStr">
        <is>
          <t>ExportCustoms</t>
        </is>
      </c>
      <c r="F72" t="inlineStr">
        <is>
          <t>Noodletron Hammer Skin</t>
        </is>
      </c>
      <c r="H72" t="inlineStr">
        <is>
          <t>Solved: current place verified and archived 2026-10-16.</t>
        </is>
      </c>
      <c r="I72" t="inlineStr">
        <is>
          <t>Customs</t>
        </is>
      </c>
      <c r="J72" t="inlineStr">
        <is>
          <t>ExportCustoms_ground_truth</t>
        </is>
      </c>
      <c r="K72" t="inlineStr">
        <is>
          <t>name or path</t>
        </is>
      </c>
      <c r="M72" t="inlineStr">
        <is>
          <t>Purchase from the Dog Days event store for 280 Nakak Pearls.</t>
        </is>
      </c>
      <c r="N72" t="inlineStr">
        <is>
          <t>Dog Days | Weapon Cosmetics</t>
        </is>
      </c>
      <c r="O72" t="inlineStr">
        <is>
          <t>We copied where it comes from off the wiki page. See place from wiki page.</t>
        </is>
      </c>
    </row>
    <row r="73">
      <c r="A73" t="inlineStr">
        <is>
          <t>/Lotus/Upgrades/Skins/Bard/SWNetrahymnHelmet</t>
        </is>
      </c>
      <c r="B73" t="inlineStr">
        <is>
          <t>Octavia Netrahymn Helmet</t>
        </is>
      </c>
      <c r="C73" t="inlineStr">
        <is>
          <t>https://wiki.warframe.com/w/Octavia_Netrahymn_Skin</t>
        </is>
      </c>
      <c r="D73" t="inlineStr">
        <is>
          <t>ExportCustoms</t>
        </is>
      </c>
      <c r="F73" t="inlineStr">
        <is>
          <t>Octavia Netrahymn Helmet</t>
        </is>
      </c>
      <c r="H73" t="inlineStr">
        <is>
          <t>Solved: current place verified and archived 2026-10-16.</t>
        </is>
      </c>
      <c r="I73" t="inlineStr">
        <is>
          <t>Customs</t>
        </is>
      </c>
      <c r="J73" t="inlineStr">
        <is>
          <t>ExportCustoms_ground_truth</t>
        </is>
      </c>
      <c r="K73" t="inlineStr">
        <is>
          <t>name or path</t>
        </is>
      </c>
      <c r="M73" t="inlineStr">
        <is>
          <t>Included with the Octavia Netrahymn Skin (TennoGen); buy it with Steam Wallet credit on PC or for 165 Platinum on consoles.</t>
        </is>
      </c>
      <c r="N73" t="inlineStr">
        <is>
          <t>Octavia Netrahymn Skin</t>
        </is>
      </c>
      <c r="O73" t="inlineStr">
        <is>
          <t>Saved a concrete acquisition place from the official Warframe Wiki. Skin page Acquisition section; the skin page names this helmet.</t>
        </is>
      </c>
    </row>
    <row r="74">
      <c r="A74" t="inlineStr">
        <is>
          <t>/Lotus/Upgrades/Skins/Operator/Accessories/TauBreathingShell</t>
        </is>
      </c>
      <c r="B74" t="inlineStr">
        <is>
          <t>Operator Atmosphor</t>
        </is>
      </c>
      <c r="C74" t="inlineStr">
        <is>
          <t>https://wiki.warframe.com/w/The_Old_Peace | https://wiki.warframe.com/w/Operator/Customization | https://wiki.warframe.com/w/Anarch_Gladius | https://wiki.warframe.com/w/The_Old_Peace/Transcript</t>
        </is>
      </c>
      <c r="D74" t="inlineStr">
        <is>
          <t>ExportCustoms</t>
        </is>
      </c>
      <c r="F74" t="inlineStr">
        <is>
          <t>Operator Atmosphor</t>
        </is>
      </c>
      <c r="H74" t="inlineStr">
        <is>
          <t>Solved: current place verified and archived 2026-10-16.</t>
        </is>
      </c>
      <c r="I74" t="inlineStr">
        <is>
          <t>Customs</t>
        </is>
      </c>
      <c r="J74" t="inlineStr">
        <is>
          <t>Cosmetics_data, Cosmetics_userdata, ExportCustoms_ground_truth</t>
        </is>
      </c>
      <c r="K74" t="inlineStr">
        <is>
          <t>name or path</t>
        </is>
      </c>
      <c r="M74" t="inlineStr">
        <is>
          <t>Reward for completing The Old Peace quest.</t>
        </is>
      </c>
      <c r="N74" t="inlineStr">
        <is>
          <t>The Old Peace | Operator/Customization</t>
        </is>
      </c>
      <c r="O74" t="inlineStr">
        <is>
          <t>Saved a concrete acquisition place from the official Warframe Wiki. Quest rewards list the Operator Atmosphor accessory.</t>
        </is>
      </c>
    </row>
    <row r="75">
      <c r="A75" t="inlineStr">
        <is>
          <t>/Lotus/Upgrades/Skins/Oraxia/OraxiaAgileAnims</t>
        </is>
      </c>
      <c r="B75" t="inlineStr">
        <is>
          <t>Oraxia Agile Animation Set</t>
        </is>
      </c>
      <c r="C75" t="inlineStr">
        <is>
          <t>https://wiki.warframe.com/w/Oraxia_Animation_Set</t>
        </is>
      </c>
      <c r="D75" t="inlineStr">
        <is>
          <t>ExportCustoms</t>
        </is>
      </c>
      <c r="F75" t="inlineStr">
        <is>
          <t>Oraxia Agile Animation Set</t>
        </is>
      </c>
      <c r="H75" t="inlineStr">
        <is>
          <t>Solved: current place verified and archived 2026-10-16.</t>
        </is>
      </c>
      <c r="I75" t="inlineStr">
        <is>
          <t>Customs</t>
        </is>
      </c>
      <c r="J75" t="inlineStr">
        <is>
          <t>Cosmetics_data, Cosmetics_userdata, ExportCustoms_ground_truth</t>
        </is>
      </c>
      <c r="K75" t="inlineStr">
        <is>
          <t>name or path</t>
        </is>
      </c>
      <c r="M75" t="inlineStr">
        <is>
          <t>In-game Market for 50 Platinum.</t>
        </is>
      </c>
      <c r="N75" t="inlineStr">
        <is>
          <t>Oraxia Animation Set</t>
        </is>
      </c>
      <c r="O75" t="inlineStr">
        <is>
          <t>We copied where it comes from off the wiki page. See place from wiki page.</t>
        </is>
      </c>
    </row>
    <row r="76">
      <c r="A76" t="inlineStr">
        <is>
          <t>/Lotus/Upgrades/Skins/Oraxia/OraxiaNobleAnims</t>
        </is>
      </c>
      <c r="B76" t="inlineStr">
        <is>
          <t>Oraxia Noble Animation Set</t>
        </is>
      </c>
      <c r="C76" t="inlineStr">
        <is>
          <t>https://wiki.warframe.com/w/Oraxia_Animation_Set</t>
        </is>
      </c>
      <c r="D76" t="inlineStr">
        <is>
          <t>ExportCustoms</t>
        </is>
      </c>
      <c r="F76" t="inlineStr">
        <is>
          <t>Oraxia Noble Animation Set</t>
        </is>
      </c>
      <c r="H76" t="inlineStr">
        <is>
          <t>Solved: current place verified and archived 2026-10-16.</t>
        </is>
      </c>
      <c r="I76" t="inlineStr">
        <is>
          <t>Customs</t>
        </is>
      </c>
      <c r="J76" t="inlineStr">
        <is>
          <t>Cosmetics_data, Cosmetics_userdata, ExportCustoms_ground_truth</t>
        </is>
      </c>
      <c r="K76" t="inlineStr">
        <is>
          <t>name or path</t>
        </is>
      </c>
      <c r="M76" t="inlineStr">
        <is>
          <t>In-game Market for 50 Platinum.</t>
        </is>
      </c>
      <c r="N76" t="inlineStr">
        <is>
          <t>Oraxia Animation Set</t>
        </is>
      </c>
      <c r="O76" t="inlineStr">
        <is>
          <t>We copied where it comes from off the wiki page. See place from wiki page.</t>
        </is>
      </c>
    </row>
    <row r="77">
      <c r="A77" t="inlineStr">
        <is>
          <t>/Lotus/Upgrades/Skins/Sentinels/Wings/DethcubePrimeWingsRight</t>
        </is>
      </c>
      <c r="B77" t="inlineStr">
        <is>
          <t>Orcus Prime Wings</t>
        </is>
      </c>
      <c r="C77" t="inlineStr">
        <is>
          <t>https://wiki.warframe.com/w/Sentinel_Cosmetics</t>
        </is>
      </c>
      <c r="D77" t="inlineStr">
        <is>
          <t>ExportCustoms</t>
        </is>
      </c>
      <c r="F77" t="inlineStr">
        <is>
          <t>Orcus Prime Wings</t>
        </is>
      </c>
      <c r="G77" t="inlineStr">
        <is>
          <t>Orcus Prime Wings</t>
        </is>
      </c>
      <c r="H77" t="inlineStr">
        <is>
          <t>Solved: current place verified and archived 2026-10-16.</t>
        </is>
      </c>
      <c r="I77" t="inlineStr">
        <is>
          <t>Customs</t>
        </is>
      </c>
      <c r="J77" t="inlineStr">
        <is>
          <t>Cosmetics_data, Cosmetics_data_sentinelarmor, Cosmetics_userdata, ExportCustoms_ground_truth</t>
        </is>
      </c>
      <c r="K77" t="inlineStr">
        <is>
          <t>Cosmetics/data/sentinelarmor</t>
        </is>
      </c>
      <c r="L77" t="inlineStr">
        <is>
          <t>listed, no place</t>
        </is>
      </c>
      <c r="M77" t="inlineStr">
        <is>
          <t>Included in Atlas Prime Access (Orcus Prime Sentinel Accessories).</t>
        </is>
      </c>
      <c r="N77" t="inlineStr">
        <is>
          <t>Sentinel Cosmetics</t>
        </is>
      </c>
      <c r="O77" t="inlineStr">
        <is>
          <t>Saved a concrete acquisition place from the official Warframe Wiki.</t>
        </is>
      </c>
    </row>
    <row r="78">
      <c r="A78" t="inlineStr">
        <is>
          <t>/Lotus/Upgrades/Skins/Sentinels/Wings/ParrotWingsRight</t>
        </is>
      </c>
      <c r="B78" t="inlineStr">
        <is>
          <t>Para Sentinel Wings</t>
        </is>
      </c>
      <c r="C78" t="inlineStr">
        <is>
          <t>https://wiki.warframe.com/w/Sentinel_Cosmetics</t>
        </is>
      </c>
      <c r="D78" t="inlineStr">
        <is>
          <t>ExportCustoms</t>
        </is>
      </c>
      <c r="F78" t="inlineStr">
        <is>
          <t>Para Sentinel Wings</t>
        </is>
      </c>
      <c r="G78" t="inlineStr">
        <is>
          <t>Para Sentinel Wings</t>
        </is>
      </c>
      <c r="H78" t="inlineStr">
        <is>
          <t>Solved: current place verified and archived 2026-10-16.</t>
        </is>
      </c>
      <c r="I78" t="inlineStr">
        <is>
          <t>Customs</t>
        </is>
      </c>
      <c r="J78" t="inlineStr">
        <is>
          <t>Cosmetics_data, Cosmetics_data_sentinelarmor, Cosmetics_userdata, ExportCustoms_ground_truth</t>
        </is>
      </c>
      <c r="K78" t="inlineStr">
        <is>
          <t>Cosmetics/data/sentinelarmor</t>
        </is>
      </c>
      <c r="L78" t="inlineStr">
        <is>
          <t>listed, no place</t>
        </is>
      </c>
      <c r="M78" t="inlineStr">
        <is>
          <t>In-game Market for 20 Platinum.</t>
        </is>
      </c>
      <c r="N78" t="inlineStr">
        <is>
          <t>Sentinel Cosmetics</t>
        </is>
      </c>
      <c r="O78" t="inlineStr">
        <is>
          <t>Saved a concrete acquisition place from the official Warframe Wiki.</t>
        </is>
      </c>
    </row>
    <row r="79">
      <c r="A79" t="inlineStr">
        <is>
          <t>/Lotus/Upgrades/Skins/Operator/MakeupMasks/MakeupMaskF</t>
        </is>
      </c>
      <c r="B79" t="inlineStr">
        <is>
          <t>Pithata Look</t>
        </is>
      </c>
      <c r="C79" t="inlineStr">
        <is>
          <t>https://wiki.warframe.com/w/Operator/Customization</t>
        </is>
      </c>
      <c r="D79" t="inlineStr">
        <is>
          <t>ExportCustoms</t>
        </is>
      </c>
      <c r="F79" t="inlineStr">
        <is>
          <t>Pithata Look</t>
        </is>
      </c>
      <c r="H79" t="inlineStr">
        <is>
          <t>Solved: current place verified and archived 2026-10-16.</t>
        </is>
      </c>
      <c r="I79" t="inlineStr">
        <is>
          <t>Customs</t>
        </is>
      </c>
      <c r="J79" t="inlineStr">
        <is>
          <t>ExportCustoms_ground_truth</t>
        </is>
      </c>
      <c r="K79" t="inlineStr">
        <is>
          <t>name or path</t>
        </is>
      </c>
      <c r="M79" t="inlineStr">
        <is>
          <t>Unlocked by default in Operator appearance customization.</t>
        </is>
      </c>
      <c r="N79" t="inlineStr">
        <is>
          <t>Operator/Customization</t>
        </is>
      </c>
      <c r="O79" t="inlineStr">
        <is>
          <t>Saved a concrete acquisition place from the official Warframe Wiki. Operator/Customization Makeup gallery marks it (default).</t>
        </is>
      </c>
    </row>
    <row r="80">
      <c r="A80" t="inlineStr">
        <is>
          <t>/Lotus/Upgrades/Skins/Operator/MakeupMasks/MakeupMaskC</t>
        </is>
      </c>
      <c r="B80" t="inlineStr">
        <is>
          <t>Rocana Look</t>
        </is>
      </c>
      <c r="C80" t="inlineStr">
        <is>
          <t>https://wiki.warframe.com/w/Operator/Customization</t>
        </is>
      </c>
      <c r="D80" t="inlineStr">
        <is>
          <t>ExportCustoms</t>
        </is>
      </c>
      <c r="F80" t="inlineStr">
        <is>
          <t>Rocana Look</t>
        </is>
      </c>
      <c r="H80" t="inlineStr">
        <is>
          <t>Solved: current place verified and archived 2026-10-16.</t>
        </is>
      </c>
      <c r="I80" t="inlineStr">
        <is>
          <t>Customs</t>
        </is>
      </c>
      <c r="J80" t="inlineStr">
        <is>
          <t>ExportCustoms_ground_truth</t>
        </is>
      </c>
      <c r="K80" t="inlineStr">
        <is>
          <t>name or path</t>
        </is>
      </c>
      <c r="M80" t="inlineStr">
        <is>
          <t>Unlocked by default in Operator appearance customization.</t>
        </is>
      </c>
      <c r="N80" t="inlineStr">
        <is>
          <t>Operator/Customization</t>
        </is>
      </c>
      <c r="O80" t="inlineStr">
        <is>
          <t>Saved a concrete acquisition place from the official Warframe Wiki. Operator/Customization Makeup gallery marks it (default).</t>
        </is>
      </c>
    </row>
    <row r="81">
      <c r="A81" t="inlineStr">
        <is>
          <t>/Lotus/Upgrades/Skins/Operator/MakeupMasks/MakeupMaskE</t>
        </is>
      </c>
      <c r="B81" t="inlineStr">
        <is>
          <t>Roshaka Look</t>
        </is>
      </c>
      <c r="C81" t="inlineStr">
        <is>
          <t>https://wiki.warframe.com/w/Operator/Customization</t>
        </is>
      </c>
      <c r="D81" t="inlineStr">
        <is>
          <t>ExportCustoms</t>
        </is>
      </c>
      <c r="F81" t="inlineStr">
        <is>
          <t>Roshaka Look</t>
        </is>
      </c>
      <c r="H81" t="inlineStr">
        <is>
          <t>Solved: current place verified and archived 2026-10-16.</t>
        </is>
      </c>
      <c r="I81" t="inlineStr">
        <is>
          <t>Customs</t>
        </is>
      </c>
      <c r="J81" t="inlineStr">
        <is>
          <t>ExportCustoms_ground_truth</t>
        </is>
      </c>
      <c r="K81" t="inlineStr">
        <is>
          <t>name or path</t>
        </is>
      </c>
      <c r="M81" t="inlineStr">
        <is>
          <t>Unlocked by default in Operator appearance customization.</t>
        </is>
      </c>
      <c r="N81" t="inlineStr">
        <is>
          <t>Operator/Customization</t>
        </is>
      </c>
      <c r="O81" t="inlineStr">
        <is>
          <t>Saved a concrete acquisition place from the official Warframe Wiki. Operator/Customization Makeup gallery marks it (default).</t>
        </is>
      </c>
    </row>
    <row r="82">
      <c r="A82" t="inlineStr">
        <is>
          <t>/Lotus/Upgrades/Skins/Operator/MakeupMasks/MakeupMaskJ</t>
        </is>
      </c>
      <c r="B82" t="inlineStr">
        <is>
          <t>Sahoda Look</t>
        </is>
      </c>
      <c r="C82" t="inlineStr">
        <is>
          <t>https://wiki.warframe.com/w/Operator/Customization</t>
        </is>
      </c>
      <c r="D82" t="inlineStr">
        <is>
          <t>ExportCustoms</t>
        </is>
      </c>
      <c r="F82" t="inlineStr">
        <is>
          <t>Sahoda Look</t>
        </is>
      </c>
      <c r="H82" t="inlineStr">
        <is>
          <t>Solved: current place verified and archived 2026-10-16.</t>
        </is>
      </c>
      <c r="I82" t="inlineStr">
        <is>
          <t>Customs</t>
        </is>
      </c>
      <c r="J82" t="inlineStr">
        <is>
          <t>ExportCustoms_ground_truth</t>
        </is>
      </c>
      <c r="K82" t="inlineStr">
        <is>
          <t>name or path</t>
        </is>
      </c>
      <c r="M82" t="inlineStr">
        <is>
          <t>Unlocked by default in Operator appearance customization.</t>
        </is>
      </c>
      <c r="N82" t="inlineStr">
        <is>
          <t>Operator/Customization</t>
        </is>
      </c>
      <c r="O82" t="inlineStr">
        <is>
          <t>Saved a concrete acquisition place from the official Warframe Wiki. Operator/Customization Makeup gallery marks it (default).</t>
        </is>
      </c>
    </row>
    <row r="83">
      <c r="A83" t="inlineStr">
        <is>
          <t>/Lotus/Upgrades/Skins/Hoverboard/HoverboardStickerNokkoC</t>
        </is>
      </c>
      <c r="B83" t="inlineStr">
        <is>
          <t>Shooms</t>
        </is>
      </c>
      <c r="C83" t="inlineStr">
        <is>
          <t>https://wiki.warframe.com/w/Nightcap | https://wiki.warframe.com/w/Decorations/Orbiter_Decorations</t>
        </is>
      </c>
      <c r="D83" t="inlineStr">
        <is>
          <t>ExportCustoms</t>
        </is>
      </c>
      <c r="F83" t="inlineStr">
        <is>
          <t>Shooms</t>
        </is>
      </c>
      <c r="H83" t="inlineStr">
        <is>
          <t>Solved: current place verified and archived 2026-10-16.</t>
        </is>
      </c>
      <c r="I83" t="inlineStr">
        <is>
          <t>Customs</t>
        </is>
      </c>
      <c r="J83" t="inlineStr">
        <is>
          <t>ExportCustoms_ground_truth</t>
        </is>
      </c>
      <c r="K83" t="inlineStr">
        <is>
          <t>name or path</t>
        </is>
      </c>
      <c r="M83" t="inlineStr">
        <is>
          <t>Purchase from Nightcap for 25 Fergolyte.</t>
        </is>
      </c>
      <c r="N83" t="inlineStr">
        <is>
          <t>Nightcap | Decorations/Orbiter Decorations</t>
        </is>
      </c>
      <c r="O83" t="inlineStr">
        <is>
          <t>We copied where it comes from off the wiki page. See place from wiki page.</t>
        </is>
      </c>
    </row>
    <row r="84">
      <c r="A84" t="inlineStr">
        <is>
          <t>/Lotus/Upgrades/Skins/SiriusOrion/SiriusOrionAgileAnims</t>
        </is>
      </c>
      <c r="B84" t="inlineStr">
        <is>
          <t>Sirius &amp; Orion Agile Animation Set</t>
        </is>
      </c>
      <c r="C84" t="inlineStr">
        <is>
          <t>https://wiki.warframe.com/w/Sirius_%26_Orion_Animation_Set</t>
        </is>
      </c>
      <c r="D84" t="inlineStr">
        <is>
          <t>ExportCustoms</t>
        </is>
      </c>
      <c r="F84" t="inlineStr">
        <is>
          <t>Sirius &amp; Orion Agile Animation Set</t>
        </is>
      </c>
      <c r="H84" t="inlineStr">
        <is>
          <t>Solved: current place verified and archived 2026-10-16.</t>
        </is>
      </c>
      <c r="I84" t="inlineStr">
        <is>
          <t>Customs</t>
        </is>
      </c>
      <c r="J84" t="inlineStr">
        <is>
          <t>Cosmetics_data, Cosmetics_userdata, ExportCustoms_ground_truth</t>
        </is>
      </c>
      <c r="K84" t="inlineStr">
        <is>
          <t>name or path</t>
        </is>
      </c>
      <c r="M84" t="inlineStr">
        <is>
          <t>In-game Market for 50 Platinum.</t>
        </is>
      </c>
      <c r="N84" t="inlineStr">
        <is>
          <t>Sirius &amp; Orion Animation Set</t>
        </is>
      </c>
      <c r="O84" t="inlineStr">
        <is>
          <t>We copied where it comes from off the wiki page. See place from wiki page.</t>
        </is>
      </c>
    </row>
    <row r="85">
      <c r="A85" t="inlineStr">
        <is>
          <t>/Lotus/Upgrades/Skins/SiriusOrion/SiriusOrionNobleAnims</t>
        </is>
      </c>
      <c r="B85" t="inlineStr">
        <is>
          <t>Sirius &amp; Orion Noble Animation Set</t>
        </is>
      </c>
      <c r="C85" t="inlineStr">
        <is>
          <t>https://wiki.warframe.com/w/Sirius_%26_Orion_Animation_Set</t>
        </is>
      </c>
      <c r="D85" t="inlineStr">
        <is>
          <t>ExportCustoms</t>
        </is>
      </c>
      <c r="F85" t="inlineStr">
        <is>
          <t>Sirius &amp; Orion Noble Animation Set</t>
        </is>
      </c>
      <c r="H85" t="inlineStr">
        <is>
          <t>Solved: current place verified and archived 2026-10-16.</t>
        </is>
      </c>
      <c r="I85" t="inlineStr">
        <is>
          <t>Customs</t>
        </is>
      </c>
      <c r="J85" t="inlineStr">
        <is>
          <t>Cosmetics_data, Cosmetics_userdata, ExportCustoms_ground_truth</t>
        </is>
      </c>
      <c r="K85" t="inlineStr">
        <is>
          <t>name or path</t>
        </is>
      </c>
      <c r="M85" t="inlineStr">
        <is>
          <t>In-game Market for 50 Platinum.</t>
        </is>
      </c>
      <c r="N85" t="inlineStr">
        <is>
          <t>Sirius &amp; Orion Animation Set</t>
        </is>
      </c>
      <c r="O85" t="inlineStr">
        <is>
          <t>We copied where it comes from off the wiki page. See place from wiki page.</t>
        </is>
      </c>
    </row>
    <row r="86">
      <c r="A86" t="inlineStr">
        <is>
          <t>/Lotus/Upgrades/Skins/Sigils/NecramechSigilSnake</t>
        </is>
      </c>
      <c r="B86" t="inlineStr">
        <is>
          <t>Snake Necramech Sigil</t>
        </is>
      </c>
      <c r="C86" t="inlineStr">
        <is>
          <t>https://wiki.warframe.com/w/Necraloid | https://wiki.warframe.com/w/Necramech | https://wiki.warframe.com/w/Prime</t>
        </is>
      </c>
      <c r="D86" t="inlineStr">
        <is>
          <t>ExportCustoms</t>
        </is>
      </c>
      <c r="F86" t="inlineStr">
        <is>
          <t>Snake Necramech Sigil</t>
        </is>
      </c>
      <c r="H86" t="inlineStr">
        <is>
          <t>Solved: current place verified and archived 2026-10-16.</t>
        </is>
      </c>
      <c r="I86" t="inlineStr">
        <is>
          <t>Customs</t>
        </is>
      </c>
      <c r="J86" t="inlineStr">
        <is>
          <t>ExportCustoms_ground_truth</t>
        </is>
      </c>
      <c r="K86" t="inlineStr">
        <is>
          <t>name or path</t>
        </is>
      </c>
      <c r="M86" t="inlineStr">
        <is>
          <t>In-game Market for 40 Platinum.</t>
        </is>
      </c>
      <c r="N86" t="inlineStr">
        <is>
          <t>Necraloid | Necramech | Prime | Update 29</t>
        </is>
      </c>
      <c r="O86" t="inlineStr">
        <is>
          <t>We copied where it comes from off the wiki page. See place from wiki page.</t>
        </is>
      </c>
    </row>
    <row r="87">
      <c r="A87" t="inlineStr">
        <is>
          <t>/Lotus/Upgrades/Skins/Promo/Seasonal/CandyCaneHateSkin</t>
        </is>
      </c>
      <c r="B87" t="inlineStr">
        <is>
          <t>Spearmint Scythe Skin</t>
        </is>
      </c>
      <c r="C87" t="inlineStr">
        <is>
          <t>https://wiki.warframe.com/w/Weapon_Cosmetics | https://wiki.warframe.com/w/Spearmint_Scythe</t>
        </is>
      </c>
      <c r="D87" t="inlineStr">
        <is>
          <t>ExportCustoms</t>
        </is>
      </c>
      <c r="F87" t="inlineStr">
        <is>
          <t>Spearmint Scythe Skin</t>
        </is>
      </c>
      <c r="G87" t="inlineStr">
        <is>
          <t>Spearmint Scythe Skin</t>
        </is>
      </c>
      <c r="H87" t="inlineStr">
        <is>
          <t>Solved: current place verified and archived 2026-10-16.</t>
        </is>
      </c>
      <c r="I87" t="inlineStr">
        <is>
          <t>Customs</t>
        </is>
      </c>
      <c r="J87" t="inlineStr">
        <is>
          <t>Cosmetics_data, Cosmetics_data_weaponskin, Cosmetics_userdata, ExportCustoms_ground_truth</t>
        </is>
      </c>
      <c r="K87" t="inlineStr">
        <is>
          <t>Cosmetics/data/weaponskin</t>
        </is>
      </c>
      <c r="L87" t="inlineStr">
        <is>
          <t>listed, no place</t>
        </is>
      </c>
      <c r="M87" t="inlineStr">
        <is>
          <t>In-game Market for 1 Credit during Tennobaum.</t>
        </is>
      </c>
      <c r="N87" t="inlineStr">
        <is>
          <t>Weapon Cosmetics | Spearmint Scythe</t>
        </is>
      </c>
      <c r="O87" t="inlineStr">
        <is>
          <t>Saved a concrete acquisition place from the official Warframe Wiki.</t>
        </is>
      </c>
    </row>
    <row r="88">
      <c r="A88" t="inlineStr">
        <is>
          <t>/Lotus/Upgrades/Skins/Promo/Seasonal/CandyCaneReaperPrimeSkin</t>
        </is>
      </c>
      <c r="B88" t="inlineStr">
        <is>
          <t>Spearmint Scythe Skin</t>
        </is>
      </c>
      <c r="C88" t="inlineStr">
        <is>
          <t>https://wiki.warframe.com/w/Weapon_Cosmetics | https://wiki.warframe.com/w/Spearmint_Scythe</t>
        </is>
      </c>
      <c r="D88" t="inlineStr">
        <is>
          <t>ExportCustoms</t>
        </is>
      </c>
      <c r="F88" t="inlineStr">
        <is>
          <t>Spearmint Scythe Skin</t>
        </is>
      </c>
      <c r="G88" t="inlineStr">
        <is>
          <t>Spearmint Scythe Skin</t>
        </is>
      </c>
      <c r="H88" t="inlineStr">
        <is>
          <t>Solved: current place verified and archived 2026-10-16.</t>
        </is>
      </c>
      <c r="I88" t="inlineStr">
        <is>
          <t>Customs</t>
        </is>
      </c>
      <c r="J88" t="inlineStr">
        <is>
          <t>Cosmetics_data, Cosmetics_data_weaponskin, Cosmetics_userdata, ExportCustoms_ground_truth</t>
        </is>
      </c>
      <c r="K88" t="inlineStr">
        <is>
          <t>Cosmetics/data/weaponskin</t>
        </is>
      </c>
      <c r="L88" t="inlineStr">
        <is>
          <t>listed, no place</t>
        </is>
      </c>
      <c r="M88" t="inlineStr">
        <is>
          <t>In-game Market for 1 Credit during Tennobaum.</t>
        </is>
      </c>
      <c r="N88" t="inlineStr">
        <is>
          <t>Weapon Cosmetics | Spearmint Scythe</t>
        </is>
      </c>
      <c r="O88" t="inlineStr">
        <is>
          <t>Saved a concrete acquisition place from the official Warframe Wiki.</t>
        </is>
      </c>
    </row>
    <row r="89">
      <c r="A89" t="inlineStr">
        <is>
          <t>/Lotus/Upgrades/Skins/Promo/Seasonal/CandyCaneScytheSkin</t>
        </is>
      </c>
      <c r="B89" t="inlineStr">
        <is>
          <t>Spearmint Scythe Skin</t>
        </is>
      </c>
      <c r="C89" t="inlineStr">
        <is>
          <t>https://wiki.warframe.com/w/Weapon_Cosmetics | https://wiki.warframe.com/w/Spearmint_Scythe</t>
        </is>
      </c>
      <c r="D89" t="inlineStr">
        <is>
          <t>ExportCustoms</t>
        </is>
      </c>
      <c r="F89" t="inlineStr">
        <is>
          <t>Spearmint Scythe Skin</t>
        </is>
      </c>
      <c r="G89" t="inlineStr">
        <is>
          <t>Spearmint Scythe Skin</t>
        </is>
      </c>
      <c r="H89" t="inlineStr">
        <is>
          <t>Solved: current place verified and archived 2026-10-16.</t>
        </is>
      </c>
      <c r="I89" t="inlineStr">
        <is>
          <t>Customs</t>
        </is>
      </c>
      <c r="J89" t="inlineStr">
        <is>
          <t>Cosmetics_data, Cosmetics_data_weaponskin, Cosmetics_userdata, ExportCustoms_ground_truth</t>
        </is>
      </c>
      <c r="K89" t="inlineStr">
        <is>
          <t>Cosmetics/data/weaponskin</t>
        </is>
      </c>
      <c r="L89" t="inlineStr">
        <is>
          <t>listed, no place</t>
        </is>
      </c>
      <c r="M89" t="inlineStr">
        <is>
          <t>In-game Market for 1 Credit during Tennobaum.</t>
        </is>
      </c>
      <c r="N89" t="inlineStr">
        <is>
          <t>Weapon Cosmetics | Spearmint Scythe</t>
        </is>
      </c>
      <c r="O89" t="inlineStr">
        <is>
          <t>Saved a concrete acquisition place from the official Warframe Wiki.</t>
        </is>
      </c>
    </row>
    <row r="90">
      <c r="A90" t="inlineStr">
        <is>
          <t>/Lotus/Upgrades/Skins/Operator/Sleeves/SleevesAdultOperatorLasrianA</t>
        </is>
      </c>
      <c r="B90" t="inlineStr">
        <is>
          <t>Stormfall Gloves</t>
        </is>
      </c>
      <c r="C90" t="inlineStr">
        <is>
          <t>https://wiki.warframe.com/w/Stormfall_Collection | https://wiki.warframe.com/w/Scaldra | https://wiki.warframe.com/w/Scaldra_Authority_Pack | https://wiki.warframe.com/w/Duviri</t>
        </is>
      </c>
      <c r="D90" t="inlineStr">
        <is>
          <t>ExportCustoms</t>
        </is>
      </c>
      <c r="F90" t="inlineStr">
        <is>
          <t>Stormfall Gloves</t>
        </is>
      </c>
      <c r="H90" t="inlineStr">
        <is>
          <t>Solved: current place verified and archived 2026-10-16.</t>
        </is>
      </c>
      <c r="I90" t="inlineStr">
        <is>
          <t>Customs</t>
        </is>
      </c>
      <c r="J90" t="inlineStr">
        <is>
          <t>ExportCustoms_ground_truth</t>
        </is>
      </c>
      <c r="K90" t="inlineStr">
        <is>
          <t>name or path</t>
        </is>
      </c>
      <c r="M90" t="inlineStr">
        <is>
          <t>In-game Market for 30 Platinum.</t>
        </is>
      </c>
      <c r="N90" t="inlineStr">
        <is>
          <t>Stormfall Collection | Scaldra | Scaldra Authority Pack | Duviri | Drifter/Patch History</t>
        </is>
      </c>
      <c r="O90" t="inlineStr">
        <is>
          <t>We copied where it comes from off the wiki page. See place from wiki page.</t>
        </is>
      </c>
    </row>
    <row r="91">
      <c r="A91" t="inlineStr">
        <is>
          <t>/Lotus/Upgrades/Skins/Operator/Sleeves/SleevesOperatorLasrianA</t>
        </is>
      </c>
      <c r="B91" t="inlineStr">
        <is>
          <t>Stormfall Gloves</t>
        </is>
      </c>
      <c r="C91" t="inlineStr">
        <is>
          <t>https://wiki.warframe.com/w/Stormfall_Collection | https://wiki.warframe.com/w/Scaldra | https://wiki.warframe.com/w/Scaldra_Authority_Pack | https://wiki.warframe.com/w/Duviri</t>
        </is>
      </c>
      <c r="D91" t="inlineStr">
        <is>
          <t>ExportCustoms</t>
        </is>
      </c>
      <c r="F91" t="inlineStr">
        <is>
          <t>Stormfall Gloves</t>
        </is>
      </c>
      <c r="H91" t="inlineStr">
        <is>
          <t>Solved: current place verified and archived 2026-10-16.</t>
        </is>
      </c>
      <c r="I91" t="inlineStr">
        <is>
          <t>Customs</t>
        </is>
      </c>
      <c r="J91" t="inlineStr">
        <is>
          <t>ExportCustoms_ground_truth</t>
        </is>
      </c>
      <c r="K91" t="inlineStr">
        <is>
          <t>name or path</t>
        </is>
      </c>
      <c r="M91" t="inlineStr">
        <is>
          <t>In-game Market for 30 Platinum.</t>
        </is>
      </c>
      <c r="N91" t="inlineStr">
        <is>
          <t>Stormfall Collection | Scaldra | Scaldra Authority Pack | Duviri | Drifter/Patch History</t>
        </is>
      </c>
      <c r="O91" t="inlineStr">
        <is>
          <t>We copied where it comes from off the wiki page. See place from wiki page.</t>
        </is>
      </c>
    </row>
    <row r="92">
      <c r="A92" t="inlineStr">
        <is>
          <t>/Lotus/Upgrades/Skins/Operator/BodySuits/BodySuitAdultOperatorLasrianA</t>
        </is>
      </c>
      <c r="B92" t="inlineStr">
        <is>
          <t>Stormfall Jacket</t>
        </is>
      </c>
      <c r="C92" t="inlineStr">
        <is>
          <t>https://wiki.warframe.com/w/Stormfall_Collection | https://wiki.warframe.com/w/Scaldra_Authority_Pack</t>
        </is>
      </c>
      <c r="D92" t="inlineStr">
        <is>
          <t>ExportCustoms</t>
        </is>
      </c>
      <c r="F92" t="inlineStr">
        <is>
          <t>Stormfall Jacket</t>
        </is>
      </c>
      <c r="H92" t="inlineStr">
        <is>
          <t>Solved: current place verified and archived 2026-10-16.</t>
        </is>
      </c>
      <c r="I92" t="inlineStr">
        <is>
          <t>Customs</t>
        </is>
      </c>
      <c r="J92" t="inlineStr">
        <is>
          <t>ExportCustoms_ground_truth</t>
        </is>
      </c>
      <c r="K92" t="inlineStr">
        <is>
          <t>name or path</t>
        </is>
      </c>
      <c r="M92" t="inlineStr">
        <is>
          <t>In-game Market for 40 Platinum.</t>
        </is>
      </c>
      <c r="N92" t="inlineStr">
        <is>
          <t>Stormfall Collection | Scaldra Authority Pack | Drifter/Patch History | Operator/Patch History | Update 38</t>
        </is>
      </c>
      <c r="O92" t="inlineStr">
        <is>
          <t>We copied where it comes from off the wiki page. See place from wiki page.</t>
        </is>
      </c>
    </row>
    <row r="93">
      <c r="A93" t="inlineStr">
        <is>
          <t>/Lotus/Upgrades/Skins/Operator/BodySuits/BodySuitOperatorLasrianA</t>
        </is>
      </c>
      <c r="B93" t="inlineStr">
        <is>
          <t>Stormfall Jacket</t>
        </is>
      </c>
      <c r="C93" t="inlineStr">
        <is>
          <t>https://wiki.warframe.com/w/Stormfall_Collection | https://wiki.warframe.com/w/Scaldra_Authority_Pack</t>
        </is>
      </c>
      <c r="D93" t="inlineStr">
        <is>
          <t>ExportCustoms</t>
        </is>
      </c>
      <c r="F93" t="inlineStr">
        <is>
          <t>Stormfall Jacket</t>
        </is>
      </c>
      <c r="H93" t="inlineStr">
        <is>
          <t>Solved: current place verified and archived 2026-10-16.</t>
        </is>
      </c>
      <c r="I93" t="inlineStr">
        <is>
          <t>Customs</t>
        </is>
      </c>
      <c r="J93" t="inlineStr">
        <is>
          <t>ExportCustoms_ground_truth</t>
        </is>
      </c>
      <c r="K93" t="inlineStr">
        <is>
          <t>name or path</t>
        </is>
      </c>
      <c r="M93" t="inlineStr">
        <is>
          <t>In-game Market for 40 Platinum.</t>
        </is>
      </c>
      <c r="N93" t="inlineStr">
        <is>
          <t>Stormfall Collection | Scaldra Authority Pack | Drifter/Patch History | Operator/Patch History | Update 38</t>
        </is>
      </c>
      <c r="O93" t="inlineStr">
        <is>
          <t>We copied where it comes from off the wiki page. See place from wiki page.</t>
        </is>
      </c>
    </row>
    <row r="94">
      <c r="A94" t="inlineStr">
        <is>
          <t>/Lotus/Upgrades/Skins/Operator/Hoods/HoodAdultOperatorLasrianA</t>
        </is>
      </c>
      <c r="B94" t="inlineStr">
        <is>
          <t>Stormfall Mask</t>
        </is>
      </c>
      <c r="C94" t="inlineStr">
        <is>
          <t>https://wiki.warframe.com/w/Stormfall_Collection | https://wiki.warframe.com/w/Scaldra_Authority_Pack</t>
        </is>
      </c>
      <c r="D94" t="inlineStr">
        <is>
          <t>ExportCustoms</t>
        </is>
      </c>
      <c r="F94" t="inlineStr">
        <is>
          <t>Stormfall Mask</t>
        </is>
      </c>
      <c r="H94" t="inlineStr">
        <is>
          <t>Solved: current place verified and archived 2026-10-16.</t>
        </is>
      </c>
      <c r="I94" t="inlineStr">
        <is>
          <t>Customs</t>
        </is>
      </c>
      <c r="J94" t="inlineStr">
        <is>
          <t>ExportCustoms_ground_truth</t>
        </is>
      </c>
      <c r="K94" t="inlineStr">
        <is>
          <t>name or path</t>
        </is>
      </c>
      <c r="M94" t="inlineStr">
        <is>
          <t>In-game Market for 40 Platinum.</t>
        </is>
      </c>
      <c r="N94" t="inlineStr">
        <is>
          <t>Stormfall Collection | Scaldra Authority Pack | Drifter/Patch History | Operator/Patch History | Update 38</t>
        </is>
      </c>
      <c r="O94" t="inlineStr">
        <is>
          <t>We copied where it comes from off the wiki page. See place from wiki page.</t>
        </is>
      </c>
    </row>
    <row r="95">
      <c r="A95" t="inlineStr">
        <is>
          <t>/Lotus/Upgrades/Skins/Operator/Hoods/HoodOperatorLasrianA</t>
        </is>
      </c>
      <c r="B95" t="inlineStr">
        <is>
          <t>Stormfall Mask</t>
        </is>
      </c>
      <c r="C95" t="inlineStr">
        <is>
          <t>https://wiki.warframe.com/w/Stormfall_Collection | https://wiki.warframe.com/w/Scaldra_Authority_Pack</t>
        </is>
      </c>
      <c r="D95" t="inlineStr">
        <is>
          <t>ExportCustoms</t>
        </is>
      </c>
      <c r="F95" t="inlineStr">
        <is>
          <t>Stormfall Mask</t>
        </is>
      </c>
      <c r="H95" t="inlineStr">
        <is>
          <t>Solved: current place verified and archived 2026-10-16.</t>
        </is>
      </c>
      <c r="I95" t="inlineStr">
        <is>
          <t>Customs</t>
        </is>
      </c>
      <c r="J95" t="inlineStr">
        <is>
          <t>ExportCustoms_ground_truth</t>
        </is>
      </c>
      <c r="K95" t="inlineStr">
        <is>
          <t>name or path</t>
        </is>
      </c>
      <c r="M95" t="inlineStr">
        <is>
          <t>In-game Market for 40 Platinum.</t>
        </is>
      </c>
      <c r="N95" t="inlineStr">
        <is>
          <t>Stormfall Collection | Scaldra Authority Pack | Drifter/Patch History | Operator/Patch History | Update 38</t>
        </is>
      </c>
      <c r="O95" t="inlineStr">
        <is>
          <t>We copied where it comes from off the wiki page. See place from wiki page.</t>
        </is>
      </c>
    </row>
    <row r="96">
      <c r="A96" t="inlineStr">
        <is>
          <t>/Lotus/Upgrades/Skins/Operator/Leggings/LeggingsAdultOperatorLasrianA</t>
        </is>
      </c>
      <c r="B96" t="inlineStr">
        <is>
          <t>Stormfall Pants &amp; Boots</t>
        </is>
      </c>
      <c r="C96" t="inlineStr">
        <is>
          <t>https://wiki.warframe.com/w/Stormfall_Collection | https://wiki.warframe.com/w/Scaldra_Authority_Pack</t>
        </is>
      </c>
      <c r="D96" t="inlineStr">
        <is>
          <t>ExportCustoms</t>
        </is>
      </c>
      <c r="F96" t="inlineStr">
        <is>
          <t>Stormfall Pants &amp; Boots</t>
        </is>
      </c>
      <c r="H96" t="inlineStr">
        <is>
          <t>Solved: current place verified and archived 2026-10-16.</t>
        </is>
      </c>
      <c r="I96" t="inlineStr">
        <is>
          <t>Customs</t>
        </is>
      </c>
      <c r="J96" t="inlineStr">
        <is>
          <t>ExportCustoms_ground_truth</t>
        </is>
      </c>
      <c r="K96" t="inlineStr">
        <is>
          <t>name or path</t>
        </is>
      </c>
      <c r="M96" t="inlineStr">
        <is>
          <t>In-game Market for 30 Platinum.</t>
        </is>
      </c>
      <c r="N96" t="inlineStr">
        <is>
          <t>Stormfall Collection | Scaldra Authority Pack | Drifter/Patch History | Operator/Patch History | Update 38</t>
        </is>
      </c>
      <c r="O96" t="inlineStr">
        <is>
          <t>We copied where it comes from off the wiki page. See place from wiki page.</t>
        </is>
      </c>
    </row>
    <row r="97">
      <c r="A97" t="inlineStr">
        <is>
          <t>/Lotus/Upgrades/Skins/Operator/Leggings/LeggingsOperatorLasrianA</t>
        </is>
      </c>
      <c r="B97" t="inlineStr">
        <is>
          <t>Stormfall Pants &amp; Boots</t>
        </is>
      </c>
      <c r="C97" t="inlineStr">
        <is>
          <t>https://wiki.warframe.com/w/Stormfall_Collection | https://wiki.warframe.com/w/Scaldra_Authority_Pack</t>
        </is>
      </c>
      <c r="D97" t="inlineStr">
        <is>
          <t>ExportCustoms</t>
        </is>
      </c>
      <c r="F97" t="inlineStr">
        <is>
          <t>Stormfall Pants &amp; Boots</t>
        </is>
      </c>
      <c r="H97" t="inlineStr">
        <is>
          <t>Solved: current place verified and archived 2026-10-16.</t>
        </is>
      </c>
      <c r="I97" t="inlineStr">
        <is>
          <t>Customs</t>
        </is>
      </c>
      <c r="J97" t="inlineStr">
        <is>
          <t>ExportCustoms_ground_truth</t>
        </is>
      </c>
      <c r="K97" t="inlineStr">
        <is>
          <t>name or path</t>
        </is>
      </c>
      <c r="M97" t="inlineStr">
        <is>
          <t>In-game Market for 30 Platinum.</t>
        </is>
      </c>
      <c r="N97" t="inlineStr">
        <is>
          <t>Stormfall Collection | Scaldra Authority Pack | Drifter/Patch History | Operator/Patch History | Update 38</t>
        </is>
      </c>
      <c r="O97" t="inlineStr">
        <is>
          <t>We copied where it comes from off the wiki page. See place from wiki page.</t>
        </is>
      </c>
    </row>
    <row r="98">
      <c r="A98" t="inlineStr">
        <is>
          <t>/Lotus/Upgrades/Skins/Hoplite/SWStyanaxHuzarrHelmet</t>
        </is>
      </c>
      <c r="B98" t="inlineStr">
        <is>
          <t>Styanax Huzarr Helmet</t>
        </is>
      </c>
      <c r="C98" t="inlineStr">
        <is>
          <t>https://wiki.warframe.com/w/Styanax_Huzarr_Skin</t>
        </is>
      </c>
      <c r="D98" t="inlineStr">
        <is>
          <t>ExportCustoms</t>
        </is>
      </c>
      <c r="F98" t="inlineStr">
        <is>
          <t>Styanax Huzarr Helmet</t>
        </is>
      </c>
      <c r="H98" t="inlineStr">
        <is>
          <t>Solved: current place verified and archived 2026-10-16.</t>
        </is>
      </c>
      <c r="I98" t="inlineStr">
        <is>
          <t>Customs</t>
        </is>
      </c>
      <c r="J98" t="inlineStr">
        <is>
          <t>ExportCustoms_ground_truth</t>
        </is>
      </c>
      <c r="K98" t="inlineStr">
        <is>
          <t>name or path</t>
        </is>
      </c>
      <c r="M98" t="inlineStr">
        <is>
          <t>Included with the Styanax Huzarr Skin (TennoGen); buy it with Steam Wallet credit on PC or for 165 Platinum on consoles.</t>
        </is>
      </c>
      <c r="N98" t="inlineStr">
        <is>
          <t>Styanax Huzarr Skin</t>
        </is>
      </c>
      <c r="O98" t="inlineStr">
        <is>
          <t>Saved a concrete acquisition place from the official Warframe Wiki. Skin page Acquisition section; the skin page names this helmet.</t>
        </is>
      </c>
    </row>
    <row r="99">
      <c r="A99" t="inlineStr">
        <is>
          <t>/Lotus/Upgrades/Skins/Sentinels/Wings/OrokinWingsRight</t>
        </is>
      </c>
      <c r="B99" t="inlineStr">
        <is>
          <t>Summus Prime Sentinel Wings</t>
        </is>
      </c>
      <c r="C99" t="inlineStr">
        <is>
          <t>https://wiki.warframe.com/w/Sentinel_Cosmetics</t>
        </is>
      </c>
      <c r="D99" t="inlineStr">
        <is>
          <t>ExportCustoms</t>
        </is>
      </c>
      <c r="F99" t="inlineStr">
        <is>
          <t>Summus Prime Sentinel Wings</t>
        </is>
      </c>
      <c r="G99" t="inlineStr">
        <is>
          <t>Summus Prime Sentinel Wings</t>
        </is>
      </c>
      <c r="H99" t="inlineStr">
        <is>
          <t>Solved: current place verified and archived 2026-10-16.</t>
        </is>
      </c>
      <c r="I99" t="inlineStr">
        <is>
          <t>Customs</t>
        </is>
      </c>
      <c r="J99" t="inlineStr">
        <is>
          <t>Cosmetics_data, Cosmetics_data_sentinelarmor, Cosmetics_userdata, ExportCustoms_ground_truth</t>
        </is>
      </c>
      <c r="K99" t="inlineStr">
        <is>
          <t>Cosmetics/data/sentinelarmor</t>
        </is>
      </c>
      <c r="L99" t="inlineStr">
        <is>
          <t>listed, no place</t>
        </is>
      </c>
      <c r="M99" t="inlineStr">
        <is>
          <t>Included in Loki Prime Access (Summus Prime Sentinel Accessories).</t>
        </is>
      </c>
      <c r="N99" t="inlineStr">
        <is>
          <t>Sentinel Cosmetics</t>
        </is>
      </c>
      <c r="O99" t="inlineStr">
        <is>
          <t>Saved a concrete acquisition place from the official Warframe Wiki.</t>
        </is>
      </c>
    </row>
    <row r="100">
      <c r="A100" t="inlineStr">
        <is>
          <t>/Lotus/Upgrades/Skins/Operator/MakeupMasks/MakeupMaskG</t>
        </is>
      </c>
      <c r="B100" t="inlineStr">
        <is>
          <t>Tarunya Look</t>
        </is>
      </c>
      <c r="C100" t="inlineStr">
        <is>
          <t>https://wiki.warframe.com/w/Operator/Customization</t>
        </is>
      </c>
      <c r="D100" t="inlineStr">
        <is>
          <t>ExportCustoms</t>
        </is>
      </c>
      <c r="F100" t="inlineStr">
        <is>
          <t>Tarunya Look</t>
        </is>
      </c>
      <c r="H100" t="inlineStr">
        <is>
          <t>Solved: current place verified and archived 2026-10-16.</t>
        </is>
      </c>
      <c r="I100" t="inlineStr">
        <is>
          <t>Customs</t>
        </is>
      </c>
      <c r="J100" t="inlineStr">
        <is>
          <t>ExportCustoms_ground_truth</t>
        </is>
      </c>
      <c r="K100" t="inlineStr">
        <is>
          <t>name or path</t>
        </is>
      </c>
      <c r="M100" t="inlineStr">
        <is>
          <t>Unlocked by default in Operator appearance customization.</t>
        </is>
      </c>
      <c r="N100" t="inlineStr">
        <is>
          <t>Operator/Customization</t>
        </is>
      </c>
      <c r="O100" t="inlineStr">
        <is>
          <t>Saved a concrete acquisition place from the official Warframe Wiki. Operator/Customization Makeup gallery marks it (default).</t>
        </is>
      </c>
    </row>
    <row r="101">
      <c r="A101" t="inlineStr">
        <is>
          <t>/Lotus/Upgrades/Skins/Temple/TempleAgileAnims</t>
        </is>
      </c>
      <c r="B101" t="inlineStr">
        <is>
          <t>Temple Agile Animation Set</t>
        </is>
      </c>
      <c r="C101" t="inlineStr">
        <is>
          <t>https://wiki.warframe.com/w/Temple_Animation_Set</t>
        </is>
      </c>
      <c r="D101" t="inlineStr">
        <is>
          <t>ExportCustoms</t>
        </is>
      </c>
      <c r="F101" t="inlineStr">
        <is>
          <t>Temple Agile Animation Set</t>
        </is>
      </c>
      <c r="H101" t="inlineStr">
        <is>
          <t>Solved: current place verified and archived 2026-10-16.</t>
        </is>
      </c>
      <c r="I101" t="inlineStr">
        <is>
          <t>Customs</t>
        </is>
      </c>
      <c r="J101" t="inlineStr">
        <is>
          <t>Cosmetics_data, Cosmetics_userdata, ExportCustoms_ground_truth</t>
        </is>
      </c>
      <c r="K101" t="inlineStr">
        <is>
          <t>name or path</t>
        </is>
      </c>
      <c r="M101" t="inlineStr">
        <is>
          <t>In-game Market for 50 Platinum.</t>
        </is>
      </c>
      <c r="N101" t="inlineStr">
        <is>
          <t>Temple Animation Set</t>
        </is>
      </c>
      <c r="O101" t="inlineStr">
        <is>
          <t>We copied where it comes from off the wiki page. See place from wiki page.</t>
        </is>
      </c>
    </row>
    <row r="102">
      <c r="A102" t="inlineStr">
        <is>
          <t>/Lotus/Upgrades/Skins/Temple/TempleNobleAnims</t>
        </is>
      </c>
      <c r="B102" t="inlineStr">
        <is>
          <t>Temple Noble Animation Set</t>
        </is>
      </c>
      <c r="C102" t="inlineStr">
        <is>
          <t>https://wiki.warframe.com/w/Temple_Animation_Set</t>
        </is>
      </c>
      <c r="D102" t="inlineStr">
        <is>
          <t>ExportCustoms</t>
        </is>
      </c>
      <c r="F102" t="inlineStr">
        <is>
          <t>Temple Noble Animation Set</t>
        </is>
      </c>
      <c r="H102" t="inlineStr">
        <is>
          <t>Solved: current place verified and archived 2026-10-16.</t>
        </is>
      </c>
      <c r="I102" t="inlineStr">
        <is>
          <t>Customs</t>
        </is>
      </c>
      <c r="J102" t="inlineStr">
        <is>
          <t>Cosmetics_data, Cosmetics_userdata, ExportCustoms_ground_truth</t>
        </is>
      </c>
      <c r="K102" t="inlineStr">
        <is>
          <t>name or path</t>
        </is>
      </c>
      <c r="M102" t="inlineStr">
        <is>
          <t>In-game Market for 50 Platinum.</t>
        </is>
      </c>
      <c r="N102" t="inlineStr">
        <is>
          <t>Temple Animation Set</t>
        </is>
      </c>
      <c r="O102" t="inlineStr">
        <is>
          <t>We copied where it comes from off the wiki page. See place from wiki page.</t>
        </is>
      </c>
    </row>
    <row r="103">
      <c r="A103" t="inlineStr">
        <is>
          <t>/Lotus/Upgrades/Skins/Operator/Accessories/Tennocon2025Bandana</t>
        </is>
      </c>
      <c r="B103" t="inlineStr">
        <is>
          <t>TennoCon Origins Bandana</t>
        </is>
      </c>
      <c r="C103" t="inlineStr">
        <is>
          <t>https://wiki.warframe.com/w/Operator/Customization</t>
        </is>
      </c>
      <c r="D103" t="inlineStr">
        <is>
          <t>ExportCustoms</t>
        </is>
      </c>
      <c r="F103" t="inlineStr">
        <is>
          <t>TennoCon Origins Bandana</t>
        </is>
      </c>
      <c r="H103" t="inlineStr">
        <is>
          <t>Solved: current place verified and archived 2026-10-16.</t>
        </is>
      </c>
      <c r="I103" t="inlineStr">
        <is>
          <t>Customs</t>
        </is>
      </c>
      <c r="J103" t="inlineStr">
        <is>
          <t>ExportCustoms_ground_truth</t>
        </is>
      </c>
      <c r="K103" t="inlineStr">
        <is>
          <t>name or path</t>
        </is>
      </c>
      <c r="M103" t="inlineStr">
        <is>
          <t>Included in the TennoCon 2025 Digital Pack.</t>
        </is>
      </c>
      <c r="N103" t="inlineStr">
        <is>
          <t>Operator/Customization</t>
        </is>
      </c>
      <c r="O103" t="inlineStr">
        <is>
          <t>We copied where it comes from off the wiki page. See place from wiki page.</t>
        </is>
      </c>
    </row>
    <row r="104">
      <c r="A104" t="inlineStr">
        <is>
          <t>/Lotus/Upgrades/Skins/Clan/Tennogen10YearBadgeItem</t>
        </is>
      </c>
      <c r="B104" t="inlineStr">
        <is>
          <t>TennoGen Decennial Emblem</t>
        </is>
      </c>
      <c r="C104" t="inlineStr">
        <is>
          <t>https://wiki.warframe.com/w/Emblems</t>
        </is>
      </c>
      <c r="D104" t="inlineStr">
        <is>
          <t>ExportCustoms</t>
        </is>
      </c>
      <c r="F104" t="inlineStr">
        <is>
          <t>TennoGen Decennial Emblem</t>
        </is>
      </c>
      <c r="H104" t="inlineStr">
        <is>
          <t>Solved: current place verified and archived 2026-10-16.</t>
        </is>
      </c>
      <c r="I104" t="inlineStr">
        <is>
          <t>Customs</t>
        </is>
      </c>
      <c r="J104" t="inlineStr">
        <is>
          <t>ExportCustoms_ground_truth</t>
        </is>
      </c>
      <c r="K104" t="inlineStr">
        <is>
          <t>name or path</t>
        </is>
      </c>
      <c r="M104" t="inlineStr">
        <is>
          <t>Not currently obtainable.</t>
        </is>
      </c>
      <c r="N104" t="inlineStr">
        <is>
          <t>Emblems</t>
        </is>
      </c>
      <c r="O104" t="inlineStr">
        <is>
          <t>Saved a concrete acquisition place from the official Warframe Wiki. Emblems page quotes the TennoGen anniversary announcement.</t>
        </is>
      </c>
    </row>
    <row r="105">
      <c r="A105" t="inlineStr">
        <is>
          <t>/Lotus/Upgrades/Skins/Operator/Hoods/AdultUmbraScarfHood</t>
        </is>
      </c>
      <c r="B105" t="inlineStr">
        <is>
          <t>Umbra Hooded Scarf</t>
        </is>
      </c>
      <c r="C105" t="inlineStr">
        <is>
          <t>https://wiki.warframe.com/w/Umbra_Operator_Collection</t>
        </is>
      </c>
      <c r="D105" t="inlineStr">
        <is>
          <t>ExportCustoms</t>
        </is>
      </c>
      <c r="F105" t="inlineStr">
        <is>
          <t>Umbra Hooded Scarf</t>
        </is>
      </c>
      <c r="G105" t="inlineStr">
        <is>
          <t>Umbra Hooded Scarf</t>
        </is>
      </c>
      <c r="H105" t="inlineStr">
        <is>
          <t>Solved: current place verified and archived 2026-10-16.</t>
        </is>
      </c>
      <c r="I105" t="inlineStr">
        <is>
          <t>Customs</t>
        </is>
      </c>
      <c r="J105" t="inlineStr">
        <is>
          <t>Cosmetics_data, Cosmetics_data_transferencesuit, Cosmetics_userdata, ExportCustoms_ground_truth</t>
        </is>
      </c>
      <c r="K105" t="inlineStr">
        <is>
          <t>Cosmetics/data/transferencesuit</t>
        </is>
      </c>
      <c r="L105" t="inlineStr">
        <is>
          <t>listed, no place</t>
        </is>
      </c>
      <c r="M105" t="inlineStr">
        <is>
          <t>In-game Market for 30 Platinum.</t>
        </is>
      </c>
      <c r="N105" t="inlineStr">
        <is>
          <t>Umbra Operator Collection</t>
        </is>
      </c>
      <c r="O105" t="inlineStr">
        <is>
          <t>Saved a concrete acquisition place from the official Warframe Wiki.</t>
        </is>
      </c>
    </row>
    <row r="106">
      <c r="A106" t="inlineStr">
        <is>
          <t>/Lotus/Upgrades/Skins/Operator/MakeupMasks/UnairuMaskA</t>
        </is>
      </c>
      <c r="B106" t="inlineStr">
        <is>
          <t>Unairu Paint A</t>
        </is>
      </c>
      <c r="C106" t="inlineStr">
        <is>
          <t>https://wiki.warframe.com/w/Operator/Customization</t>
        </is>
      </c>
      <c r="D106" t="inlineStr">
        <is>
          <t>ExportCustoms</t>
        </is>
      </c>
      <c r="F106" t="inlineStr">
        <is>
          <t>Unairu Paint A</t>
        </is>
      </c>
      <c r="H106" t="inlineStr">
        <is>
          <t>Solved: current place verified and archived 2026-10-16.</t>
        </is>
      </c>
      <c r="I106" t="inlineStr">
        <is>
          <t>Customs</t>
        </is>
      </c>
      <c r="J106" t="inlineStr">
        <is>
          <t>ExportCustoms_ground_truth</t>
        </is>
      </c>
      <c r="K106" t="inlineStr">
        <is>
          <t>name or path</t>
        </is>
      </c>
      <c r="M106" t="inlineStr">
        <is>
          <t>Purchase with 100,000 Unairu Focus Points.</t>
        </is>
      </c>
      <c r="N106" t="inlineStr">
        <is>
          <t>Operator/Customization | Drifter/Patch History | Operator/Patch History</t>
        </is>
      </c>
      <c r="O106" t="inlineStr">
        <is>
          <t>We copied where it comes from off the wiki page. See place from wiki page.</t>
        </is>
      </c>
    </row>
    <row r="107">
      <c r="A107" t="inlineStr">
        <is>
          <t>/Lotus/Upgrades/Skins/Operator/MakeupMasks/UnairuMaskB</t>
        </is>
      </c>
      <c r="B107" t="inlineStr">
        <is>
          <t>Unairu Paint B</t>
        </is>
      </c>
      <c r="C107" t="inlineStr">
        <is>
          <t>https://wiki.warframe.com/w/Operator/Customization</t>
        </is>
      </c>
      <c r="D107" t="inlineStr">
        <is>
          <t>ExportCustoms</t>
        </is>
      </c>
      <c r="F107" t="inlineStr">
        <is>
          <t>Unairu Paint B</t>
        </is>
      </c>
      <c r="H107" t="inlineStr">
        <is>
          <t>Solved: current place verified and archived 2026-10-16.</t>
        </is>
      </c>
      <c r="I107" t="inlineStr">
        <is>
          <t>Customs</t>
        </is>
      </c>
      <c r="J107" t="inlineStr">
        <is>
          <t>ExportCustoms_ground_truth</t>
        </is>
      </c>
      <c r="K107" t="inlineStr">
        <is>
          <t>name or path</t>
        </is>
      </c>
      <c r="M107" t="inlineStr">
        <is>
          <t>Purchase with 100,000 Unairu Focus Points.</t>
        </is>
      </c>
      <c r="N107" t="inlineStr">
        <is>
          <t>Operator/Customization | Drifter/Patch History | Operator/Patch History</t>
        </is>
      </c>
      <c r="O107" t="inlineStr">
        <is>
          <t>We copied where it comes from off the wiki page. See place from wiki page.</t>
        </is>
      </c>
    </row>
    <row r="108">
      <c r="A108" t="inlineStr">
        <is>
          <t>/Lotus/Upgrades/Skins/Sentinels/Wings/PrimeSentinelWingsRight</t>
        </is>
      </c>
      <c r="B108" t="inlineStr">
        <is>
          <t>Unda Prime Sentinel Wings</t>
        </is>
      </c>
      <c r="C108" t="inlineStr">
        <is>
          <t>https://wiki.warframe.com/w/Sentinel_Cosmetics</t>
        </is>
      </c>
      <c r="D108" t="inlineStr">
        <is>
          <t>ExportCustoms</t>
        </is>
      </c>
      <c r="F108" t="inlineStr">
        <is>
          <t>Unda Prime Sentinel Wings</t>
        </is>
      </c>
      <c r="G108" t="inlineStr">
        <is>
          <t>Unda Prime Sentinel Wings</t>
        </is>
      </c>
      <c r="H108" t="inlineStr">
        <is>
          <t>Solved: current place verified and archived 2026-10-16.</t>
        </is>
      </c>
      <c r="I108" t="inlineStr">
        <is>
          <t>Customs</t>
        </is>
      </c>
      <c r="J108" t="inlineStr">
        <is>
          <t>Cosmetics_data, Cosmetics_data_sentinelarmor, Cosmetics_userdata, ExportCustoms_ground_truth</t>
        </is>
      </c>
      <c r="K108" t="inlineStr">
        <is>
          <t>Cosmetics/data/sentinelarmor</t>
        </is>
      </c>
      <c r="L108" t="inlineStr">
        <is>
          <t>listed, no place</t>
        </is>
      </c>
      <c r="M108" t="inlineStr">
        <is>
          <t>Included in Ash Prime Access (Unda Prime Sentinel Accessories).</t>
        </is>
      </c>
      <c r="N108" t="inlineStr">
        <is>
          <t>Sentinel Cosmetics</t>
        </is>
      </c>
      <c r="O108" t="inlineStr">
        <is>
          <t>Saved a concrete acquisition place from the official Warframe Wiki.</t>
        </is>
      </c>
    </row>
    <row r="109">
      <c r="A109" t="inlineStr">
        <is>
          <t>/Lotus/Upgrades/Skins/Operator/Hair/HairO</t>
        </is>
      </c>
      <c r="B109" t="inlineStr">
        <is>
          <t>Undercut Front Flip</t>
        </is>
      </c>
      <c r="C109" t="inlineStr">
        <is>
          <t>https://wiki.warframe.com/w/Definitive_Salon_Pack</t>
        </is>
      </c>
      <c r="D109" t="inlineStr">
        <is>
          <t>ExportCustoms</t>
        </is>
      </c>
      <c r="G109" t="inlineStr">
        <is>
          <t>Undercut Front Flip</t>
        </is>
      </c>
      <c r="H109" t="inlineStr">
        <is>
          <t>Solved: current place verified and archived 2026-10-16.</t>
        </is>
      </c>
      <c r="I109" t="inlineStr">
        <is>
          <t>Customs</t>
        </is>
      </c>
      <c r="J109" t="inlineStr">
        <is>
          <t>Cosmetics_data, Cosmetics_data_face, ExportCustoms_ground_truth</t>
        </is>
      </c>
      <c r="K109" t="inlineStr">
        <is>
          <t>Cosmetics/data/face</t>
        </is>
      </c>
      <c r="L109" t="inlineStr">
        <is>
          <t>listed, no place</t>
        </is>
      </c>
      <c r="M109" t="inlineStr">
        <is>
          <t>In-game Market for 25 Platinum.</t>
        </is>
      </c>
      <c r="N109" t="inlineStr">
        <is>
          <t>Definitive Salon Pack</t>
        </is>
      </c>
      <c r="O109" t="inlineStr">
        <is>
          <t>Saved a concrete acquisition place from the official Warframe Wiki.</t>
        </is>
      </c>
    </row>
    <row r="110">
      <c r="A110" t="inlineStr">
        <is>
          <t>/Lotus/Upgrades/Skins/Operator/Hair/HairJ</t>
        </is>
      </c>
      <c r="B110" t="inlineStr">
        <is>
          <t>Undercut Kaithetail</t>
        </is>
      </c>
      <c r="C110" t="inlineStr">
        <is>
          <t>https://wiki.warframe.com/w/Definitive_Salon_Pack</t>
        </is>
      </c>
      <c r="D110" t="inlineStr">
        <is>
          <t>ExportCustoms</t>
        </is>
      </c>
      <c r="G110" t="inlineStr">
        <is>
          <t>Undercut Kaithetail</t>
        </is>
      </c>
      <c r="H110" t="inlineStr">
        <is>
          <t>Solved: current place verified and archived 2026-10-16.</t>
        </is>
      </c>
      <c r="I110" t="inlineStr">
        <is>
          <t>Customs</t>
        </is>
      </c>
      <c r="J110" t="inlineStr">
        <is>
          <t>Cosmetics_data, Cosmetics_data_face, ExportCustoms_ground_truth</t>
        </is>
      </c>
      <c r="K110" t="inlineStr">
        <is>
          <t>Cosmetics/data/face</t>
        </is>
      </c>
      <c r="L110" t="inlineStr">
        <is>
          <t>listed, no place</t>
        </is>
      </c>
      <c r="M110" t="inlineStr">
        <is>
          <t>In-game Market for 25 Platinum.</t>
        </is>
      </c>
      <c r="N110" t="inlineStr">
        <is>
          <t>Definitive Salon Pack</t>
        </is>
      </c>
      <c r="O110" t="inlineStr">
        <is>
          <t>Saved a concrete acquisition place from the official Warframe Wiki.</t>
        </is>
      </c>
    </row>
    <row r="111">
      <c r="A111" t="inlineStr">
        <is>
          <t>/Lotus/Upgrades/Skins/DemonFrame/DemonFrameAgileAnims</t>
        </is>
      </c>
      <c r="B111" t="inlineStr">
        <is>
          <t>Uriel Agile Animation Set</t>
        </is>
      </c>
      <c r="C111" t="inlineStr">
        <is>
          <t>https://wiki.warframe.com/w/Uriel_Animation_Set</t>
        </is>
      </c>
      <c r="D111" t="inlineStr">
        <is>
          <t>ExportCustoms</t>
        </is>
      </c>
      <c r="F111" t="inlineStr">
        <is>
          <t>Uriel Agile Animation Set</t>
        </is>
      </c>
      <c r="H111" t="inlineStr">
        <is>
          <t>Solved: current place verified and archived 2026-10-16.</t>
        </is>
      </c>
      <c r="I111" t="inlineStr">
        <is>
          <t>Customs</t>
        </is>
      </c>
      <c r="J111" t="inlineStr">
        <is>
          <t>Cosmetics_data, Cosmetics_userdata, ExportCustoms_ground_truth</t>
        </is>
      </c>
      <c r="K111" t="inlineStr">
        <is>
          <t>name or path</t>
        </is>
      </c>
      <c r="M111" t="inlineStr">
        <is>
          <t>In-game Market for 50 Platinum.</t>
        </is>
      </c>
      <c r="N111" t="inlineStr">
        <is>
          <t>Uriel Animation Set</t>
        </is>
      </c>
      <c r="O111" t="inlineStr">
        <is>
          <t>We copied where it comes from off the wiki page. See place from wiki page.</t>
        </is>
      </c>
    </row>
    <row r="112">
      <c r="A112" t="inlineStr">
        <is>
          <t>/Lotus/Upgrades/Skins/DemonFrame/DemonFrameNobleAnims</t>
        </is>
      </c>
      <c r="B112" t="inlineStr">
        <is>
          <t>Uriel Noble Animation Set</t>
        </is>
      </c>
      <c r="C112" t="inlineStr">
        <is>
          <t>https://wiki.warframe.com/w/Uriel_Animation_Set</t>
        </is>
      </c>
      <c r="D112" t="inlineStr">
        <is>
          <t>ExportCustoms</t>
        </is>
      </c>
      <c r="F112" t="inlineStr">
        <is>
          <t>Uriel Noble Animation Set</t>
        </is>
      </c>
      <c r="H112" t="inlineStr">
        <is>
          <t>Solved: current place verified and archived 2026-10-16.</t>
        </is>
      </c>
      <c r="I112" t="inlineStr">
        <is>
          <t>Customs</t>
        </is>
      </c>
      <c r="J112" t="inlineStr">
        <is>
          <t>Cosmetics_data, Cosmetics_userdata, ExportCustoms_ground_truth</t>
        </is>
      </c>
      <c r="K112" t="inlineStr">
        <is>
          <t>name or path</t>
        </is>
      </c>
      <c r="M112" t="inlineStr">
        <is>
          <t>In-game Market for 50 Platinum.</t>
        </is>
      </c>
      <c r="N112" t="inlineStr">
        <is>
          <t>Uriel Animation Set</t>
        </is>
      </c>
      <c r="O112" t="inlineStr">
        <is>
          <t>We copied where it comes from off the wiki page. See place from wiki page.</t>
        </is>
      </c>
    </row>
    <row r="113">
      <c r="A113" t="inlineStr">
        <is>
          <t>/Lotus/Upgrades/Skins/Sentinels/Wings/GardenerWingsRight</t>
        </is>
      </c>
      <c r="B113" t="inlineStr">
        <is>
          <t>VERD-IE Sentinel Wings</t>
        </is>
      </c>
      <c r="C113" t="inlineStr">
        <is>
          <t>https://wiki.warframe.com/w/Hombask | https://wiki.warframe.com/w/Sentinel_Cosmetics</t>
        </is>
      </c>
      <c r="D113" t="inlineStr">
        <is>
          <t>ExportCustoms</t>
        </is>
      </c>
      <c r="F113" t="inlineStr">
        <is>
          <t>VERD-IE Sentinel Wings</t>
        </is>
      </c>
      <c r="G113" t="inlineStr">
        <is>
          <t>VERD-IE Sentinel Wings</t>
        </is>
      </c>
      <c r="H113" t="inlineStr">
        <is>
          <t>Solved: current place verified and archived 2026-10-16.</t>
        </is>
      </c>
      <c r="I113" t="inlineStr">
        <is>
          <t>Customs</t>
        </is>
      </c>
      <c r="J113" t="inlineStr">
        <is>
          <t>Sold by Hombask (10,000 Standing)</t>
        </is>
      </c>
      <c r="K113" t="inlineStr">
        <is>
          <t>Vendors/data</t>
        </is>
      </c>
      <c r="L113" t="inlineStr">
        <is>
          <t>case</t>
        </is>
      </c>
      <c r="M113" t="inlineStr">
        <is>
          <t>Purchase from Hombask (The Holdfasts) in the Chrysalith for 10,000 Holdfasts Standing at Rank 5 (Angel).</t>
        </is>
      </c>
      <c r="N113" t="inlineStr">
        <is>
          <t>Hombask | Sentinel Cosmetics</t>
        </is>
      </c>
      <c r="O113" t="inlineStr">
        <is>
          <t>Saved a concrete acquisition place from the official Warframe Wiki.</t>
        </is>
      </c>
    </row>
    <row r="114">
      <c r="A114" t="inlineStr">
        <is>
          <t>/Lotus/Upgrades/Skins/Sentinels/Wings/GardenerWingsStatic</t>
        </is>
      </c>
      <c r="B114" t="inlineStr">
        <is>
          <t>VERD-IE Sentinel Wings</t>
        </is>
      </c>
      <c r="C114" t="inlineStr">
        <is>
          <t>https://wiki.warframe.com/w/Hombask | https://wiki.warframe.com/w/Sentinel_Cosmetics</t>
        </is>
      </c>
      <c r="D114" t="inlineStr">
        <is>
          <t>ExportCustoms</t>
        </is>
      </c>
      <c r="F114" t="inlineStr">
        <is>
          <t>VERD-IE Sentinel Wings</t>
        </is>
      </c>
      <c r="G114" t="inlineStr">
        <is>
          <t>VERD-IE Sentinel Wings</t>
        </is>
      </c>
      <c r="H114" t="inlineStr">
        <is>
          <t>Solved: current place verified and archived 2026-10-16.</t>
        </is>
      </c>
      <c r="I114" t="inlineStr">
        <is>
          <t>Customs</t>
        </is>
      </c>
      <c r="J114" t="inlineStr">
        <is>
          <t>Sold by Hombask (10,000 Standing)</t>
        </is>
      </c>
      <c r="K114" t="inlineStr">
        <is>
          <t>Vendors/data</t>
        </is>
      </c>
      <c r="L114" t="inlineStr">
        <is>
          <t>case</t>
        </is>
      </c>
      <c r="M114" t="inlineStr">
        <is>
          <t>Purchase from Hombask (The Holdfasts) in the Chrysalith for 10,000 Holdfasts Standing at Rank 5 (Angel).</t>
        </is>
      </c>
      <c r="N114" t="inlineStr">
        <is>
          <t>Hombask | Sentinel Cosmetics</t>
        </is>
      </c>
      <c r="O114" t="inlineStr">
        <is>
          <t>Saved a concrete acquisition place from the official Warframe Wiki.</t>
        </is>
      </c>
    </row>
    <row r="115">
      <c r="A115" t="inlineStr">
        <is>
          <t>/Lotus/Upgrades/Skins/Sentinels/Wings/GardenerWingsStaticRight</t>
        </is>
      </c>
      <c r="B115" t="inlineStr">
        <is>
          <t>VERD-IE Sentinel Wings</t>
        </is>
      </c>
      <c r="C115" t="inlineStr">
        <is>
          <t>https://wiki.warframe.com/w/Hombask | https://wiki.warframe.com/w/Sentinel_Cosmetics</t>
        </is>
      </c>
      <c r="D115" t="inlineStr">
        <is>
          <t>ExportCustoms</t>
        </is>
      </c>
      <c r="F115" t="inlineStr">
        <is>
          <t>VERD-IE Sentinel Wings</t>
        </is>
      </c>
      <c r="G115" t="inlineStr">
        <is>
          <t>VERD-IE Sentinel Wings</t>
        </is>
      </c>
      <c r="H115" t="inlineStr">
        <is>
          <t>Solved: current place verified and archived 2026-10-16.</t>
        </is>
      </c>
      <c r="I115" t="inlineStr">
        <is>
          <t>Customs</t>
        </is>
      </c>
      <c r="J115" t="inlineStr">
        <is>
          <t>Sold by Hombask (10,000 Standing)</t>
        </is>
      </c>
      <c r="K115" t="inlineStr">
        <is>
          <t>Vendors/data</t>
        </is>
      </c>
      <c r="L115" t="inlineStr">
        <is>
          <t>case</t>
        </is>
      </c>
      <c r="M115" t="inlineStr">
        <is>
          <t>Purchase from Hombask (The Holdfasts) in the Chrysalith for 10,000 Holdfasts Standing at Rank 5 (Angel).</t>
        </is>
      </c>
      <c r="N115" t="inlineStr">
        <is>
          <t>Hombask | Sentinel Cosmetics</t>
        </is>
      </c>
      <c r="O115" t="inlineStr">
        <is>
          <t>Saved a concrete acquisition place from the official Warframe Wiki.</t>
        </is>
      </c>
    </row>
    <row r="116">
      <c r="A116" t="inlineStr">
        <is>
          <t>/Lotus/Upgrades/Skins/Scarves/ValdurBackCape</t>
        </is>
      </c>
      <c r="B116" t="inlineStr">
        <is>
          <t>Valdur's Syandana</t>
        </is>
      </c>
      <c r="C116" t="inlineStr">
        <is>
          <t>https://wiki.warframe.com/w/Operation:_Blood_of_Perita | https://wiki.warframe.com/w/Event</t>
        </is>
      </c>
      <c r="D116" t="inlineStr">
        <is>
          <t>ExportCustoms</t>
        </is>
      </c>
      <c r="F116" t="inlineStr">
        <is>
          <t>Valdur's Syandana</t>
        </is>
      </c>
      <c r="H116" t="inlineStr">
        <is>
          <t>Solved: current place verified and archived 2026-10-16.</t>
        </is>
      </c>
      <c r="I116" t="inlineStr">
        <is>
          <t>Customs</t>
        </is>
      </c>
      <c r="J116" t="inlineStr">
        <is>
          <t>ExportCustoms_ground_truth</t>
        </is>
      </c>
      <c r="K116" t="inlineStr">
        <is>
          <t>name or path</t>
        </is>
      </c>
      <c r="M116" t="inlineStr">
        <is>
          <t>Purchase from the Operation: Blood of Perita offerings for 40 Marks of Valiance.</t>
        </is>
      </c>
      <c r="N116" t="inlineStr">
        <is>
          <t>Operation: Blood of Perita | Event</t>
        </is>
      </c>
      <c r="O116" t="inlineStr">
        <is>
          <t>We copied where it comes from off the wiki page. See place from wiki page.</t>
        </is>
      </c>
    </row>
    <row r="117">
      <c r="A117" t="inlineStr">
        <is>
          <t>/Lotus/Upgrades/Skins/Operator/Hoods/HoodAdultNewC</t>
        </is>
      </c>
      <c r="B117" t="inlineStr">
        <is>
          <t>Varida Hood</t>
        </is>
      </c>
      <c r="C117" t="inlineStr">
        <is>
          <t>https://wiki.warframe.com/w/Operator_Suit_Collection</t>
        </is>
      </c>
      <c r="D117" t="inlineStr">
        <is>
          <t>ExportCustoms</t>
        </is>
      </c>
      <c r="F117" t="inlineStr">
        <is>
          <t>Varida Hood</t>
        </is>
      </c>
      <c r="G117" t="inlineStr">
        <is>
          <t>Varida Hood</t>
        </is>
      </c>
      <c r="H117" t="inlineStr">
        <is>
          <t>Solved: current place verified and archived 2026-10-16.</t>
        </is>
      </c>
      <c r="I117" t="inlineStr">
        <is>
          <t>Customs</t>
        </is>
      </c>
      <c r="J117" t="inlineStr">
        <is>
          <t>Cosmetics_data, Cosmetics_data_transferencesuit, Cosmetics_userdata, ExportCustoms_ground_truth</t>
        </is>
      </c>
      <c r="K117" t="inlineStr">
        <is>
          <t>Cosmetics/data/transferencesuit</t>
        </is>
      </c>
      <c r="L117" t="inlineStr">
        <is>
          <t>listed, no place</t>
        </is>
      </c>
      <c r="M117" t="inlineStr">
        <is>
          <t>In-game Market for 30 Platinum.</t>
        </is>
      </c>
      <c r="N117" t="inlineStr">
        <is>
          <t>Operator Suit Collection</t>
        </is>
      </c>
      <c r="O117" t="inlineStr">
        <is>
          <t>Saved a concrete acquisition place from the official Warframe Wiki.</t>
        </is>
      </c>
    </row>
    <row r="118">
      <c r="A118" t="inlineStr">
        <is>
          <t>/Lotus/Upgrades/Skins/Operator/Leggings/LeggingsAdultNewC</t>
        </is>
      </c>
      <c r="B118" t="inlineStr">
        <is>
          <t>Varida Leggings</t>
        </is>
      </c>
      <c r="C118" t="inlineStr">
        <is>
          <t>https://wiki.warframe.com/w/Operator_Suit_Collection</t>
        </is>
      </c>
      <c r="D118" t="inlineStr">
        <is>
          <t>ExportCustoms</t>
        </is>
      </c>
      <c r="F118" t="inlineStr">
        <is>
          <t>Varida Leggings</t>
        </is>
      </c>
      <c r="G118" t="inlineStr">
        <is>
          <t>Varida Leggings</t>
        </is>
      </c>
      <c r="H118" t="inlineStr">
        <is>
          <t>Solved: current place verified and archived 2026-10-16.</t>
        </is>
      </c>
      <c r="I118" t="inlineStr">
        <is>
          <t>Customs</t>
        </is>
      </c>
      <c r="J118" t="inlineStr">
        <is>
          <t>Cosmetics_data, Cosmetics_data_transferencesuit, Cosmetics_userdata, ExportCustoms_ground_truth</t>
        </is>
      </c>
      <c r="K118" t="inlineStr">
        <is>
          <t>Cosmetics/data/transferencesuit</t>
        </is>
      </c>
      <c r="L118" t="inlineStr">
        <is>
          <t>listed, no place</t>
        </is>
      </c>
      <c r="M118" t="inlineStr">
        <is>
          <t>In-game Market for 25 Platinum.</t>
        </is>
      </c>
      <c r="N118" t="inlineStr">
        <is>
          <t>Operator Suit Collection</t>
        </is>
      </c>
      <c r="O118" t="inlineStr">
        <is>
          <t>Saved a concrete acquisition place from the official Warframe Wiki.</t>
        </is>
      </c>
    </row>
    <row r="119">
      <c r="A119" t="inlineStr">
        <is>
          <t>/Lotus/Upgrades/Skins/Operator/Sleeves/SleevesAdultNewC</t>
        </is>
      </c>
      <c r="B119" t="inlineStr">
        <is>
          <t>Varida Sleeves</t>
        </is>
      </c>
      <c r="C119" t="inlineStr">
        <is>
          <t>https://wiki.warframe.com/w/Operator_Suit_Collection</t>
        </is>
      </c>
      <c r="D119" t="inlineStr">
        <is>
          <t>ExportCustoms</t>
        </is>
      </c>
      <c r="F119" t="inlineStr">
        <is>
          <t>Varida Sleeves</t>
        </is>
      </c>
      <c r="G119" t="inlineStr">
        <is>
          <t>Varida Sleeves</t>
        </is>
      </c>
      <c r="H119" t="inlineStr">
        <is>
          <t>Solved: current place verified and archived 2026-10-16.</t>
        </is>
      </c>
      <c r="I119" t="inlineStr">
        <is>
          <t>Customs</t>
        </is>
      </c>
      <c r="J119" t="inlineStr">
        <is>
          <t>Cosmetics_data, Cosmetics_data_transferencesuit, Cosmetics_userdata, ExportCustoms_ground_truth</t>
        </is>
      </c>
      <c r="K119" t="inlineStr">
        <is>
          <t>Cosmetics/data/transferencesuit</t>
        </is>
      </c>
      <c r="L119" t="inlineStr">
        <is>
          <t>listed, no place</t>
        </is>
      </c>
      <c r="M119" t="inlineStr">
        <is>
          <t>In-game Market for 25 Platinum.</t>
        </is>
      </c>
      <c r="N119" t="inlineStr">
        <is>
          <t>Operator Suit Collection</t>
        </is>
      </c>
      <c r="O119" t="inlineStr">
        <is>
          <t>Saved a concrete acquisition place from the official Warframe Wiki.</t>
        </is>
      </c>
    </row>
    <row r="120">
      <c r="A120" t="inlineStr">
        <is>
          <t>/Lotus/Upgrades/Skins/Operator/BodySuits/BodySuitAdultNewC</t>
        </is>
      </c>
      <c r="B120" t="inlineStr">
        <is>
          <t>Varida Suit</t>
        </is>
      </c>
      <c r="C120" t="inlineStr">
        <is>
          <t>https://wiki.warframe.com/w/Operator_Suit_Collection</t>
        </is>
      </c>
      <c r="D120" t="inlineStr">
        <is>
          <t>ExportCustoms</t>
        </is>
      </c>
      <c r="F120" t="inlineStr">
        <is>
          <t>Varida Suit</t>
        </is>
      </c>
      <c r="G120" t="inlineStr">
        <is>
          <t>Varida Suit</t>
        </is>
      </c>
      <c r="H120" t="inlineStr">
        <is>
          <t>Solved: current place verified and archived 2026-10-16.</t>
        </is>
      </c>
      <c r="I120" t="inlineStr">
        <is>
          <t>Customs</t>
        </is>
      </c>
      <c r="J120" t="inlineStr">
        <is>
          <t>Cosmetics_data, Cosmetics_data_transferencesuit, Cosmetics_userdata, ExportCustoms_ground_truth</t>
        </is>
      </c>
      <c r="K120" t="inlineStr">
        <is>
          <t>Cosmetics/data/transferencesuit</t>
        </is>
      </c>
      <c r="L120" t="inlineStr">
        <is>
          <t>listed, no place</t>
        </is>
      </c>
      <c r="M120" t="inlineStr">
        <is>
          <t>In-game Market for 25 Platinum.</t>
        </is>
      </c>
      <c r="N120" t="inlineStr">
        <is>
          <t>Operator Suit Collection</t>
        </is>
      </c>
      <c r="O120" t="inlineStr">
        <is>
          <t>Saved a concrete acquisition place from the official Warframe Wiki.</t>
        </is>
      </c>
    </row>
    <row r="121">
      <c r="A121" t="inlineStr">
        <is>
          <t>/Lotus/Upgrades/Skins/Operator/MakeupMasks/VazarinMaskA</t>
        </is>
      </c>
      <c r="B121" t="inlineStr">
        <is>
          <t>Vazarin Paint A</t>
        </is>
      </c>
      <c r="C121" t="inlineStr">
        <is>
          <t>https://wiki.warframe.com/w/Operator/Customization</t>
        </is>
      </c>
      <c r="D121" t="inlineStr">
        <is>
          <t>ExportCustoms</t>
        </is>
      </c>
      <c r="F121" t="inlineStr">
        <is>
          <t>Vazarin Paint A</t>
        </is>
      </c>
      <c r="H121" t="inlineStr">
        <is>
          <t>Solved: current place verified and archived 2026-10-16.</t>
        </is>
      </c>
      <c r="I121" t="inlineStr">
        <is>
          <t>Customs</t>
        </is>
      </c>
      <c r="J121" t="inlineStr">
        <is>
          <t>ExportCustoms_ground_truth</t>
        </is>
      </c>
      <c r="K121" t="inlineStr">
        <is>
          <t>name or path</t>
        </is>
      </c>
      <c r="M121" t="inlineStr">
        <is>
          <t>Purchase with 100,000 Vazarin Focus Points.</t>
        </is>
      </c>
      <c r="N121" t="inlineStr">
        <is>
          <t>Operator/Customization | Drifter/Patch History | Operator/Patch History</t>
        </is>
      </c>
      <c r="O121" t="inlineStr">
        <is>
          <t>We copied where it comes from off the wiki page. See place from wiki page.</t>
        </is>
      </c>
    </row>
    <row r="122">
      <c r="A122" t="inlineStr">
        <is>
          <t>/Lotus/Upgrades/Skins/Operator/MakeupMasks/VazarinMaskB</t>
        </is>
      </c>
      <c r="B122" t="inlineStr">
        <is>
          <t>Vazarin Paint B</t>
        </is>
      </c>
      <c r="C122" t="inlineStr">
        <is>
          <t>https://wiki.warframe.com/w/Operator/Customization</t>
        </is>
      </c>
      <c r="D122" t="inlineStr">
        <is>
          <t>ExportCustoms</t>
        </is>
      </c>
      <c r="F122" t="inlineStr">
        <is>
          <t>Vazarin Paint B</t>
        </is>
      </c>
      <c r="H122" t="inlineStr">
        <is>
          <t>Solved: current place verified and archived 2026-10-16.</t>
        </is>
      </c>
      <c r="I122" t="inlineStr">
        <is>
          <t>Customs</t>
        </is>
      </c>
      <c r="J122" t="inlineStr">
        <is>
          <t>ExportCustoms_ground_truth</t>
        </is>
      </c>
      <c r="K122" t="inlineStr">
        <is>
          <t>name or path</t>
        </is>
      </c>
      <c r="M122" t="inlineStr">
        <is>
          <t>Purchase with 100,000 Vazarin Focus Points.</t>
        </is>
      </c>
      <c r="N122" t="inlineStr">
        <is>
          <t>Operator/Customization | Drifter/Patch History | Operator/Patch History</t>
        </is>
      </c>
      <c r="O122" t="inlineStr">
        <is>
          <t>We copied where it comes from off the wiki page. See place from wiki page.</t>
        </is>
      </c>
    </row>
    <row r="123">
      <c r="A123" t="inlineStr">
        <is>
          <t>/Lotus/Upgrades/Skins/Operator/MakeupMasks/MakeupMaskB</t>
        </is>
      </c>
      <c r="B123" t="inlineStr">
        <is>
          <t>Virama Look</t>
        </is>
      </c>
      <c r="C123" t="inlineStr">
        <is>
          <t>https://wiki.warframe.com/w/Operator/Customization</t>
        </is>
      </c>
      <c r="D123" t="inlineStr">
        <is>
          <t>ExportCustoms</t>
        </is>
      </c>
      <c r="F123" t="inlineStr">
        <is>
          <t>Virama Look</t>
        </is>
      </c>
      <c r="H123" t="inlineStr">
        <is>
          <t>Solved: current place verified and archived 2026-10-16.</t>
        </is>
      </c>
      <c r="I123" t="inlineStr">
        <is>
          <t>Customs</t>
        </is>
      </c>
      <c r="J123" t="inlineStr">
        <is>
          <t>ExportCustoms_ground_truth</t>
        </is>
      </c>
      <c r="K123" t="inlineStr">
        <is>
          <t>name or path</t>
        </is>
      </c>
      <c r="M123" t="inlineStr">
        <is>
          <t>Unlocked by default in Operator appearance customization.</t>
        </is>
      </c>
      <c r="N123" t="inlineStr">
        <is>
          <t>Operator/Customization</t>
        </is>
      </c>
      <c r="O123" t="inlineStr">
        <is>
          <t>Saved a concrete acquisition place from the official Warframe Wiki. Operator/Customization Makeup gallery marks it (default).</t>
        </is>
      </c>
    </row>
    <row r="124">
      <c r="A124" t="inlineStr">
        <is>
          <t>/Lotus/Upgrades/Skins/Operator/Hoods/WolfHoodAdult</t>
        </is>
      </c>
      <c r="B124" t="inlineStr">
        <is>
          <t>Wolf Hood</t>
        </is>
      </c>
      <c r="C124" t="inlineStr">
        <is>
          <t>https://wiki.warframe.com/w/Nightwave/Offerings | https://wiki.warframe.com/w/Operator/Customization</t>
        </is>
      </c>
      <c r="D124" t="inlineStr">
        <is>
          <t>ExportCustoms</t>
        </is>
      </c>
      <c r="F124" t="inlineStr">
        <is>
          <t>Wolf Hood</t>
        </is>
      </c>
      <c r="G124" t="inlineStr">
        <is>
          <t>Wolf Hood</t>
        </is>
      </c>
      <c r="H124" t="inlineStr">
        <is>
          <t>Solved: current place verified and archived 2026-10-16.</t>
        </is>
      </c>
      <c r="I124" t="inlineStr">
        <is>
          <t>Customs</t>
        </is>
      </c>
      <c r="J124" t="inlineStr">
        <is>
          <t>Cosmetics_data, Cosmetics_data_transferencesuit, Cosmetics_userdata, ExportCustoms_ground_truth</t>
        </is>
      </c>
      <c r="K124" t="inlineStr">
        <is>
          <t>Cosmetics/data/transferencesuit</t>
        </is>
      </c>
      <c r="L124" t="inlineStr">
        <is>
          <t>listed, no place</t>
        </is>
      </c>
      <c r="M124" t="inlineStr">
        <is>
          <t>Purchase the blueprint from Nightwave Offerings for 35 Nightwave Creds.</t>
        </is>
      </c>
      <c r="N124" t="inlineStr">
        <is>
          <t>Nightwave/Offerings | Operator/Customization</t>
        </is>
      </c>
      <c r="O124" t="inlineStr">
        <is>
          <t>Saved a concrete acquisition place from the official Warframe Wiki.</t>
        </is>
      </c>
    </row>
    <row r="125">
      <c r="A125" t="inlineStr">
        <is>
          <t>/Lotus/Upgrades/Skins/MonkeyKing/WukongDeluxeBStaffSkin</t>
        </is>
      </c>
      <c r="B125" t="inlineStr">
        <is>
          <t>Wukong Qitian Iron Staff Skin</t>
        </is>
      </c>
      <c r="C125" t="inlineStr">
        <is>
          <t>https://wiki.warframe.com/w/Wukong_Qitian_Skin | https://wiki.warframe.com/w/Wukong_Qitian_Collection</t>
        </is>
      </c>
      <c r="D125" t="inlineStr">
        <is>
          <t>ExportCustoms</t>
        </is>
      </c>
      <c r="F125" t="inlineStr">
        <is>
          <t>Wukong Qitian Iron Staff Skin</t>
        </is>
      </c>
      <c r="H125" t="inlineStr">
        <is>
          <t>Solved: current place verified and archived 2026-10-16.</t>
        </is>
      </c>
      <c r="I125" t="inlineStr">
        <is>
          <t>Customs</t>
        </is>
      </c>
      <c r="J125" t="inlineStr">
        <is>
          <t>ExportCustoms_ground_truth</t>
        </is>
      </c>
      <c r="K125" t="inlineStr">
        <is>
          <t>name or path</t>
        </is>
      </c>
      <c r="M125" t="inlineStr">
        <is>
          <t>Included with the Wukong Qitian Skin (Market, 170 Platinum) or the Wukong Qitian Collection (Market, 295 Platinum).</t>
        </is>
      </c>
      <c r="N125" t="inlineStr">
        <is>
          <t>Wukong Qitian Skin | Wukong Qitian Collection</t>
        </is>
      </c>
      <c r="O125" t="inlineStr">
        <is>
          <t>Saved a concrete acquisition place from the official Warframe Wiki. Collection Notes: the Iron Staff Skin comes with the Wukong Qitian Skin.</t>
        </is>
      </c>
    </row>
    <row r="126">
      <c r="A126" t="inlineStr">
        <is>
          <t>/Lotus/Upgrades/Skins/BrokenFrame/XakuCosmosHelmet</t>
        </is>
      </c>
      <c r="B126" t="inlineStr">
        <is>
          <t>Xaku Raya Helmet</t>
        </is>
      </c>
      <c r="C126" t="inlineStr">
        <is>
          <t>https://wiki.warframe.com/w/Xaku_Raya_Skin</t>
        </is>
      </c>
      <c r="D126" t="inlineStr">
        <is>
          <t>ExportCustoms</t>
        </is>
      </c>
      <c r="F126" t="inlineStr">
        <is>
          <t>Xaku Raya Helmet</t>
        </is>
      </c>
      <c r="H126" t="inlineStr">
        <is>
          <t>Solved: current place verified and archived 2026-10-16.</t>
        </is>
      </c>
      <c r="I126" t="inlineStr">
        <is>
          <t>Customs</t>
        </is>
      </c>
      <c r="J126" t="inlineStr">
        <is>
          <t>Cosmetics_data, Cosmetics_userdata, ExportCustoms_ground_truth</t>
        </is>
      </c>
      <c r="K126" t="inlineStr">
        <is>
          <t>name or path</t>
        </is>
      </c>
      <c r="M126" t="inlineStr">
        <is>
          <t>Included with the Xaku Raya Skin (Nightwave: Amir's Shockwave rank 17 reward).</t>
        </is>
      </c>
      <c r="N126" t="inlineStr">
        <is>
          <t>Xaku Raya Skin</t>
        </is>
      </c>
      <c r="O126" t="inlineStr">
        <is>
          <t>Saved a concrete acquisition place from the official Warframe Wiki. Skin page Acquisition section; skin has two separately equipped helmets.</t>
        </is>
      </c>
    </row>
    <row r="127">
      <c r="A127" t="inlineStr">
        <is>
          <t>/Lotus/Upgrades/Skins/BrokenFrame/XakuCosmosAltHelmet</t>
        </is>
      </c>
      <c r="B127" t="inlineStr">
        <is>
          <t>Xaku Raya Illume Helmet</t>
        </is>
      </c>
      <c r="C127" t="inlineStr">
        <is>
          <t>https://wiki.warframe.com/w/Xaku_Raya_Skin</t>
        </is>
      </c>
      <c r="D127" t="inlineStr">
        <is>
          <t>ExportCustoms</t>
        </is>
      </c>
      <c r="F127" t="inlineStr">
        <is>
          <t>Xaku Raya Illume Helmet</t>
        </is>
      </c>
      <c r="H127" t="inlineStr">
        <is>
          <t>Solved: current place verified and archived 2026-10-16.</t>
        </is>
      </c>
      <c r="I127" t="inlineStr">
        <is>
          <t>Customs</t>
        </is>
      </c>
      <c r="J127" t="inlineStr">
        <is>
          <t>Cosmetics_data, Cosmetics_userdata, ExportCustoms_ground_truth</t>
        </is>
      </c>
      <c r="K127" t="inlineStr">
        <is>
          <t>name or path</t>
        </is>
      </c>
      <c r="M127" t="inlineStr">
        <is>
          <t>Included with the Xaku Raya Skin (Nightwave: Amir's Shockwave rank 17 reward).</t>
        </is>
      </c>
      <c r="N127" t="inlineStr">
        <is>
          <t>Xaku Raya Skin</t>
        </is>
      </c>
      <c r="O127" t="inlineStr">
        <is>
          <t>Saved a concrete acquisition place from the official Warframe Wiki. Skin page Acquisition section; skin has two separately equipped helmets.</t>
        </is>
      </c>
    </row>
    <row r="128">
      <c r="A128" t="inlineStr">
        <is>
          <t>/Lotus/Upgrades/Skins/Operator/MakeupMasks/MakeupMaskD</t>
        </is>
      </c>
      <c r="B128" t="inlineStr">
        <is>
          <t>Yotaka Look</t>
        </is>
      </c>
      <c r="C128" t="inlineStr">
        <is>
          <t>https://wiki.warframe.com/w/Operator/Customization</t>
        </is>
      </c>
      <c r="D128" t="inlineStr">
        <is>
          <t>ExportCustoms</t>
        </is>
      </c>
      <c r="F128" t="inlineStr">
        <is>
          <t>Yotaka Look</t>
        </is>
      </c>
      <c r="H128" t="inlineStr">
        <is>
          <t>Solved: current place verified and archived 2026-10-16.</t>
        </is>
      </c>
      <c r="I128" t="inlineStr">
        <is>
          <t>Customs</t>
        </is>
      </c>
      <c r="J128" t="inlineStr">
        <is>
          <t>ExportCustoms_ground_truth</t>
        </is>
      </c>
      <c r="K128" t="inlineStr">
        <is>
          <t>name or path</t>
        </is>
      </c>
      <c r="M128" t="inlineStr">
        <is>
          <t>Unlocked by default in Operator appearance customization.</t>
        </is>
      </c>
      <c r="N128" t="inlineStr">
        <is>
          <t>Operator/Customization</t>
        </is>
      </c>
      <c r="O128" t="inlineStr">
        <is>
          <t>Saved a concrete acquisition place from the official Warframe Wiki. Operator/Customization Makeup gallery marks it (default).</t>
        </is>
      </c>
    </row>
    <row r="129">
      <c r="A129" t="inlineStr">
        <is>
          <t>/Lotus/Upgrades/Skins/Operator/MakeupMasks/ZenurikMaskA</t>
        </is>
      </c>
      <c r="B129" t="inlineStr">
        <is>
          <t>Zenurik Paint A</t>
        </is>
      </c>
      <c r="C129" t="inlineStr">
        <is>
          <t>https://wiki.warframe.com/w/Operator/Customization</t>
        </is>
      </c>
      <c r="D129" t="inlineStr">
        <is>
          <t>ExportCustoms</t>
        </is>
      </c>
      <c r="F129" t="inlineStr">
        <is>
          <t>Zenurik Paint A</t>
        </is>
      </c>
      <c r="H129" t="inlineStr">
        <is>
          <t>Solved: current place verified and archived 2026-10-16.</t>
        </is>
      </c>
      <c r="I129" t="inlineStr">
        <is>
          <t>Customs</t>
        </is>
      </c>
      <c r="J129" t="inlineStr">
        <is>
          <t>ExportCustoms_ground_truth</t>
        </is>
      </c>
      <c r="K129" t="inlineStr">
        <is>
          <t>name or path</t>
        </is>
      </c>
      <c r="M129" t="inlineStr">
        <is>
          <t>Purchase with 100,000 Zenurik Focus Points.</t>
        </is>
      </c>
      <c r="N129" t="inlineStr">
        <is>
          <t>Operator/Customization | Drifter/Patch History | Operator/Patch History</t>
        </is>
      </c>
      <c r="O129" t="inlineStr">
        <is>
          <t>We copied where it comes from off the wiki page. See place from wiki page.</t>
        </is>
      </c>
    </row>
    <row r="130">
      <c r="A130" t="inlineStr">
        <is>
          <t>/Lotus/Upgrades/Skins/Operator/MakeupMasks/ZenurikMaskB</t>
        </is>
      </c>
      <c r="B130" t="inlineStr">
        <is>
          <t>Zenurik Paint B</t>
        </is>
      </c>
      <c r="C130" t="inlineStr">
        <is>
          <t>https://wiki.warframe.com/w/Operator/Customization</t>
        </is>
      </c>
      <c r="D130" t="inlineStr">
        <is>
          <t>ExportCustoms</t>
        </is>
      </c>
      <c r="F130" t="inlineStr">
        <is>
          <t>Zenurik Paint B</t>
        </is>
      </c>
      <c r="H130" t="inlineStr">
        <is>
          <t>Solved: current place verified and archived 2026-10-16.</t>
        </is>
      </c>
      <c r="I130" t="inlineStr">
        <is>
          <t>Customs</t>
        </is>
      </c>
      <c r="J130" t="inlineStr">
        <is>
          <t>ExportCustoms_ground_truth</t>
        </is>
      </c>
      <c r="K130" t="inlineStr">
        <is>
          <t>name or path</t>
        </is>
      </c>
      <c r="M130" t="inlineStr">
        <is>
          <t>Purchase with 100,000 Zenurik Focus Points.</t>
        </is>
      </c>
      <c r="N130" t="inlineStr">
        <is>
          <t>Operator/Customization | Drifter/Patch History | Operator/Patch History</t>
        </is>
      </c>
      <c r="O130" t="inlineStr">
        <is>
          <t>We copied where it comes from off the wiki page. See place from wiki page.</t>
        </is>
      </c>
    </row>
    <row r="131">
      <c r="A131" t="inlineStr">
        <is>
          <t>/Lotus/Types/Restoratives/Consumable/BaseSpearFishingSpear</t>
        </is>
      </c>
      <c r="B131" t="inlineStr">
        <is>
          <t>A Fishing Spear</t>
        </is>
      </c>
      <c r="C131" t="inlineStr">
        <is>
          <t>https://wiki.warframe.com/w/Fishing | https://wiki.warframe.com/w/Razorwing | https://wiki.warframe.com/w/Heart_of_Deimos | https://wiki.warframe.com/w/Necralisk | https://wiki.warframe.com/w/Pharoma</t>
        </is>
      </c>
      <c r="D131" t="inlineStr">
        <is>
          <t>ExportGear</t>
        </is>
      </c>
      <c r="F131" t="inlineStr">
        <is>
          <t>A Fishing Spear</t>
        </is>
      </c>
      <c r="H131" t="inlineStr">
        <is>
          <t>Solved: current place verified and archived 2026-10-16.</t>
        </is>
      </c>
      <c r="I131" t="inlineStr">
        <is>
          <t>Gear</t>
        </is>
      </c>
      <c r="M131" t="inlineStr">
        <is>
          <t>Purchase from Hai-Luk in Cetus, The Business in Fortuna or Daughter in Necralisk once you have enough Standing.</t>
        </is>
      </c>
      <c r="N131" t="inlineStr">
        <is>
          <t>Fishing</t>
        </is>
      </c>
      <c r="O131" t="inlineStr">
        <is>
          <t>Saved a concrete acquisition place from the official Warframe Wiki. Fishing page, Preparing to Fish.</t>
        </is>
      </c>
    </row>
    <row r="132">
      <c r="A132" t="inlineStr">
        <is>
          <t>/Lotus/Types/Restoratives/Consumable/NpcBuffs/SpeedBuffArmorDebuff</t>
        </is>
      </c>
      <c r="B132" t="inlineStr">
        <is>
          <t>Adrenal Stim</t>
        </is>
      </c>
      <c r="C132" t="inlineStr">
        <is>
          <t>https://wiki.warframe.com/w/Stims</t>
        </is>
      </c>
      <c r="D132" t="inlineStr">
        <is>
          <t>ExportGear</t>
        </is>
      </c>
      <c r="G132" t="inlineStr">
        <is>
          <t>Stims#Adrenal Stim</t>
        </is>
      </c>
      <c r="H132" t="inlineStr">
        <is>
          <t>Solved: current place verified and archived 2026-10-16.</t>
        </is>
      </c>
      <c r="I132" t="inlineStr">
        <is>
          <t>Gear</t>
        </is>
      </c>
      <c r="J132" t="inlineStr">
        <is>
          <t>Research in the Tenno Lab</t>
        </is>
      </c>
      <c r="K132" t="inlineStr">
        <is>
          <t>Research/data</t>
        </is>
      </c>
      <c r="L132" t="inlineStr">
        <is>
          <t>name</t>
        </is>
      </c>
      <c r="M132" t="inlineStr">
        <is>
          <t>Research in the Tenno Lab, then buy the reusable blueprint for 5,000 Credits.</t>
        </is>
      </c>
      <c r="N132" t="inlineStr">
        <is>
          <t>Stims</t>
        </is>
      </c>
      <c r="O132" t="inlineStr">
        <is>
          <t>Saved a concrete acquisition place from the official Warframe Wiki.</t>
        </is>
      </c>
    </row>
    <row r="133">
      <c r="A133" t="inlineStr">
        <is>
          <t>/Lotus/Types/Restoratives/Consumable/AlphaCorruptor</t>
        </is>
      </c>
      <c r="B133" t="inlineStr">
        <is>
          <t>Alpha Corruptor</t>
        </is>
      </c>
      <c r="C133" t="inlineStr">
        <is>
          <t>https://wiki.warframe.com/w/Corruptor</t>
        </is>
      </c>
      <c r="D133" t="inlineStr">
        <is>
          <t>ExportGear</t>
        </is>
      </c>
      <c r="G133" t="inlineStr">
        <is>
          <t>Corruptor</t>
        </is>
      </c>
      <c r="H133" t="inlineStr">
        <is>
          <t>Solved: current place verified and archived 2026-10-16.</t>
        </is>
      </c>
      <c r="I133" t="inlineStr">
        <is>
          <t>Gear</t>
        </is>
      </c>
      <c r="J133" t="inlineStr">
        <is>
          <t>Resources_data</t>
        </is>
      </c>
      <c r="K133" t="inlineStr">
        <is>
          <t>Resources/data</t>
        </is>
      </c>
      <c r="L133" t="inlineStr">
        <is>
          <t>listed, no place</t>
        </is>
      </c>
      <c r="M133" t="inlineStr">
        <is>
          <t>Not currently obtainable.</t>
        </is>
      </c>
      <c r="N133" t="inlineStr">
        <is>
          <t>Corruptor</t>
        </is>
      </c>
      <c r="O133" t="inlineStr">
        <is>
          <t>Saved a concrete acquisition place from the official Warframe Wiki.</t>
        </is>
      </c>
    </row>
    <row r="134">
      <c r="A134" t="inlineStr">
        <is>
          <t>/Lotus/Types/Restoratives/Consumable/Toxins/NightCommonAntitoxin</t>
        </is>
      </c>
      <c r="B134" t="inlineStr">
        <is>
          <t>Amethyst Antitoxin</t>
        </is>
      </c>
      <c r="C134" t="inlineStr">
        <is>
          <t>https://wiki.warframe.com/w/Antitoxin_(Gear)</t>
        </is>
      </c>
      <c r="D134" t="inlineStr">
        <is>
          <t>ExportGear</t>
        </is>
      </c>
      <c r="G134" t="inlineStr">
        <is>
          <t>Antitoxin (Gear)#Amethyst</t>
        </is>
      </c>
      <c r="H134" t="inlineStr">
        <is>
          <t>Solved: current place verified and archived 2026-10-16.</t>
        </is>
      </c>
      <c r="I134" t="inlineStr">
        <is>
          <t>Gear</t>
        </is>
      </c>
      <c r="J134" t="inlineStr">
        <is>
          <t>Resources_data</t>
        </is>
      </c>
      <c r="K134" t="inlineStr">
        <is>
          <t>Resources/data</t>
        </is>
      </c>
      <c r="L134" t="inlineStr">
        <is>
          <t>listed, no place</t>
        </is>
      </c>
      <c r="M134" t="inlineStr">
        <is>
          <t>Reusable blueprint from the in-game Market for 1,500 Credits.</t>
        </is>
      </c>
      <c r="N134" t="inlineStr">
        <is>
          <t>Antitoxin (Gear)</t>
        </is>
      </c>
      <c r="O134" t="inlineStr">
        <is>
          <t>Saved a concrete acquisition place from the official Warframe Wiki.</t>
        </is>
      </c>
    </row>
    <row r="135">
      <c r="A135" t="inlineStr">
        <is>
          <t>/Lotus/Types/Restoratives/Consumable/AncientHealerBall</t>
        </is>
      </c>
      <c r="B135" t="inlineStr">
        <is>
          <t>Ancient Protector Specter</t>
        </is>
      </c>
      <c r="C135" t="inlineStr">
        <is>
          <t>https://wiki.warframe.com/w/New_Loka</t>
        </is>
      </c>
      <c r="D135" t="inlineStr">
        <is>
          <t>ExportGear</t>
        </is>
      </c>
      <c r="F135" t="inlineStr">
        <is>
          <t>Ancient Protector Specter</t>
        </is>
      </c>
      <c r="H135" t="inlineStr">
        <is>
          <t>Solved: current place verified and archived 2026-10-16.</t>
        </is>
      </c>
      <c r="I135" t="inlineStr">
        <is>
          <t>Gear</t>
        </is>
      </c>
      <c r="L135" t="inlineStr">
        <is>
          <t>DropTables_data, drop_reverse_index_v2</t>
        </is>
      </c>
      <c r="M135" t="inlineStr">
        <is>
          <t>Purchase 5 Ancient Protector Specters from New Loka for 2,500 Standing at Rank 1 (Humane).</t>
        </is>
      </c>
      <c r="N135" t="inlineStr">
        <is>
          <t>New Loka</t>
        </is>
      </c>
      <c r="O135" t="inlineStr">
        <is>
          <t>Saved a concrete acquisition place from the official Warframe Wiki. New Loka page lists it in Offerings.</t>
        </is>
      </c>
    </row>
    <row r="136">
      <c r="A136" t="inlineStr">
        <is>
          <t>/Lotus/Types/Restoratives/Consumable/Toxins/DayCommonAntitoxin</t>
        </is>
      </c>
      <c r="B136" t="inlineStr">
        <is>
          <t>Beryl Antitoxin</t>
        </is>
      </c>
      <c r="C136" t="inlineStr">
        <is>
          <t>https://wiki.warframe.com/w/Antitoxin_(Gear)</t>
        </is>
      </c>
      <c r="D136" t="inlineStr">
        <is>
          <t>ExportGear</t>
        </is>
      </c>
      <c r="G136" t="inlineStr">
        <is>
          <t>Antitoxin (Gear)#Beryl</t>
        </is>
      </c>
      <c r="H136" t="inlineStr">
        <is>
          <t>Solved: current place verified and archived 2026-10-16.</t>
        </is>
      </c>
      <c r="I136" t="inlineStr">
        <is>
          <t>Gear</t>
        </is>
      </c>
      <c r="J136" t="inlineStr">
        <is>
          <t>Resources_data</t>
        </is>
      </c>
      <c r="K136" t="inlineStr">
        <is>
          <t>Resources/data</t>
        </is>
      </c>
      <c r="L136" t="inlineStr">
        <is>
          <t>listed, no place</t>
        </is>
      </c>
      <c r="M136" t="inlineStr">
        <is>
          <t>Reusable blueprint from the in-game Market for 1,500 Credits.</t>
        </is>
      </c>
      <c r="N136" t="inlineStr">
        <is>
          <t>Antitoxin (Gear)</t>
        </is>
      </c>
      <c r="O136" t="inlineStr">
        <is>
          <t>Saved a concrete acquisition place from the official Warframe Wiki.</t>
        </is>
      </c>
    </row>
    <row r="137">
      <c r="A137" t="inlineStr">
        <is>
          <t>/Lotus/Types/Restoratives/Consumable/BetaCorruptor</t>
        </is>
      </c>
      <c r="B137" t="inlineStr">
        <is>
          <t>Beta Corruptor</t>
        </is>
      </c>
      <c r="C137" t="inlineStr">
        <is>
          <t>https://wiki.warframe.com/w/Corruptor</t>
        </is>
      </c>
      <c r="D137" t="inlineStr">
        <is>
          <t>ExportGear</t>
        </is>
      </c>
      <c r="G137" t="inlineStr">
        <is>
          <t>Corruptor</t>
        </is>
      </c>
      <c r="H137" t="inlineStr">
        <is>
          <t>Solved: current place verified and archived 2026-10-16.</t>
        </is>
      </c>
      <c r="I137" t="inlineStr">
        <is>
          <t>Gear</t>
        </is>
      </c>
      <c r="J137" t="inlineStr">
        <is>
          <t>Resources_data</t>
        </is>
      </c>
      <c r="K137" t="inlineStr">
        <is>
          <t>Resources/data</t>
        </is>
      </c>
      <c r="L137" t="inlineStr">
        <is>
          <t>listed, no place</t>
        </is>
      </c>
      <c r="M137" t="inlineStr">
        <is>
          <t>Not currently obtainable.</t>
        </is>
      </c>
      <c r="N137" t="inlineStr">
        <is>
          <t>Corruptor</t>
        </is>
      </c>
      <c r="O137" t="inlineStr">
        <is>
          <t>Saved a concrete acquisition place from the official Warframe Wiki.</t>
        </is>
      </c>
    </row>
    <row r="138">
      <c r="A138" t="inlineStr">
        <is>
          <t>/Lotus/Types/Restoratives/Consumable/NpcBuffs/ArmorBuffSpeedDebuff</t>
        </is>
      </c>
      <c r="B138" t="inlineStr">
        <is>
          <t>Calcifin Stim</t>
        </is>
      </c>
      <c r="C138" t="inlineStr">
        <is>
          <t>https://wiki.warframe.com/w/Stims</t>
        </is>
      </c>
      <c r="D138" t="inlineStr">
        <is>
          <t>ExportGear</t>
        </is>
      </c>
      <c r="G138" t="inlineStr">
        <is>
          <t>Stims#Calcifin Stim</t>
        </is>
      </c>
      <c r="H138" t="inlineStr">
        <is>
          <t>Solved: current place verified and archived 2026-10-16.</t>
        </is>
      </c>
      <c r="I138" t="inlineStr">
        <is>
          <t>Gear</t>
        </is>
      </c>
      <c r="J138" t="inlineStr">
        <is>
          <t>Research in the Tenno Lab</t>
        </is>
      </c>
      <c r="K138" t="inlineStr">
        <is>
          <t>Research/data</t>
        </is>
      </c>
      <c r="L138" t="inlineStr">
        <is>
          <t>name</t>
        </is>
      </c>
      <c r="M138" t="inlineStr">
        <is>
          <t>Research in the Tenno Lab, then buy the reusable blueprint for 5,000 Credits.</t>
        </is>
      </c>
      <c r="N138" t="inlineStr">
        <is>
          <t>Stims</t>
        </is>
      </c>
      <c r="O138" t="inlineStr">
        <is>
          <t>Saved a concrete acquisition place from the official Warframe Wiki.</t>
        </is>
      </c>
    </row>
    <row r="139">
      <c r="A139" t="inlineStr">
        <is>
          <t>/Lotus/Types/Restoratives/LisetBarrage</t>
        </is>
      </c>
      <c r="B139" t="inlineStr">
        <is>
          <t>Carpet Bomb</t>
        </is>
      </c>
      <c r="C139" t="inlineStr">
        <is>
          <t>https://wiki.warframe.com/w/Scimitar</t>
        </is>
      </c>
      <c r="D139" t="inlineStr">
        <is>
          <t>ExportGear</t>
        </is>
      </c>
      <c r="G139" t="inlineStr">
        <is>
          <t>Carpet Bomb</t>
        </is>
      </c>
      <c r="H139" t="inlineStr">
        <is>
          <t>Solved: current place verified and archived 2026-10-16.</t>
        </is>
      </c>
      <c r="I139" t="inlineStr">
        <is>
          <t>Gear</t>
        </is>
      </c>
      <c r="J139" t="inlineStr">
        <is>
          <t>Resources_data</t>
        </is>
      </c>
      <c r="K139" t="inlineStr">
        <is>
          <t>Resources/data</t>
        </is>
      </c>
      <c r="L139" t="inlineStr">
        <is>
          <t>listed, no place</t>
        </is>
      </c>
      <c r="M139" t="inlineStr">
        <is>
          <t>Included with the Scimitar landing craft.</t>
        </is>
      </c>
      <c r="N139" t="inlineStr">
        <is>
          <t>Scimitar</t>
        </is>
      </c>
      <c r="O139" t="inlineStr">
        <is>
          <t>Saved a concrete acquisition place from the official Warframe Wiki.</t>
        </is>
      </c>
    </row>
    <row r="140">
      <c r="A140" t="inlineStr">
        <is>
          <t>/Lotus/Types/Restoratives/Consumable/Toxins/DayUnCommonAntitoxin</t>
        </is>
      </c>
      <c r="B140" t="inlineStr">
        <is>
          <t>Citrine Antitoxin</t>
        </is>
      </c>
      <c r="C140" t="inlineStr">
        <is>
          <t>https://wiki.warframe.com/w/Antitoxin_(Gear)</t>
        </is>
      </c>
      <c r="D140" t="inlineStr">
        <is>
          <t>ExportGear</t>
        </is>
      </c>
      <c r="G140" t="inlineStr">
        <is>
          <t>Antitoxin (Gear)#Citrine</t>
        </is>
      </c>
      <c r="H140" t="inlineStr">
        <is>
          <t>Solved: current place verified and archived 2026-10-16.</t>
        </is>
      </c>
      <c r="I140" t="inlineStr">
        <is>
          <t>Gear</t>
        </is>
      </c>
      <c r="J140" t="inlineStr">
        <is>
          <t>Resources_data</t>
        </is>
      </c>
      <c r="K140" t="inlineStr">
        <is>
          <t>Resources/data</t>
        </is>
      </c>
      <c r="L140" t="inlineStr">
        <is>
          <t>listed, no place</t>
        </is>
      </c>
      <c r="M140" t="inlineStr">
        <is>
          <t>Reusable blueprint from the in-game Market for 1,500 Credits.</t>
        </is>
      </c>
      <c r="N140" t="inlineStr">
        <is>
          <t>Antitoxin (Gear)</t>
        </is>
      </c>
      <c r="O140" t="inlineStr">
        <is>
          <t>Saved a concrete acquisition place from the official Warframe Wiki.</t>
        </is>
      </c>
    </row>
    <row r="141">
      <c r="A141" t="inlineStr">
        <is>
          <t>/Lotus/Types/Restoratives/Consumable/NpcBuffs/ReviveBuff</t>
        </is>
      </c>
      <c r="B141" t="inlineStr">
        <is>
          <t>Clotra Stim</t>
        </is>
      </c>
      <c r="C141" t="inlineStr">
        <is>
          <t>https://wiki.warframe.com/w/Stims</t>
        </is>
      </c>
      <c r="D141" t="inlineStr">
        <is>
          <t>ExportGear</t>
        </is>
      </c>
      <c r="G141" t="inlineStr">
        <is>
          <t>Stims#Clotra Stim</t>
        </is>
      </c>
      <c r="H141" t="inlineStr">
        <is>
          <t>Solved: current place verified and archived 2026-10-16.</t>
        </is>
      </c>
      <c r="I141" t="inlineStr">
        <is>
          <t>Gear</t>
        </is>
      </c>
      <c r="J141" t="inlineStr">
        <is>
          <t>Research in the Tenno Lab</t>
        </is>
      </c>
      <c r="K141" t="inlineStr">
        <is>
          <t>Research/data</t>
        </is>
      </c>
      <c r="L141" t="inlineStr">
        <is>
          <t>name</t>
        </is>
      </c>
      <c r="M141" t="inlineStr">
        <is>
          <t>Research in the Tenno Lab, then buy the reusable blueprint for 5,000 Credits.</t>
        </is>
      </c>
      <c r="N141" t="inlineStr">
        <is>
          <t>Stims</t>
        </is>
      </c>
      <c r="O141" t="inlineStr">
        <is>
          <t>Saved a concrete acquisition place from the official Warframe Wiki.</t>
        </is>
      </c>
    </row>
    <row r="142">
      <c r="A142" t="inlineStr">
        <is>
          <t>/Lotus/Types/Restoratives/Consumable/CorruptedBombardBall</t>
        </is>
      </c>
      <c r="B142" t="inlineStr">
        <is>
          <t>Corrupted Bombard Specter</t>
        </is>
      </c>
      <c r="C142" t="inlineStr">
        <is>
          <t>https://wiki.warframe.com/w/Specter</t>
        </is>
      </c>
      <c r="D142" t="inlineStr">
        <is>
          <t>ExportGear</t>
        </is>
      </c>
      <c r="F142" t="inlineStr">
        <is>
          <t>Corrupted Bombard Specter</t>
        </is>
      </c>
      <c r="H142" t="inlineStr">
        <is>
          <t>Solved: current place verified and archived 2026-10-16.</t>
        </is>
      </c>
      <c r="I142" t="inlineStr">
        <is>
          <t>Gear</t>
        </is>
      </c>
      <c r="L142" t="inlineStr">
        <is>
          <t>Baro_data, Baro_data_visits</t>
        </is>
      </c>
      <c r="M142" t="inlineStr">
        <is>
          <t>Not currently obtainable.</t>
        </is>
      </c>
      <c r="N142" t="inlineStr">
        <is>
          <t>Specter</t>
        </is>
      </c>
      <c r="O142" t="inlineStr">
        <is>
          <t>We found more than one answer for where it comes from. Look at place from wiki page — the answers are separated by | — and pick the right one.</t>
        </is>
      </c>
    </row>
    <row r="143">
      <c r="A143" t="inlineStr">
        <is>
          <t>/Lotus/Types/Restoratives/Consumable/CorruptedHeavyGunnerBall</t>
        </is>
      </c>
      <c r="B143" t="inlineStr">
        <is>
          <t>Corrupted Heavy Gunner Specter</t>
        </is>
      </c>
      <c r="C143" t="inlineStr">
        <is>
          <t>https://wiki.warframe.com/w/Baro_Ki%27Teer/TennoCon_Items</t>
        </is>
      </c>
      <c r="D143" t="inlineStr">
        <is>
          <t>ExportGear</t>
        </is>
      </c>
      <c r="F143" t="inlineStr">
        <is>
          <t>Corrupted Heavy Gunner Specter</t>
        </is>
      </c>
      <c r="H143" t="inlineStr">
        <is>
          <t>Solved: current place verified and archived 2026-10-16.</t>
        </is>
      </c>
      <c r="I143" t="inlineStr">
        <is>
          <t>Gear</t>
        </is>
      </c>
      <c r="L143" t="inlineStr">
        <is>
          <t>Baro_data, Baro_data_visits</t>
        </is>
      </c>
      <c r="M143" t="inlineStr">
        <is>
          <t>Sold by Baro Ki'Teer at the TennoCon Relay (Baro's Relay Ticket required).</t>
        </is>
      </c>
      <c r="N143" t="inlineStr">
        <is>
          <t>Baro Ki'Teer/TennoCon Items</t>
        </is>
      </c>
      <c r="O143" t="inlineStr">
        <is>
          <t>Saved a concrete acquisition place from the official Warframe Wiki. TennoCon Items page lists the item.</t>
        </is>
      </c>
    </row>
    <row r="144">
      <c r="A144" t="inlineStr">
        <is>
          <t>/Lotus/Types/Restoratives/Consumable/SkateBall</t>
        </is>
      </c>
      <c r="B144" t="inlineStr">
        <is>
          <t>Desert Skate Specter</t>
        </is>
      </c>
      <c r="C144" t="inlineStr">
        <is>
          <t>https://wiki.warframe.com/w/Baro_Void-Signal | https://wiki.warframe.com/w/Desert_Skate | https://wiki.warframe.com/w/Specter</t>
        </is>
      </c>
      <c r="D144" t="inlineStr">
        <is>
          <t>ExportGear</t>
        </is>
      </c>
      <c r="F144" t="inlineStr">
        <is>
          <t>Desert Skate Specter</t>
        </is>
      </c>
      <c r="H144" t="inlineStr">
        <is>
          <t>Solved: current place verified and archived 2026-10-16.</t>
        </is>
      </c>
      <c r="I144" t="inlineStr">
        <is>
          <t>Gear</t>
        </is>
      </c>
      <c r="M144" t="inlineStr">
        <is>
          <t>Guaranteed reward from the Baro Void-Signal mission.</t>
        </is>
      </c>
      <c r="N144" t="inlineStr">
        <is>
          <t>Baro Void-Signal | Desert Skate | Specter</t>
        </is>
      </c>
      <c r="O144" t="inlineStr">
        <is>
          <t>We copied where it comes from off the wiki page. See place from wiki page.</t>
        </is>
      </c>
    </row>
    <row r="145">
      <c r="A145" t="inlineStr">
        <is>
          <t>/Lotus/Types/Restoratives/Conservation/UpgradedAnimalLureGearItem</t>
        </is>
      </c>
      <c r="B145" t="inlineStr">
        <is>
          <t>Echo-Lure</t>
        </is>
      </c>
      <c r="C145" t="inlineStr">
        <is>
          <t>https://wiki.warframe.com/w/Echo-Lure</t>
        </is>
      </c>
      <c r="D145" t="inlineStr">
        <is>
          <t>ExportGear</t>
        </is>
      </c>
      <c r="G145" t="inlineStr">
        <is>
          <t>Echo-Lure</t>
        </is>
      </c>
      <c r="H145" t="inlineStr">
        <is>
          <t>Solved: current place verified and archived 2026-10-16.</t>
        </is>
      </c>
      <c r="I145" t="inlineStr">
        <is>
          <t>Gear</t>
        </is>
      </c>
      <c r="J145" t="inlineStr">
        <is>
          <t>Resources_data</t>
        </is>
      </c>
      <c r="K145" t="inlineStr">
        <is>
          <t>Resources/data</t>
        </is>
      </c>
      <c r="L145" t="inlineStr">
        <is>
          <t>listed, no place</t>
        </is>
      </c>
      <c r="M145" t="inlineStr">
        <is>
          <t>Purchase from The Business, Master Teasonai or Son for Standing, depending on the animal.</t>
        </is>
      </c>
      <c r="N145" t="inlineStr">
        <is>
          <t>Echo-Lure</t>
        </is>
      </c>
      <c r="O145" t="inlineStr">
        <is>
          <t>Saved a concrete acquisition place from the official Warframe Wiki.</t>
        </is>
      </c>
    </row>
    <row r="146">
      <c r="A146" t="inlineStr">
        <is>
          <t>/Lotus/Types/Restoratives/Consumable/Synthetics/FlareDemo</t>
        </is>
      </c>
      <c r="B146" t="inlineStr">
        <is>
          <t>Fosfor Rahd</t>
        </is>
      </c>
      <c r="C146" t="inlineStr">
        <is>
          <t>https://wiki.warframe.com/w/Fosfor | https://wiki.warframe.com/w/Operation:_Plague_Star | https://wiki.warframe.com/w/Renewal | https://wiki.warframe.com/w/Operational_Supply | https://wiki.warframe.com/w/Nakak</t>
        </is>
      </c>
      <c r="D146" t="inlineStr">
        <is>
          <t>ExportGear</t>
        </is>
      </c>
      <c r="F146" t="inlineStr">
        <is>
          <t>Fosfor Rahd</t>
        </is>
      </c>
      <c r="H146" t="inlineStr">
        <is>
          <t>Solved: current place verified and archived 2026-10-16.</t>
        </is>
      </c>
      <c r="I146" t="inlineStr">
        <is>
          <t>Gear</t>
        </is>
      </c>
      <c r="J146" t="inlineStr">
        <is>
          <t>Resources_data</t>
        </is>
      </c>
      <c r="K146" t="inlineStr">
        <is>
          <t>Resources/data</t>
        </is>
      </c>
      <c r="L146" t="inlineStr">
        <is>
          <t>listed, no place</t>
        </is>
      </c>
      <c r="M146" t="inlineStr">
        <is>
          <t>Purchase the blueprint (x20) from the Operation: Plague Star offerings for 250 Standing and 500 Credits.</t>
        </is>
      </c>
      <c r="N146" t="inlineStr">
        <is>
          <t>Fosfor | Operation: Plague Star | Renewal | Operational Supply | Nakak</t>
        </is>
      </c>
      <c r="O146" t="inlineStr">
        <is>
          <t>We copied where it comes from off the wiki page. See place from wiki page.</t>
        </is>
      </c>
    </row>
    <row r="147">
      <c r="A147" t="inlineStr">
        <is>
          <t>/Lotus/Types/Restoratives/Consumable/FireWorksCrate</t>
        </is>
      </c>
      <c r="B147" t="inlineStr">
        <is>
          <t>Grand Finale</t>
        </is>
      </c>
      <c r="C147" t="inlineStr">
        <is>
          <t>https://wiki.warframe.com/w/Grand_Finale</t>
        </is>
      </c>
      <c r="D147" t="inlineStr">
        <is>
          <t>ExportGear</t>
        </is>
      </c>
      <c r="G147" t="inlineStr">
        <is>
          <t>Grand Finale</t>
        </is>
      </c>
      <c r="H147" t="inlineStr">
        <is>
          <t>Solved: current place verified and archived 2026-10-16.</t>
        </is>
      </c>
      <c r="I147" t="inlineStr">
        <is>
          <t>Gear</t>
        </is>
      </c>
      <c r="J147" t="inlineStr">
        <is>
          <t>Resources_data</t>
        </is>
      </c>
      <c r="K147" t="inlineStr">
        <is>
          <t>Resources/data</t>
        </is>
      </c>
      <c r="L147" t="inlineStr">
        <is>
          <t>listed, no place</t>
        </is>
      </c>
      <c r="M147" t="inlineStr">
        <is>
          <t>In-game Market for 15 Platinum.</t>
        </is>
      </c>
      <c r="N147" t="inlineStr">
        <is>
          <t>Grand Finale</t>
        </is>
      </c>
      <c r="O147" t="inlineStr">
        <is>
          <t>Saved a concrete acquisition place from the official Warframe Wiki.</t>
        </is>
      </c>
    </row>
    <row r="148">
      <c r="A148" t="inlineStr">
        <is>
          <t>/Lotus/Types/Restoratives/SelfHealLarge</t>
        </is>
      </c>
      <c r="B148" t="inlineStr">
        <is>
          <t>Health Restore (Large)</t>
        </is>
      </c>
      <c r="C148" t="inlineStr">
        <is>
          <t>https://wiki.warframe.com/w/Health_Restore</t>
        </is>
      </c>
      <c r="D148" t="inlineStr">
        <is>
          <t>ExportGear</t>
        </is>
      </c>
      <c r="G148" t="inlineStr">
        <is>
          <t>Health Restore</t>
        </is>
      </c>
      <c r="H148" t="inlineStr">
        <is>
          <t>Solved: current place verified and archived 2026-10-16.</t>
        </is>
      </c>
      <c r="I148" t="inlineStr">
        <is>
          <t>Gear</t>
        </is>
      </c>
      <c r="J148" t="inlineStr">
        <is>
          <t>Earth Sabotage Resource Caches reward, rotation C (30.2%) | Capture reward, rotation A (10.84%)</t>
        </is>
      </c>
      <c r="K148" t="inlineStr">
        <is>
          <t>DropTables/data</t>
        </is>
      </c>
      <c r="L148" t="inlineStr">
        <is>
          <t>name</t>
        </is>
      </c>
      <c r="M148" t="inlineStr">
        <is>
          <t>Reusable blueprint from the in-game Market for 1,500 Credits; also a Sabotage or Capture mission reward.</t>
        </is>
      </c>
      <c r="N148" t="inlineStr">
        <is>
          <t>Health Restore</t>
        </is>
      </c>
      <c r="O148" t="inlineStr">
        <is>
          <t>Saved a concrete acquisition place from the official Warframe Wiki.</t>
        </is>
      </c>
    </row>
    <row r="149">
      <c r="A149" t="inlineStr">
        <is>
          <t>/Lotus/Types/Restoratives/SelfHealSmall</t>
        </is>
      </c>
      <c r="B149" t="inlineStr">
        <is>
          <t>Health Restore (Small)</t>
        </is>
      </c>
      <c r="C149" t="inlineStr">
        <is>
          <t>https://wiki.warframe.com/w/Squad_Health_Restore | https://wiki.warframe.com/w/Polymer_Bundle | https://wiki.warframe.com/w/Nano_Spores | https://wiki.warframe.com/w/Ferrite</t>
        </is>
      </c>
      <c r="D149" t="inlineStr">
        <is>
          <t>ExportGear</t>
        </is>
      </c>
      <c r="F149" t="inlineStr">
        <is>
          <t>Health Restore (Small)</t>
        </is>
      </c>
      <c r="H149" t="inlineStr">
        <is>
          <t>Solved: current place verified and archived 2026-10-16.</t>
        </is>
      </c>
      <c r="I149" t="inlineStr">
        <is>
          <t>Gear</t>
        </is>
      </c>
      <c r="L149" t="inlineStr">
        <is>
          <t>Resources_data</t>
        </is>
      </c>
      <c r="M149" t="inlineStr">
        <is>
          <t>Reusable blueprint from the in-game Market for 500 Credits (1x) or 250,000 Credits (10x).</t>
        </is>
      </c>
      <c r="N149" t="inlineStr">
        <is>
          <t>Squad Health Restore | Polymer Bundle | Nano Spores | Ferrite</t>
        </is>
      </c>
      <c r="O149" t="inlineStr">
        <is>
          <t>We copied where it comes from off the wiki page. See place from wiki page.</t>
        </is>
      </c>
    </row>
    <row r="150">
      <c r="A150" t="inlineStr">
        <is>
          <t>/Lotus/Types/Restoratives/Consumable/BaroFireWorksCrate</t>
        </is>
      </c>
      <c r="B150" t="inlineStr">
        <is>
          <t>Ki'Teer Fireworks</t>
        </is>
      </c>
      <c r="C150" t="inlineStr">
        <is>
          <t>https://wiki.warframe.com/w/Ki'Teer_Fireworks</t>
        </is>
      </c>
      <c r="D150" t="inlineStr">
        <is>
          <t>ExportGear</t>
        </is>
      </c>
      <c r="G150" t="inlineStr">
        <is>
          <t>Ki'Teer Fireworks</t>
        </is>
      </c>
      <c r="H150" t="inlineStr">
        <is>
          <t>Solved: current place verified and archived 2026-10-16.</t>
        </is>
      </c>
      <c r="I150" t="inlineStr">
        <is>
          <t>Gear</t>
        </is>
      </c>
      <c r="J150" t="inlineStr">
        <is>
          <t>Baro_data, Resources_data</t>
        </is>
      </c>
      <c r="K150" t="inlineStr">
        <is>
          <t>Resources/data</t>
        </is>
      </c>
      <c r="L150" t="inlineStr">
        <is>
          <t>listed, no place</t>
        </is>
      </c>
      <c r="M150" t="inlineStr">
        <is>
          <t>Purchase from Baro Ki'Teer for 100,000 Credits and 50 Ducats (10 charges).</t>
        </is>
      </c>
      <c r="N150" t="inlineStr">
        <is>
          <t>Ki'Teer Fireworks</t>
        </is>
      </c>
      <c r="O150" t="inlineStr">
        <is>
          <t>Saved a concrete acquisition place from the official Warframe Wiki.</t>
        </is>
      </c>
    </row>
    <row r="151">
      <c r="A151" t="inlineStr">
        <is>
          <t>/Lotus/Types/Restoratives/Consumable/Toxins/RareAntitoxin</t>
        </is>
      </c>
      <c r="B151" t="inlineStr">
        <is>
          <t>Lapis Antitoxin</t>
        </is>
      </c>
      <c r="C151" t="inlineStr">
        <is>
          <t>https://wiki.warframe.com/w/Antitoxin_(Gear)</t>
        </is>
      </c>
      <c r="D151" t="inlineStr">
        <is>
          <t>ExportGear</t>
        </is>
      </c>
      <c r="G151" t="inlineStr">
        <is>
          <t>Antitoxin (Gear)#Lapis</t>
        </is>
      </c>
      <c r="H151" t="inlineStr">
        <is>
          <t>Solved: current place verified and archived 2026-10-16.</t>
        </is>
      </c>
      <c r="I151" t="inlineStr">
        <is>
          <t>Gear</t>
        </is>
      </c>
      <c r="J151" t="inlineStr">
        <is>
          <t>Resources_data</t>
        </is>
      </c>
      <c r="K151" t="inlineStr">
        <is>
          <t>Resources/data</t>
        </is>
      </c>
      <c r="L151" t="inlineStr">
        <is>
          <t>listed, no place</t>
        </is>
      </c>
      <c r="M151" t="inlineStr">
        <is>
          <t>Reusable blueprint from the in-game Market for 1,500 Credits.</t>
        </is>
      </c>
      <c r="N151" t="inlineStr">
        <is>
          <t>Antitoxin (Gear)</t>
        </is>
      </c>
      <c r="O151" t="inlineStr">
        <is>
          <t>Saved a concrete acquisition place from the official Warframe Wiki.</t>
        </is>
      </c>
    </row>
    <row r="152">
      <c r="A152" t="inlineStr">
        <is>
          <t>/Lotus/Types/Restoratives/LisetMedStation</t>
        </is>
      </c>
      <c r="B152" t="inlineStr">
        <is>
          <t>Med-Tower</t>
        </is>
      </c>
      <c r="C152" t="inlineStr">
        <is>
          <t>https://wiki.warframe.com/w/Mantis</t>
        </is>
      </c>
      <c r="D152" t="inlineStr">
        <is>
          <t>ExportGear</t>
        </is>
      </c>
      <c r="G152" t="inlineStr">
        <is>
          <t>Med-Tower</t>
        </is>
      </c>
      <c r="H152" t="inlineStr">
        <is>
          <t>Solved: current place verified and archived 2026-10-16.</t>
        </is>
      </c>
      <c r="I152" t="inlineStr">
        <is>
          <t>Gear</t>
        </is>
      </c>
      <c r="J152" t="inlineStr">
        <is>
          <t>Resources_data</t>
        </is>
      </c>
      <c r="K152" t="inlineStr">
        <is>
          <t>Resources/data</t>
        </is>
      </c>
      <c r="L152" t="inlineStr">
        <is>
          <t>listed, no place</t>
        </is>
      </c>
      <c r="M152" t="inlineStr">
        <is>
          <t>Included with the Mantis landing craft.</t>
        </is>
      </c>
      <c r="N152" t="inlineStr">
        <is>
          <t>Mantis</t>
        </is>
      </c>
      <c r="O152" t="inlineStr">
        <is>
          <t>Saved a concrete acquisition place from the official Warframe Wiki.</t>
        </is>
      </c>
    </row>
    <row r="153">
      <c r="A153" t="inlineStr">
        <is>
          <t>/Lotus/Types/Restoratives/TitaniaQuest/SpecterSummonKnaveLoki</t>
        </is>
      </c>
      <c r="B153" t="inlineStr">
        <is>
          <t>Nightfall Apothic</t>
        </is>
      </c>
      <c r="C153" t="inlineStr">
        <is>
          <t>https://wiki.warframe.com/w/Apothic</t>
        </is>
      </c>
      <c r="D153" t="inlineStr">
        <is>
          <t>ExportGear</t>
        </is>
      </c>
      <c r="G153" t="inlineStr">
        <is>
          <t>Nightfall Apothic</t>
        </is>
      </c>
      <c r="H153" t="inlineStr">
        <is>
          <t>Solved: current place verified and archived 2026-10-16.</t>
        </is>
      </c>
      <c r="I153" t="inlineStr">
        <is>
          <t>Gear</t>
        </is>
      </c>
      <c r="J153" t="inlineStr">
        <is>
          <t>Resources_data</t>
        </is>
      </c>
      <c r="K153" t="inlineStr">
        <is>
          <t>Resources/data</t>
        </is>
      </c>
      <c r="L153" t="inlineStr">
        <is>
          <t>listed, no place</t>
        </is>
      </c>
      <c r="M153" t="inlineStr">
        <is>
          <t>Blueprint reward during The Silver Grove quest.</t>
        </is>
      </c>
      <c r="N153" t="inlineStr">
        <is>
          <t>Apothic</t>
        </is>
      </c>
      <c r="O153" t="inlineStr">
        <is>
          <t>Saved a concrete acquisition place from the official Warframe Wiki.</t>
        </is>
      </c>
    </row>
    <row r="154">
      <c r="A154" t="inlineStr">
        <is>
          <t>/Lotus/Types/Restoratives/Consumable/RepairTool</t>
        </is>
      </c>
      <c r="B154" t="inlineStr">
        <is>
          <t>Omni</t>
        </is>
      </c>
      <c r="C154" t="inlineStr">
        <is>
          <t>https://wiki.warframe.com/w/Railjack/Gameplay</t>
        </is>
      </c>
      <c r="D154" t="inlineStr">
        <is>
          <t>ExportGear</t>
        </is>
      </c>
      <c r="G154" t="inlineStr">
        <is>
          <t>Omni</t>
        </is>
      </c>
      <c r="H154" t="inlineStr">
        <is>
          <t>Solved: current place verified and archived 2026-10-16.</t>
        </is>
      </c>
      <c r="I154" t="inlineStr">
        <is>
          <t>Gear</t>
        </is>
      </c>
      <c r="J154" t="inlineStr">
        <is>
          <t>Resources_data</t>
        </is>
      </c>
      <c r="K154" t="inlineStr">
        <is>
          <t>Resources/data</t>
        </is>
      </c>
      <c r="L154" t="inlineStr">
        <is>
          <t>listed, no place</t>
        </is>
      </c>
      <c r="M154" t="inlineStr">
        <is>
          <t>Automatically acquired after completing The Archwing quest.</t>
        </is>
      </c>
      <c r="N154" t="inlineStr">
        <is>
          <t>Railjack/Gameplay</t>
        </is>
      </c>
      <c r="O154" t="inlineStr">
        <is>
          <t>Saved a concrete acquisition place from the official Warframe Wiki.</t>
        </is>
      </c>
    </row>
    <row r="155">
      <c r="A155" t="inlineStr">
        <is>
          <t>/Lotus/Types/Restoratives/LisetGoldenInstinct</t>
        </is>
      </c>
      <c r="B155" t="inlineStr">
        <is>
          <t>Orokin Eye</t>
        </is>
      </c>
      <c r="C155" t="inlineStr">
        <is>
          <t>https://wiki.warframe.com/w/Parallax</t>
        </is>
      </c>
      <c r="D155" t="inlineStr">
        <is>
          <t>ExportGear</t>
        </is>
      </c>
      <c r="G155" t="inlineStr">
        <is>
          <t>Orokin Eye</t>
        </is>
      </c>
      <c r="H155" t="inlineStr">
        <is>
          <t>Solved: current place verified and archived 2026-10-16.</t>
        </is>
      </c>
      <c r="I155" t="inlineStr">
        <is>
          <t>Gear</t>
        </is>
      </c>
      <c r="J155" t="inlineStr">
        <is>
          <t>Resources_data</t>
        </is>
      </c>
      <c r="K155" t="inlineStr">
        <is>
          <t>Resources/data</t>
        </is>
      </c>
      <c r="L155" t="inlineStr">
        <is>
          <t>listed, no place</t>
        </is>
      </c>
      <c r="M155" t="inlineStr">
        <is>
          <t>Included with the Parallax landing craft.</t>
        </is>
      </c>
      <c r="N155" t="inlineStr">
        <is>
          <t>Parallax</t>
        </is>
      </c>
      <c r="O155" t="inlineStr">
        <is>
          <t>Saved a concrete acquisition place from the official Warframe Wiki.</t>
        </is>
      </c>
    </row>
    <row r="156">
      <c r="A156" t="inlineStr">
        <is>
          <t>/Lotus/Types/Restoratives/LisetAutoHack</t>
        </is>
      </c>
      <c r="B156" t="inlineStr">
        <is>
          <t>Override</t>
        </is>
      </c>
      <c r="C156" t="inlineStr">
        <is>
          <t>https://wiki.warframe.com/w/Liset</t>
        </is>
      </c>
      <c r="D156" t="inlineStr">
        <is>
          <t>ExportGear</t>
        </is>
      </c>
      <c r="G156" t="inlineStr">
        <is>
          <t>Override</t>
        </is>
      </c>
      <c r="H156" t="inlineStr">
        <is>
          <t>Solved: current place verified and archived 2026-10-16.</t>
        </is>
      </c>
      <c r="I156" t="inlineStr">
        <is>
          <t>Gear</t>
        </is>
      </c>
      <c r="J156" t="inlineStr">
        <is>
          <t>Resources_data</t>
        </is>
      </c>
      <c r="K156" t="inlineStr">
        <is>
          <t>Resources/data</t>
        </is>
      </c>
      <c r="L156" t="inlineStr">
        <is>
          <t>listed, no place</t>
        </is>
      </c>
      <c r="M156" t="inlineStr">
        <is>
          <t>Included with the Liset landing craft.</t>
        </is>
      </c>
      <c r="N156" t="inlineStr">
        <is>
          <t>Liset</t>
        </is>
      </c>
      <c r="O156" t="inlineStr">
        <is>
          <t>Saved a concrete acquisition place from the official Warframe Wiki.</t>
        </is>
      </c>
    </row>
    <row r="157">
      <c r="A157" t="inlineStr">
        <is>
          <t>/Lotus/Types/Restoratives/SelfPistolAmmo</t>
        </is>
      </c>
      <c r="B157" t="inlineStr">
        <is>
          <t>Pistol Ammo Box</t>
        </is>
      </c>
      <c r="C157" t="inlineStr">
        <is>
          <t>https://wiki.warframe.com/w/Pistol_Ammo_Box | https://wiki.warframe.com/w/Shotgun_Ammo_Box | https://wiki.warframe.com/w/Sniper_Ammo_Box</t>
        </is>
      </c>
      <c r="D157" t="inlineStr">
        <is>
          <t>ExportGear</t>
        </is>
      </c>
      <c r="F157" t="inlineStr">
        <is>
          <t>Pistol Ammo Box</t>
        </is>
      </c>
      <c r="G157" t="inlineStr">
        <is>
          <t>Pistol Ammo Box</t>
        </is>
      </c>
      <c r="H157" t="inlineStr">
        <is>
          <t>Solved: current place verified and archived 2026-10-16.</t>
        </is>
      </c>
      <c r="I157" t="inlineStr">
        <is>
          <t>Gear</t>
        </is>
      </c>
      <c r="M157" t="inlineStr">
        <is>
          <t>Not currently obtainable.</t>
        </is>
      </c>
      <c r="N157" t="inlineStr">
        <is>
          <t>Pistol Ammo Box | Shotgun Ammo Box | Sniper Ammo Box</t>
        </is>
      </c>
      <c r="O157" t="inlineStr">
        <is>
          <t>Saved a concrete acquisition place from the official Warframe Wiki.</t>
        </is>
      </c>
    </row>
    <row r="158">
      <c r="A158" t="inlineStr">
        <is>
          <t>/Lotus/Types/Restoratives/Consumable/InfestedIrradiatedBaitBall</t>
        </is>
      </c>
      <c r="B158" t="inlineStr">
        <is>
          <t>Potent Pherliac Pods</t>
        </is>
      </c>
      <c r="C158" t="inlineStr">
        <is>
          <t>https://wiki.warframe.com/w/The_Jordas_Precept</t>
        </is>
      </c>
      <c r="D158" t="inlineStr">
        <is>
          <t>ExportGear</t>
        </is>
      </c>
      <c r="G158" t="inlineStr">
        <is>
          <t>Potent Pherliac Pods</t>
        </is>
      </c>
      <c r="H158" t="inlineStr">
        <is>
          <t>Solved: current place verified and archived 2026-10-16.</t>
        </is>
      </c>
      <c r="I158" t="inlineStr">
        <is>
          <t>Gear</t>
        </is>
      </c>
      <c r="J158" t="inlineStr">
        <is>
          <t>Resources_data</t>
        </is>
      </c>
      <c r="K158" t="inlineStr">
        <is>
          <t>Resources/data</t>
        </is>
      </c>
      <c r="L158" t="inlineStr">
        <is>
          <t>listed, no place</t>
        </is>
      </c>
      <c r="M158" t="inlineStr">
        <is>
          <t>Blueprint from Jordas during The Jordas Precept quest.</t>
        </is>
      </c>
      <c r="N158" t="inlineStr">
        <is>
          <t>The Jordas Precept</t>
        </is>
      </c>
      <c r="O158" t="inlineStr">
        <is>
          <t>Saved a concrete acquisition place from the official Warframe Wiki.</t>
        </is>
      </c>
    </row>
    <row r="159">
      <c r="A159" t="inlineStr">
        <is>
          <t>/Lotus/Types/Restoratives/Consumable/NpcBuffs/CloakingBuff</t>
        </is>
      </c>
      <c r="B159" t="inlineStr">
        <is>
          <t>Refract Stim</t>
        </is>
      </c>
      <c r="C159" t="inlineStr">
        <is>
          <t>https://wiki.warframe.com/w/Stims</t>
        </is>
      </c>
      <c r="D159" t="inlineStr">
        <is>
          <t>ExportGear</t>
        </is>
      </c>
      <c r="G159" t="inlineStr">
        <is>
          <t>Stims#Refract Stim</t>
        </is>
      </c>
      <c r="H159" t="inlineStr">
        <is>
          <t>Solved: current place verified and archived 2026-10-16.</t>
        </is>
      </c>
      <c r="I159" t="inlineStr">
        <is>
          <t>Gear</t>
        </is>
      </c>
      <c r="J159" t="inlineStr">
        <is>
          <t>Research in the Tenno Lab</t>
        </is>
      </c>
      <c r="K159" t="inlineStr">
        <is>
          <t>Research/data</t>
        </is>
      </c>
      <c r="L159" t="inlineStr">
        <is>
          <t>name</t>
        </is>
      </c>
      <c r="M159" t="inlineStr">
        <is>
          <t>Research in the Tenno Lab, then buy the reusable blueprint for 5,000 Credits.</t>
        </is>
      </c>
      <c r="N159" t="inlineStr">
        <is>
          <t>Stims</t>
        </is>
      </c>
      <c r="O159" t="inlineStr">
        <is>
          <t>Saved a concrete acquisition place from the official Warframe Wiki.</t>
        </is>
      </c>
    </row>
    <row r="160">
      <c r="A160" t="inlineStr">
        <is>
          <t>/Lotus/Types/Restoratives/SelfRifleAmmo</t>
        </is>
      </c>
      <c r="B160" t="inlineStr">
        <is>
          <t>Rifle Ammo Box</t>
        </is>
      </c>
      <c r="C160" t="inlineStr">
        <is>
          <t>https://wiki.warframe.com/w/Rifle_Ammo_Box</t>
        </is>
      </c>
      <c r="D160" t="inlineStr">
        <is>
          <t>ExportGear</t>
        </is>
      </c>
      <c r="F160" t="inlineStr">
        <is>
          <t>Rifle Ammo Box</t>
        </is>
      </c>
      <c r="G160" t="inlineStr">
        <is>
          <t>Rifle Ammo Box</t>
        </is>
      </c>
      <c r="H160" t="inlineStr">
        <is>
          <t>Solved: current place verified and archived 2026-10-16.</t>
        </is>
      </c>
      <c r="I160" t="inlineStr">
        <is>
          <t>Gear</t>
        </is>
      </c>
      <c r="M160" t="inlineStr">
        <is>
          <t>Very rarely dropped by the Fossa boss.</t>
        </is>
      </c>
      <c r="N160" t="inlineStr">
        <is>
          <t>Rifle Ammo Box</t>
        </is>
      </c>
      <c r="O160" t="inlineStr">
        <is>
          <t>Saved a concrete acquisition place from the official Warframe Wiki.</t>
        </is>
      </c>
    </row>
    <row r="161">
      <c r="A161" t="inlineStr">
        <is>
          <t>/Lotus/Types/Keys/MummyQuest/MummyArtifact01GearItem</t>
        </is>
      </c>
      <c r="B161" t="inlineStr">
        <is>
          <t>Sacred Vessel</t>
        </is>
      </c>
      <c r="C161" t="inlineStr">
        <is>
          <t>https://wiki.warframe.com/w/Sands_of_Inaros | https://wiki.warframe.com/w/Sands_of_Inaros/Transcript | https://wiki.warframe.com/w/Our_Disease | https://wiki.warframe.com/w/Tomb_Protector | https://wiki.warframe.com/w/Tomb_Guardian</t>
        </is>
      </c>
      <c r="D161" t="inlineStr">
        <is>
          <t>ExportGear</t>
        </is>
      </c>
      <c r="F161" t="inlineStr">
        <is>
          <t>Sacred Vessel</t>
        </is>
      </c>
      <c r="H161" t="inlineStr">
        <is>
          <t>Solved: current place verified and archived 2026-10-16.</t>
        </is>
      </c>
      <c r="I161" t="inlineStr">
        <is>
          <t>Gear</t>
        </is>
      </c>
      <c r="M161" t="inlineStr">
        <is>
          <t>Taken from the shrine in the Desert Tomb on Mars during the Sands of Inaros quest.</t>
        </is>
      </c>
      <c r="N161" t="inlineStr">
        <is>
          <t>Sands of Inaros</t>
        </is>
      </c>
      <c r="O161" t="inlineStr">
        <is>
          <t>Saved a concrete acquisition place from the official Warframe Wiki. Sands of Inaros page, Explore the tomb section.</t>
        </is>
      </c>
    </row>
    <row r="162">
      <c r="A162" t="inlineStr">
        <is>
          <t>/Lotus/Types/Restoratives/LisetTurret</t>
        </is>
      </c>
      <c r="B162" t="inlineStr">
        <is>
          <t>Sentry Gun</t>
        </is>
      </c>
      <c r="C162" t="inlineStr">
        <is>
          <t>https://wiki.warframe.com/w/Xiphos</t>
        </is>
      </c>
      <c r="D162" t="inlineStr">
        <is>
          <t>ExportGear</t>
        </is>
      </c>
      <c r="G162" t="inlineStr">
        <is>
          <t>Sentry Gun</t>
        </is>
      </c>
      <c r="H162" t="inlineStr">
        <is>
          <t>Solved: current place verified and archived 2026-10-16.</t>
        </is>
      </c>
      <c r="I162" t="inlineStr">
        <is>
          <t>Gear</t>
        </is>
      </c>
      <c r="J162" t="inlineStr">
        <is>
          <t>Resources_data</t>
        </is>
      </c>
      <c r="K162" t="inlineStr">
        <is>
          <t>Resources/data</t>
        </is>
      </c>
      <c r="L162" t="inlineStr">
        <is>
          <t>listed, no place</t>
        </is>
      </c>
      <c r="M162" t="inlineStr">
        <is>
          <t>Included with the Xiphos landing craft.</t>
        </is>
      </c>
      <c r="N162" t="inlineStr">
        <is>
          <t>Xiphos</t>
        </is>
      </c>
      <c r="O162" t="inlineStr">
        <is>
          <t>Saved a concrete acquisition place from the official Warframe Wiki.</t>
        </is>
      </c>
    </row>
    <row r="163">
      <c r="A163" t="inlineStr">
        <is>
          <t>/Lotus/Types/Restoratives/SelfShieldHeal</t>
        </is>
      </c>
      <c r="B163" t="inlineStr">
        <is>
          <t>Shield Restore (Small)</t>
        </is>
      </c>
      <c r="C163" t="inlineStr">
        <is>
          <t>https://wiki.warframe.com/w/Squad_Shield_Restore | https://wiki.warframe.com/w/Nano_Spores | https://wiki.warframe.com/w/Ferrite | https://wiki.warframe.com/w/Team_Bonus_Consumables</t>
        </is>
      </c>
      <c r="D163" t="inlineStr">
        <is>
          <t>ExportGear</t>
        </is>
      </c>
      <c r="F163" t="inlineStr">
        <is>
          <t>Shield Restore (Small)</t>
        </is>
      </c>
      <c r="H163" t="inlineStr">
        <is>
          <t>Solved: current place verified and archived 2026-10-16.</t>
        </is>
      </c>
      <c r="I163" t="inlineStr">
        <is>
          <t>Gear</t>
        </is>
      </c>
      <c r="L163" t="inlineStr">
        <is>
          <t>Resources_data</t>
        </is>
      </c>
      <c r="M163" t="inlineStr">
        <is>
          <t>Reusable blueprint from the in-game Market for 500 Credits (1x) or 250,000 Credits (10x).</t>
        </is>
      </c>
      <c r="N163" t="inlineStr">
        <is>
          <t>Squad Shield Restore | Nano Spores | Ferrite | Team Bonus Consumables</t>
        </is>
      </c>
      <c r="O163" t="inlineStr">
        <is>
          <t>We copied where it comes from off the wiki page. See place from wiki page.</t>
        </is>
      </c>
    </row>
    <row r="164">
      <c r="A164" t="inlineStr">
        <is>
          <t>/Lotus/Types/Restoratives/SelfShotgunAmmo</t>
        </is>
      </c>
      <c r="B164" t="inlineStr">
        <is>
          <t>Shotgun Ammo Box</t>
        </is>
      </c>
      <c r="C164" t="inlineStr">
        <is>
          <t>https://wiki.warframe.com/w/Pistol_Ammo_Box | https://wiki.warframe.com/w/Shotgun_Ammo_Box | https://wiki.warframe.com/w/Sniper_Ammo_Box</t>
        </is>
      </c>
      <c r="D164" t="inlineStr">
        <is>
          <t>ExportGear</t>
        </is>
      </c>
      <c r="F164" t="inlineStr">
        <is>
          <t>Shotgun Ammo Box</t>
        </is>
      </c>
      <c r="G164" t="inlineStr">
        <is>
          <t>Shotgun Ammo Box</t>
        </is>
      </c>
      <c r="H164" t="inlineStr">
        <is>
          <t>Solved: current place verified and archived 2026-10-16.</t>
        </is>
      </c>
      <c r="I164" t="inlineStr">
        <is>
          <t>Gear</t>
        </is>
      </c>
      <c r="M164" t="inlineStr">
        <is>
          <t>Not currently obtainable.</t>
        </is>
      </c>
      <c r="N164" t="inlineStr">
        <is>
          <t>Pistol Ammo Box | Shotgun Ammo Box | Sniper Ammo Box</t>
        </is>
      </c>
      <c r="O164" t="inlineStr">
        <is>
          <t>Saved a concrete acquisition place from the official Warframe Wiki.</t>
        </is>
      </c>
    </row>
    <row r="165">
      <c r="A165" t="inlineStr">
        <is>
          <t>/Lotus/Types/Restoratives/SelfSniperAmmo</t>
        </is>
      </c>
      <c r="B165" t="inlineStr">
        <is>
          <t>Sniper Ammo Box</t>
        </is>
      </c>
      <c r="C165" t="inlineStr">
        <is>
          <t>https://wiki.warframe.com/w/Pistol_Ammo_Box | https://wiki.warframe.com/w/Shotgun_Ammo_Box | https://wiki.warframe.com/w/Sniper_Ammo_Box</t>
        </is>
      </c>
      <c r="D165" t="inlineStr">
        <is>
          <t>ExportGear</t>
        </is>
      </c>
      <c r="F165" t="inlineStr">
        <is>
          <t>Sniper Ammo Box</t>
        </is>
      </c>
      <c r="G165" t="inlineStr">
        <is>
          <t>Sniper Ammo Box</t>
        </is>
      </c>
      <c r="H165" t="inlineStr">
        <is>
          <t>Solved: current place verified and archived 2026-10-16.</t>
        </is>
      </c>
      <c r="I165" t="inlineStr">
        <is>
          <t>Gear</t>
        </is>
      </c>
      <c r="M165" t="inlineStr">
        <is>
          <t>Not currently obtainable.</t>
        </is>
      </c>
      <c r="N165" t="inlineStr">
        <is>
          <t>Pistol Ammo Box | Shotgun Ammo Box | Sniper Ammo Box</t>
        </is>
      </c>
      <c r="O165" t="inlineStr">
        <is>
          <t>Saved a concrete acquisition place from the official Warframe Wiki.</t>
        </is>
      </c>
    </row>
    <row r="166">
      <c r="A166" t="inlineStr">
        <is>
          <t>/Lotus/Types/Restoratives/Consumable/StableCorruptor</t>
        </is>
      </c>
      <c r="B166" t="inlineStr">
        <is>
          <t>Stable Corruptor</t>
        </is>
      </c>
      <c r="C166" t="inlineStr">
        <is>
          <t>https://wiki.warframe.com/w/Corruptor</t>
        </is>
      </c>
      <c r="D166" t="inlineStr">
        <is>
          <t>ExportGear</t>
        </is>
      </c>
      <c r="G166" t="inlineStr">
        <is>
          <t>Corruptor</t>
        </is>
      </c>
      <c r="H166" t="inlineStr">
        <is>
          <t>Solved: current place verified and archived 2026-10-16.</t>
        </is>
      </c>
      <c r="I166" t="inlineStr">
        <is>
          <t>Gear</t>
        </is>
      </c>
      <c r="J166" t="inlineStr">
        <is>
          <t>Resources_data</t>
        </is>
      </c>
      <c r="K166" t="inlineStr">
        <is>
          <t>Resources/data</t>
        </is>
      </c>
      <c r="L166" t="inlineStr">
        <is>
          <t>listed, no place</t>
        </is>
      </c>
      <c r="M166" t="inlineStr">
        <is>
          <t>Not currently obtainable.</t>
        </is>
      </c>
      <c r="N166" t="inlineStr">
        <is>
          <t>Corruptor</t>
        </is>
      </c>
      <c r="O166" t="inlineStr">
        <is>
          <t>Saved a concrete acquisition place from the official Warframe Wiki.</t>
        </is>
      </c>
    </row>
    <row r="167">
      <c r="A167" t="inlineStr">
        <is>
          <t>/Lotus/Types/Restoratives/Consumable/StalkerBall</t>
        </is>
      </c>
      <c r="B167" t="inlineStr">
        <is>
          <t>Stalker Specter</t>
        </is>
      </c>
      <c r="C167" t="inlineStr">
        <is>
          <t>https://wiki.warframe.com/w/Specter | https://wiki.warframe.com/w/Event | https://wiki.warframe.com/w/Nightwave/Nora's_Mix_Volume_7 | https://wiki.warframe.com/w/Operation:_Belly_of_the_Beast</t>
        </is>
      </c>
      <c r="D167" t="inlineStr">
        <is>
          <t>ExportGear</t>
        </is>
      </c>
      <c r="F167" t="inlineStr">
        <is>
          <t>Stalker Specter</t>
        </is>
      </c>
      <c r="H167" t="inlineStr">
        <is>
          <t>Solved: current place verified and archived 2026-10-16.</t>
        </is>
      </c>
      <c r="I167" t="inlineStr">
        <is>
          <t>Gear</t>
        </is>
      </c>
      <c r="M167" t="inlineStr">
        <is>
          <t>Purchase from Ordis in the Belly of the Beast event store for 40 Volatile Motes.</t>
        </is>
      </c>
      <c r="N167" t="inlineStr">
        <is>
          <t>Specter | Event | Nightwave/Nora's Mix Volume 7 | Operation: Belly of the Beast | Operation:_Belly_of_the_Beast</t>
        </is>
      </c>
      <c r="O167" t="inlineStr">
        <is>
          <t>We copied where it comes from off the wiki page. See place from wiki page.</t>
        </is>
      </c>
    </row>
    <row r="168">
      <c r="A168" t="inlineStr">
        <is>
          <t>/Lotus/Types/Restoratives/TitaniaQuest/SpecterSummonFeyarchOberon</t>
        </is>
      </c>
      <c r="B168" t="inlineStr">
        <is>
          <t>Sunrise Apothic</t>
        </is>
      </c>
      <c r="C168" t="inlineStr">
        <is>
          <t>https://wiki.warframe.com/w/Apothic</t>
        </is>
      </c>
      <c r="D168" t="inlineStr">
        <is>
          <t>ExportGear</t>
        </is>
      </c>
      <c r="G168" t="inlineStr">
        <is>
          <t>Sunrise Apothic</t>
        </is>
      </c>
      <c r="H168" t="inlineStr">
        <is>
          <t>Solved: current place verified and archived 2026-10-16.</t>
        </is>
      </c>
      <c r="I168" t="inlineStr">
        <is>
          <t>Gear</t>
        </is>
      </c>
      <c r="J168" t="inlineStr">
        <is>
          <t>Resources_data</t>
        </is>
      </c>
      <c r="K168" t="inlineStr">
        <is>
          <t>Resources/data</t>
        </is>
      </c>
      <c r="L168" t="inlineStr">
        <is>
          <t>listed, no place</t>
        </is>
      </c>
      <c r="M168" t="inlineStr">
        <is>
          <t>Blueprint reward during The Silver Grove quest.</t>
        </is>
      </c>
      <c r="N168" t="inlineStr">
        <is>
          <t>Apothic</t>
        </is>
      </c>
      <c r="O168" t="inlineStr">
        <is>
          <t>Saved a concrete acquisition place from the official Warframe Wiki.</t>
        </is>
      </c>
    </row>
    <row r="169">
      <c r="A169" t="inlineStr">
        <is>
          <t>/Lotus/Types/Restoratives/Consumable/SurgeEximusBall</t>
        </is>
      </c>
      <c r="B169" t="inlineStr">
        <is>
          <t>Surge Eximus Specter</t>
        </is>
      </c>
      <c r="C169" t="inlineStr">
        <is>
          <t>https://wiki.warframe.com/w/Fables_%26_Frontiers | https://wiki.warframe.com/w/Specter</t>
        </is>
      </c>
      <c r="D169" t="inlineStr">
        <is>
          <t>ExportGear</t>
        </is>
      </c>
      <c r="F169" t="inlineStr">
        <is>
          <t>Surge Eximus Specter</t>
        </is>
      </c>
      <c r="H169" t="inlineStr">
        <is>
          <t>Solved: current place verified and archived 2026-10-16.</t>
        </is>
      </c>
      <c r="I169" t="inlineStr">
        <is>
          <t>Gear</t>
        </is>
      </c>
      <c r="M169" t="inlineStr">
        <is>
          <t>Weekly Exterminate mission reward after completing six days of the Fables &amp; Frontiers campaign.</t>
        </is>
      </c>
      <c r="N169" t="inlineStr">
        <is>
          <t>Specter | Fables &amp; Frontiers</t>
        </is>
      </c>
      <c r="O169" t="inlineStr">
        <is>
          <t>Saved a concrete acquisition place from the official Warframe Wiki. Specter page Surge Eximus section.</t>
        </is>
      </c>
    </row>
    <row r="170">
      <c r="A170" t="inlineStr">
        <is>
          <t>/Lotus/Types/Restoratives/ThermianRPGSummon</t>
        </is>
      </c>
      <c r="B170" t="inlineStr">
        <is>
          <t>Thermian RPG</t>
        </is>
      </c>
      <c r="C170" t="inlineStr">
        <is>
          <t>https://wiki.warframe.com/w/Thermian_RPG</t>
        </is>
      </c>
      <c r="D170" t="inlineStr">
        <is>
          <t>ExportGear</t>
        </is>
      </c>
      <c r="G170" t="inlineStr">
        <is>
          <t>Thermian RPG</t>
        </is>
      </c>
      <c r="H170" t="inlineStr">
        <is>
          <t>Solved: current place verified and archived 2026-10-16.</t>
        </is>
      </c>
      <c r="I170" t="inlineStr">
        <is>
          <t>Gear</t>
        </is>
      </c>
      <c r="J170" t="inlineStr">
        <is>
          <t>Resources_data, Weapons_data, Weapons_data_misc</t>
        </is>
      </c>
      <c r="K170" t="inlineStr">
        <is>
          <t>Resources/data, Weapons/data/misc</t>
        </is>
      </c>
      <c r="L170" t="inlineStr">
        <is>
          <t>listed, no place</t>
        </is>
      </c>
      <c r="M170" t="inlineStr">
        <is>
          <t>Dropped by parachuting Eximus in Höllvania Exterminate or Hell-Scrub missions, and by parachuting Scaldra in the H-09 Efervon Tank Assassination.</t>
        </is>
      </c>
      <c r="N170" t="inlineStr">
        <is>
          <t>Thermian RPG</t>
        </is>
      </c>
      <c r="O170" t="inlineStr">
        <is>
          <t>Saved a concrete acquisition place from the official Warframe Wiki.</t>
        </is>
      </c>
    </row>
    <row r="171">
      <c r="A171" t="inlineStr">
        <is>
          <t>/Lotus/Types/Restoratives/Consumable/Toxins/NightUnCommonAntitoxin</t>
        </is>
      </c>
      <c r="B171" t="inlineStr">
        <is>
          <t>Topaz Antitoxin</t>
        </is>
      </c>
      <c r="C171" t="inlineStr">
        <is>
          <t>https://wiki.warframe.com/w/Antitoxin_(Gear)</t>
        </is>
      </c>
      <c r="D171" t="inlineStr">
        <is>
          <t>ExportGear</t>
        </is>
      </c>
      <c r="G171" t="inlineStr">
        <is>
          <t>Antitoxin (Gear)#Topaz</t>
        </is>
      </c>
      <c r="H171" t="inlineStr">
        <is>
          <t>Solved: current place verified and archived 2026-10-16.</t>
        </is>
      </c>
      <c r="I171" t="inlineStr">
        <is>
          <t>Gear</t>
        </is>
      </c>
      <c r="J171" t="inlineStr">
        <is>
          <t>Resources_data</t>
        </is>
      </c>
      <c r="K171" t="inlineStr">
        <is>
          <t>Resources/data</t>
        </is>
      </c>
      <c r="L171" t="inlineStr">
        <is>
          <t>listed, no place</t>
        </is>
      </c>
      <c r="M171" t="inlineStr">
        <is>
          <t>Reusable blueprint from the in-game Market for 1,500 Credits.</t>
        </is>
      </c>
      <c r="N171" t="inlineStr">
        <is>
          <t>Antitoxin (Gear)</t>
        </is>
      </c>
      <c r="O171" t="inlineStr">
        <is>
          <t>Saved a concrete acquisition place from the official Warframe Wiki.</t>
        </is>
      </c>
    </row>
    <row r="172">
      <c r="A172" t="inlineStr">
        <is>
          <t>/Lotus/Types/Restoratives/TitaniaQuest/SpecterSummonOrphidSaryn</t>
        </is>
      </c>
      <c r="B172" t="inlineStr">
        <is>
          <t>Twilight Apothic</t>
        </is>
      </c>
      <c r="C172" t="inlineStr">
        <is>
          <t>https://wiki.warframe.com/w/Apothic</t>
        </is>
      </c>
      <c r="D172" t="inlineStr">
        <is>
          <t>ExportGear</t>
        </is>
      </c>
      <c r="G172" t="inlineStr">
        <is>
          <t>Twilight Apothic</t>
        </is>
      </c>
      <c r="H172" t="inlineStr">
        <is>
          <t>Solved: current place verified and archived 2026-10-16.</t>
        </is>
      </c>
      <c r="I172" t="inlineStr">
        <is>
          <t>Gear</t>
        </is>
      </c>
      <c r="J172" t="inlineStr">
        <is>
          <t>Resources_data</t>
        </is>
      </c>
      <c r="K172" t="inlineStr">
        <is>
          <t>Resources/data</t>
        </is>
      </c>
      <c r="L172" t="inlineStr">
        <is>
          <t>listed, no place</t>
        </is>
      </c>
      <c r="M172" t="inlineStr">
        <is>
          <t>Blueprint reward during The Silver Grove quest.</t>
        </is>
      </c>
      <c r="N172" t="inlineStr">
        <is>
          <t>Apothic</t>
        </is>
      </c>
      <c r="O172" t="inlineStr">
        <is>
          <t>Saved a concrete acquisition place from the official Warframe Wiki.</t>
        </is>
      </c>
    </row>
    <row r="173">
      <c r="A173" t="inlineStr">
        <is>
          <t>/Lotus/Types/Restoratives/Consumable/Toxins/SoloRareAntitoxin</t>
        </is>
      </c>
      <c r="B173" t="inlineStr">
        <is>
          <t>Vermillion Antitoxin</t>
        </is>
      </c>
      <c r="C173" t="inlineStr">
        <is>
          <t>https://wiki.warframe.com/w/Antitoxin_(Gear)</t>
        </is>
      </c>
      <c r="D173" t="inlineStr">
        <is>
          <t>ExportGear</t>
        </is>
      </c>
      <c r="G173" t="inlineStr">
        <is>
          <t>Antitoxin (Gear)#Vermillion</t>
        </is>
      </c>
      <c r="H173" t="inlineStr">
        <is>
          <t>Solved: current place verified and archived 2026-10-16.</t>
        </is>
      </c>
      <c r="I173" t="inlineStr">
        <is>
          <t>Gear</t>
        </is>
      </c>
      <c r="J173" t="inlineStr">
        <is>
          <t>Resources_data</t>
        </is>
      </c>
      <c r="K173" t="inlineStr">
        <is>
          <t>Resources/data</t>
        </is>
      </c>
      <c r="L173" t="inlineStr">
        <is>
          <t>listed, no place</t>
        </is>
      </c>
      <c r="M173" t="inlineStr">
        <is>
          <t>Reusable blueprint from the in-game Market for 1,500 Credits.</t>
        </is>
      </c>
      <c r="N173" t="inlineStr">
        <is>
          <t>Antitoxin (Gear)</t>
        </is>
      </c>
      <c r="O173" t="inlineStr">
        <is>
          <t>Saved a concrete acquisition place from the official Warframe Wiki.</t>
        </is>
      </c>
    </row>
    <row r="174">
      <c r="A174" t="inlineStr">
        <is>
          <t>/Lotus/Types/Game/Projections/T4VoidProjectionProteaIvaraVaultABronze</t>
        </is>
      </c>
      <c r="B174" t="inlineStr">
        <is>
          <t>Axi A23 Relic</t>
        </is>
      </c>
      <c r="C174" t="inlineStr">
        <is>
          <t>https://wiki.warframe.com/w/Axi_A23</t>
        </is>
      </c>
      <c r="D174" t="inlineStr">
        <is>
          <t>ExportRelics</t>
        </is>
      </c>
      <c r="E174" t="inlineStr">
        <is>
          <t>Intact</t>
        </is>
      </c>
      <c r="H174" t="inlineStr">
        <is>
          <t>Solved: current place verified and archived 2026-10-16.</t>
        </is>
      </c>
      <c r="I174" t="inlineStr">
        <is>
          <t>RelicArcane</t>
        </is>
      </c>
      <c r="M174" t="inlineStr">
        <is>
          <t>Vaulted: obtain by trading with other players.</t>
        </is>
      </c>
      <c r="N174" t="inlineStr">
        <is>
          <t>Axi A23</t>
        </is>
      </c>
      <c r="O174" t="inlineStr">
        <is>
          <t>Saved a concrete acquisition place from the official Warframe Wiki. Axi A23 relic page: vaulted.</t>
        </is>
      </c>
    </row>
    <row r="175">
      <c r="A175" t="inlineStr">
        <is>
          <t>/Lotus/Types/Game/Projections/T4VoidProjectionProteaIvaraVaultAGold</t>
        </is>
      </c>
      <c r="B175" t="inlineStr">
        <is>
          <t>Axi A23 Relic</t>
        </is>
      </c>
      <c r="C175" t="inlineStr">
        <is>
          <t>https://wiki.warframe.com/w/Axi_A23</t>
        </is>
      </c>
      <c r="D175" t="inlineStr">
        <is>
          <t>ExportRelics</t>
        </is>
      </c>
      <c r="E175" t="inlineStr">
        <is>
          <t>Flawless</t>
        </is>
      </c>
      <c r="H175" t="inlineStr">
        <is>
          <t>Solved: current place verified and archived 2026-10-16.</t>
        </is>
      </c>
      <c r="I175" t="inlineStr">
        <is>
          <t>RelicArcane</t>
        </is>
      </c>
      <c r="M175" t="inlineStr">
        <is>
          <t>Vaulted: obtain by trading with other players.</t>
        </is>
      </c>
      <c r="N175" t="inlineStr">
        <is>
          <t>Axi A23</t>
        </is>
      </c>
      <c r="O175" t="inlineStr">
        <is>
          <t>Saved a concrete acquisition place from the official Warframe Wiki. Axi A23 relic page: vaulted.</t>
        </is>
      </c>
    </row>
    <row r="176">
      <c r="A176" t="inlineStr">
        <is>
          <t>/Lotus/Types/Game/Projections/T4VoidProjectionProteaIvaraVaultAPlatinum</t>
        </is>
      </c>
      <c r="B176" t="inlineStr">
        <is>
          <t>Axi A23 Relic</t>
        </is>
      </c>
      <c r="C176" t="inlineStr">
        <is>
          <t>https://wiki.warframe.com/w/Axi_A23</t>
        </is>
      </c>
      <c r="D176" t="inlineStr">
        <is>
          <t>ExportRelics</t>
        </is>
      </c>
      <c r="E176" t="inlineStr">
        <is>
          <t>Radiant</t>
        </is>
      </c>
      <c r="H176" t="inlineStr">
        <is>
          <t>Solved: current place verified and archived 2026-10-16.</t>
        </is>
      </c>
      <c r="I176" t="inlineStr">
        <is>
          <t>RelicArcane</t>
        </is>
      </c>
      <c r="M176" t="inlineStr">
        <is>
          <t>Vaulted: obtain by trading with other players.</t>
        </is>
      </c>
      <c r="N176" t="inlineStr">
        <is>
          <t>Axi A23</t>
        </is>
      </c>
      <c r="O176" t="inlineStr">
        <is>
          <t>Saved a concrete acquisition place from the official Warframe Wiki. Axi A23 relic page: vaulted.</t>
        </is>
      </c>
    </row>
    <row r="177">
      <c r="A177" t="inlineStr">
        <is>
          <t>/Lotus/Types/Game/Projections/T4VoidProjectionProteaIvaraVaultASilver</t>
        </is>
      </c>
      <c r="B177" t="inlineStr">
        <is>
          <t>Axi A23 Relic</t>
        </is>
      </c>
      <c r="C177" t="inlineStr">
        <is>
          <t>https://wiki.warframe.com/w/Axi_A23</t>
        </is>
      </c>
      <c r="D177" t="inlineStr">
        <is>
          <t>ExportRelics</t>
        </is>
      </c>
      <c r="E177" t="inlineStr">
        <is>
          <t>Exceptional</t>
        </is>
      </c>
      <c r="H177" t="inlineStr">
        <is>
          <t>Solved: current place verified and archived 2026-10-16.</t>
        </is>
      </c>
      <c r="I177" t="inlineStr">
        <is>
          <t>RelicArcane</t>
        </is>
      </c>
      <c r="M177" t="inlineStr">
        <is>
          <t>Vaulted: obtain by trading with other players.</t>
        </is>
      </c>
      <c r="N177" t="inlineStr">
        <is>
          <t>Axi A23</t>
        </is>
      </c>
      <c r="O177" t="inlineStr">
        <is>
          <t>Saved a concrete acquisition place from the official Warframe Wiki. Axi A23 relic page: vaulted.</t>
        </is>
      </c>
    </row>
    <row r="178">
      <c r="A178" t="inlineStr">
        <is>
          <t>/Lotus/Types/Game/Projections/T4VoidProjectionCitrinePrimeBBronze</t>
        </is>
      </c>
      <c r="B178" t="inlineStr">
        <is>
          <t>Axi C12 Relic</t>
        </is>
      </c>
      <c r="C178" t="inlineStr">
        <is>
          <t>https://wiki.warframe.com/w/Axi_C12</t>
        </is>
      </c>
      <c r="D178" t="inlineStr">
        <is>
          <t>ExportRelics</t>
        </is>
      </c>
      <c r="E178" t="inlineStr">
        <is>
          <t>Intact</t>
        </is>
      </c>
      <c r="H178" t="inlineStr">
        <is>
          <t>Solved: current place verified and archived 2026-10-16.</t>
        </is>
      </c>
      <c r="I178" t="inlineStr">
        <is>
          <t>RelicArcane</t>
        </is>
      </c>
      <c r="M178" t="inlineStr">
        <is>
          <t>Dropped by Lua Disruption (rotation B, C), Sedna Disruption (rotation C), Deimos Entrati Disruption (rotation C) and other missions.</t>
        </is>
      </c>
      <c r="N178" t="inlineStr">
        <is>
          <t>Axi C12</t>
        </is>
      </c>
      <c r="O178" t="inlineStr">
        <is>
          <t>Saved a concrete acquisition place from the official Warframe Wiki. Axi C12 relic page: mission drop table and other sources.</t>
        </is>
      </c>
    </row>
    <row r="179">
      <c r="A179" t="inlineStr">
        <is>
          <t>/Lotus/Types/Game/Projections/T4VoidProjectionCitrinePrimeBGold</t>
        </is>
      </c>
      <c r="B179" t="inlineStr">
        <is>
          <t>Axi C12 Relic</t>
        </is>
      </c>
      <c r="C179" t="inlineStr">
        <is>
          <t>https://wiki.warframe.com/w/Axi_C12</t>
        </is>
      </c>
      <c r="D179" t="inlineStr">
        <is>
          <t>ExportRelics</t>
        </is>
      </c>
      <c r="E179" t="inlineStr">
        <is>
          <t>Flawless</t>
        </is>
      </c>
      <c r="H179" t="inlineStr">
        <is>
          <t>Solved: current place verified and archived 2026-10-16.</t>
        </is>
      </c>
      <c r="I179" t="inlineStr">
        <is>
          <t>RelicArcane</t>
        </is>
      </c>
      <c r="M179" t="inlineStr">
        <is>
          <t>Dropped by Lua Disruption (rotation B, C), Sedna Disruption (rotation C), Deimos Entrati Disruption (rotation C) and other missions.</t>
        </is>
      </c>
      <c r="N179" t="inlineStr">
        <is>
          <t>Axi C12</t>
        </is>
      </c>
      <c r="O179" t="inlineStr">
        <is>
          <t>Saved a concrete acquisition place from the official Warframe Wiki. Axi C12 relic page: mission drop table and other sources.</t>
        </is>
      </c>
    </row>
    <row r="180">
      <c r="A180" t="inlineStr">
        <is>
          <t>/Lotus/Types/Game/Projections/T4VoidProjectionCitrinePrimeBPlatinum</t>
        </is>
      </c>
      <c r="B180" t="inlineStr">
        <is>
          <t>Axi C12 Relic</t>
        </is>
      </c>
      <c r="C180" t="inlineStr">
        <is>
          <t>https://wiki.warframe.com/w/Axi_C12</t>
        </is>
      </c>
      <c r="D180" t="inlineStr">
        <is>
          <t>ExportRelics</t>
        </is>
      </c>
      <c r="E180" t="inlineStr">
        <is>
          <t>Radiant</t>
        </is>
      </c>
      <c r="H180" t="inlineStr">
        <is>
          <t>Solved: current place verified and archived 2026-10-16.</t>
        </is>
      </c>
      <c r="I180" t="inlineStr">
        <is>
          <t>RelicArcane</t>
        </is>
      </c>
      <c r="M180" t="inlineStr">
        <is>
          <t>Dropped by Lua Disruption (rotation B, C), Sedna Disruption (rotation C), Deimos Entrati Disruption (rotation C) and other missions.</t>
        </is>
      </c>
      <c r="N180" t="inlineStr">
        <is>
          <t>Axi C12</t>
        </is>
      </c>
      <c r="O180" t="inlineStr">
        <is>
          <t>Saved a concrete acquisition place from the official Warframe Wiki. Axi C12 relic page: mission drop table and other sources.</t>
        </is>
      </c>
    </row>
    <row r="181">
      <c r="A181" t="inlineStr">
        <is>
          <t>/Lotus/Types/Game/Projections/T4VoidProjectionCitrinePrimeBSilver</t>
        </is>
      </c>
      <c r="B181" t="inlineStr">
        <is>
          <t>Axi C12 Relic</t>
        </is>
      </c>
      <c r="C181" t="inlineStr">
        <is>
          <t>https://wiki.warframe.com/w/Axi_C12</t>
        </is>
      </c>
      <c r="D181" t="inlineStr">
        <is>
          <t>ExportRelics</t>
        </is>
      </c>
      <c r="E181" t="inlineStr">
        <is>
          <t>Exceptional</t>
        </is>
      </c>
      <c r="H181" t="inlineStr">
        <is>
          <t>Solved: current place verified and archived 2026-10-16.</t>
        </is>
      </c>
      <c r="I181" t="inlineStr">
        <is>
          <t>RelicArcane</t>
        </is>
      </c>
      <c r="M181" t="inlineStr">
        <is>
          <t>Dropped by Lua Disruption (rotation B, C), Sedna Disruption (rotation C), Deimos Entrati Disruption (rotation C) and other missions.</t>
        </is>
      </c>
      <c r="N181" t="inlineStr">
        <is>
          <t>Axi C12</t>
        </is>
      </c>
      <c r="O181" t="inlineStr">
        <is>
          <t>Saved a concrete acquisition place from the official Warframe Wiki. Axi C12 relic page: mission drop table and other sources.</t>
        </is>
      </c>
    </row>
    <row r="182">
      <c r="A182" t="inlineStr">
        <is>
          <t>/Lotus/Types/Game/Projections/T4VoidProjectionCitrinePrimeABronze</t>
        </is>
      </c>
      <c r="B182" t="inlineStr">
        <is>
          <t>Axi S21 Relic</t>
        </is>
      </c>
      <c r="C182" t="inlineStr">
        <is>
          <t>https://wiki.warframe.com/w/Axi_S21</t>
        </is>
      </c>
      <c r="D182" t="inlineStr">
        <is>
          <t>ExportRelics</t>
        </is>
      </c>
      <c r="E182" t="inlineStr">
        <is>
          <t>Intact</t>
        </is>
      </c>
      <c r="H182" t="inlineStr">
        <is>
          <t>Solved: current place verified and archived 2026-10-16.</t>
        </is>
      </c>
      <c r="I182" t="inlineStr">
        <is>
          <t>RelicArcane</t>
        </is>
      </c>
      <c r="M182" t="inlineStr">
        <is>
          <t>Dropped by Lua Disruption (rotation B), Profit-Taker Orb Bounty Phase 4 (rotation A), Lua Disruption (rotation C) and other missions.</t>
        </is>
      </c>
      <c r="N182" t="inlineStr">
        <is>
          <t>Axi S21</t>
        </is>
      </c>
      <c r="O182" t="inlineStr">
        <is>
          <t>Saved a concrete acquisition place from the official Warframe Wiki. Axi S21 relic page: mission drop table and other sources.</t>
        </is>
      </c>
    </row>
    <row r="183">
      <c r="A183" t="inlineStr">
        <is>
          <t>/Lotus/Types/Game/Projections/T4VoidProjectionCitrinePrimeAGold</t>
        </is>
      </c>
      <c r="B183" t="inlineStr">
        <is>
          <t>Axi S21 Relic</t>
        </is>
      </c>
      <c r="C183" t="inlineStr">
        <is>
          <t>https://wiki.warframe.com/w/Axi_S21</t>
        </is>
      </c>
      <c r="D183" t="inlineStr">
        <is>
          <t>ExportRelics</t>
        </is>
      </c>
      <c r="E183" t="inlineStr">
        <is>
          <t>Flawless</t>
        </is>
      </c>
      <c r="H183" t="inlineStr">
        <is>
          <t>Solved: current place verified and archived 2026-10-16.</t>
        </is>
      </c>
      <c r="I183" t="inlineStr">
        <is>
          <t>RelicArcane</t>
        </is>
      </c>
      <c r="M183" t="inlineStr">
        <is>
          <t>Dropped by Lua Disruption (rotation B), Profit-Taker Orb Bounty Phase 4 (rotation A), Lua Disruption (rotation C) and other missions.</t>
        </is>
      </c>
      <c r="N183" t="inlineStr">
        <is>
          <t>Axi S21</t>
        </is>
      </c>
      <c r="O183" t="inlineStr">
        <is>
          <t>Saved a concrete acquisition place from the official Warframe Wiki. Axi S21 relic page: mission drop table and other sources.</t>
        </is>
      </c>
    </row>
    <row r="184">
      <c r="A184" t="inlineStr">
        <is>
          <t>/Lotus/Types/Game/Projections/T4VoidProjectionCitrinePrimeAPlatinum</t>
        </is>
      </c>
      <c r="B184" t="inlineStr">
        <is>
          <t>Axi S21 Relic</t>
        </is>
      </c>
      <c r="C184" t="inlineStr">
        <is>
          <t>https://wiki.warframe.com/w/Axi_S21</t>
        </is>
      </c>
      <c r="D184" t="inlineStr">
        <is>
          <t>ExportRelics</t>
        </is>
      </c>
      <c r="E184" t="inlineStr">
        <is>
          <t>Radiant</t>
        </is>
      </c>
      <c r="H184" t="inlineStr">
        <is>
          <t>Solved: current place verified and archived 2026-10-16.</t>
        </is>
      </c>
      <c r="I184" t="inlineStr">
        <is>
          <t>RelicArcane</t>
        </is>
      </c>
      <c r="M184" t="inlineStr">
        <is>
          <t>Dropped by Lua Disruption (rotation B), Profit-Taker Orb Bounty Phase 4 (rotation A), Lua Disruption (rotation C) and other missions.</t>
        </is>
      </c>
      <c r="N184" t="inlineStr">
        <is>
          <t>Axi S21</t>
        </is>
      </c>
      <c r="O184" t="inlineStr">
        <is>
          <t>Saved a concrete acquisition place from the official Warframe Wiki. Axi S21 relic page: mission drop table and other sources.</t>
        </is>
      </c>
    </row>
    <row r="185">
      <c r="A185" t="inlineStr">
        <is>
          <t>/Lotus/Types/Game/Projections/T4VoidProjectionCitrinePrimeASilver</t>
        </is>
      </c>
      <c r="B185" t="inlineStr">
        <is>
          <t>Axi S21 Relic</t>
        </is>
      </c>
      <c r="C185" t="inlineStr">
        <is>
          <t>https://wiki.warframe.com/w/Axi_S21</t>
        </is>
      </c>
      <c r="D185" t="inlineStr">
        <is>
          <t>ExportRelics</t>
        </is>
      </c>
      <c r="E185" t="inlineStr">
        <is>
          <t>Exceptional</t>
        </is>
      </c>
      <c r="H185" t="inlineStr">
        <is>
          <t>Solved: current place verified and archived 2026-10-16.</t>
        </is>
      </c>
      <c r="I185" t="inlineStr">
        <is>
          <t>RelicArcane</t>
        </is>
      </c>
      <c r="M185" t="inlineStr">
        <is>
          <t>Dropped by Lua Disruption (rotation B), Profit-Taker Orb Bounty Phase 4 (rotation A), Lua Disruption (rotation C) and other missions.</t>
        </is>
      </c>
      <c r="N185" t="inlineStr">
        <is>
          <t>Axi S21</t>
        </is>
      </c>
      <c r="O185" t="inlineStr">
        <is>
          <t>Saved a concrete acquisition place from the official Warframe Wiki. Axi S21 relic page: mission drop table and other sources.</t>
        </is>
      </c>
    </row>
    <row r="186">
      <c r="A186" t="inlineStr">
        <is>
          <t>/Lotus/Types/Game/Projections/T1VoidProjectionCitrinePrimeABronze</t>
        </is>
      </c>
      <c r="B186" t="inlineStr">
        <is>
          <t>Lith A13 Relic</t>
        </is>
      </c>
      <c r="C186" t="inlineStr">
        <is>
          <t>https://wiki.warframe.com/w/Lith_A13</t>
        </is>
      </c>
      <c r="D186" t="inlineStr">
        <is>
          <t>ExportRelics</t>
        </is>
      </c>
      <c r="E186" t="inlineStr">
        <is>
          <t>Intact</t>
        </is>
      </c>
      <c r="H186" t="inlineStr">
        <is>
          <t>Solved: current place verified and archived 2026-10-16.</t>
        </is>
      </c>
      <c r="I186" t="inlineStr">
        <is>
          <t>RelicArcane</t>
        </is>
      </c>
      <c r="M186" t="inlineStr">
        <is>
          <t>Dropped by Mars Disruption (rotation A, B), Tier 1 Void Capture (rotation A) and Profit-Taker Orb Bounty Phase 1 (rotation A).</t>
        </is>
      </c>
      <c r="N186" t="inlineStr">
        <is>
          <t>Lith A13</t>
        </is>
      </c>
      <c r="O186" t="inlineStr">
        <is>
          <t>Saved a concrete acquisition place from the official Warframe Wiki. Lith A13 relic page: mission drop table and other sources.</t>
        </is>
      </c>
    </row>
    <row r="187">
      <c r="A187" t="inlineStr">
        <is>
          <t>/Lotus/Types/Game/Projections/T1VoidProjectionCitrinePrimeAGold</t>
        </is>
      </c>
      <c r="B187" t="inlineStr">
        <is>
          <t>Lith A13 Relic</t>
        </is>
      </c>
      <c r="C187" t="inlineStr">
        <is>
          <t>https://wiki.warframe.com/w/Lith_A13</t>
        </is>
      </c>
      <c r="D187" t="inlineStr">
        <is>
          <t>ExportRelics</t>
        </is>
      </c>
      <c r="E187" t="inlineStr">
        <is>
          <t>Flawless</t>
        </is>
      </c>
      <c r="H187" t="inlineStr">
        <is>
          <t>Solved: current place verified and archived 2026-10-16.</t>
        </is>
      </c>
      <c r="I187" t="inlineStr">
        <is>
          <t>RelicArcane</t>
        </is>
      </c>
      <c r="M187" t="inlineStr">
        <is>
          <t>Dropped by Mars Disruption (rotation A, B), Tier 1 Void Capture (rotation A) and Profit-Taker Orb Bounty Phase 1 (rotation A).</t>
        </is>
      </c>
      <c r="N187" t="inlineStr">
        <is>
          <t>Lith A13</t>
        </is>
      </c>
      <c r="O187" t="inlineStr">
        <is>
          <t>Saved a concrete acquisition place from the official Warframe Wiki. Lith A13 relic page: mission drop table and other sources.</t>
        </is>
      </c>
    </row>
    <row r="188">
      <c r="A188" t="inlineStr">
        <is>
          <t>/Lotus/Types/Game/Projections/T1VoidProjectionCitrinePrimeAPlatinum</t>
        </is>
      </c>
      <c r="B188" t="inlineStr">
        <is>
          <t>Lith A13 Relic</t>
        </is>
      </c>
      <c r="C188" t="inlineStr">
        <is>
          <t>https://wiki.warframe.com/w/Lith_A13</t>
        </is>
      </c>
      <c r="D188" t="inlineStr">
        <is>
          <t>ExportRelics</t>
        </is>
      </c>
      <c r="E188" t="inlineStr">
        <is>
          <t>Radiant</t>
        </is>
      </c>
      <c r="H188" t="inlineStr">
        <is>
          <t>Solved: current place verified and archived 2026-10-16.</t>
        </is>
      </c>
      <c r="I188" t="inlineStr">
        <is>
          <t>RelicArcane</t>
        </is>
      </c>
      <c r="M188" t="inlineStr">
        <is>
          <t>Dropped by Mars Disruption (rotation A, B), Tier 1 Void Capture (rotation A) and Profit-Taker Orb Bounty Phase 1 (rotation A).</t>
        </is>
      </c>
      <c r="N188" t="inlineStr">
        <is>
          <t>Lith A13</t>
        </is>
      </c>
      <c r="O188" t="inlineStr">
        <is>
          <t>Saved a concrete acquisition place from the official Warframe Wiki. Lith A13 relic page: mission drop table and other sources.</t>
        </is>
      </c>
    </row>
    <row r="189">
      <c r="A189" t="inlineStr">
        <is>
          <t>/Lotus/Types/Game/Projections/T1VoidProjectionCitrinePrimeASilver</t>
        </is>
      </c>
      <c r="B189" t="inlineStr">
        <is>
          <t>Lith A13 Relic</t>
        </is>
      </c>
      <c r="C189" t="inlineStr">
        <is>
          <t>https://wiki.warframe.com/w/Lith_A13</t>
        </is>
      </c>
      <c r="D189" t="inlineStr">
        <is>
          <t>ExportRelics</t>
        </is>
      </c>
      <c r="E189" t="inlineStr">
        <is>
          <t>Exceptional</t>
        </is>
      </c>
      <c r="H189" t="inlineStr">
        <is>
          <t>Solved: current place verified and archived 2026-10-16.</t>
        </is>
      </c>
      <c r="I189" t="inlineStr">
        <is>
          <t>RelicArcane</t>
        </is>
      </c>
      <c r="M189" t="inlineStr">
        <is>
          <t>Dropped by Mars Disruption (rotation A, B), Tier 1 Void Capture (rotation A) and Profit-Taker Orb Bounty Phase 1 (rotation A).</t>
        </is>
      </c>
      <c r="N189" t="inlineStr">
        <is>
          <t>Lith A13</t>
        </is>
      </c>
      <c r="O189" t="inlineStr">
        <is>
          <t>Saved a concrete acquisition place from the official Warframe Wiki. Lith A13 relic page: mission drop table and other sources.</t>
        </is>
      </c>
    </row>
    <row r="190">
      <c r="A190" t="inlineStr">
        <is>
          <t>/Lotus/Types/Game/Projections/T1VoidProjectionProteaIvaraVaultABronze</t>
        </is>
      </c>
      <c r="B190" t="inlineStr">
        <is>
          <t>Lith B12 Relic</t>
        </is>
      </c>
      <c r="C190" t="inlineStr">
        <is>
          <t>https://wiki.warframe.com/w/Lith_B12</t>
        </is>
      </c>
      <c r="D190" t="inlineStr">
        <is>
          <t>ExportRelics</t>
        </is>
      </c>
      <c r="E190" t="inlineStr">
        <is>
          <t>Intact</t>
        </is>
      </c>
      <c r="H190" t="inlineStr">
        <is>
          <t>Solved: current place verified and archived 2026-10-16.</t>
        </is>
      </c>
      <c r="I190" t="inlineStr">
        <is>
          <t>RelicArcane</t>
        </is>
      </c>
      <c r="M190" t="inlineStr">
        <is>
          <t>Vaulted: obtain by trading with other players.</t>
        </is>
      </c>
      <c r="N190" t="inlineStr">
        <is>
          <t>Lith B12</t>
        </is>
      </c>
      <c r="O190" t="inlineStr">
        <is>
          <t>Saved a concrete acquisition place from the official Warframe Wiki. Lith B12 relic page: vaulted.</t>
        </is>
      </c>
    </row>
    <row r="191">
      <c r="A191" t="inlineStr">
        <is>
          <t>/Lotus/Types/Game/Projections/T1VoidProjectionProteaIvaraVaultAGold</t>
        </is>
      </c>
      <c r="B191" t="inlineStr">
        <is>
          <t>Lith B12 Relic</t>
        </is>
      </c>
      <c r="C191" t="inlineStr">
        <is>
          <t>https://wiki.warframe.com/w/Lith_B12</t>
        </is>
      </c>
      <c r="D191" t="inlineStr">
        <is>
          <t>ExportRelics</t>
        </is>
      </c>
      <c r="E191" t="inlineStr">
        <is>
          <t>Flawless</t>
        </is>
      </c>
      <c r="H191" t="inlineStr">
        <is>
          <t>Solved: current place verified and archived 2026-10-16.</t>
        </is>
      </c>
      <c r="I191" t="inlineStr">
        <is>
          <t>RelicArcane</t>
        </is>
      </c>
      <c r="M191" t="inlineStr">
        <is>
          <t>Vaulted: obtain by trading with other players.</t>
        </is>
      </c>
      <c r="N191" t="inlineStr">
        <is>
          <t>Lith B12</t>
        </is>
      </c>
      <c r="O191" t="inlineStr">
        <is>
          <t>Saved a concrete acquisition place from the official Warframe Wiki. Lith B12 relic page: vaulted.</t>
        </is>
      </c>
    </row>
    <row r="192">
      <c r="A192" t="inlineStr">
        <is>
          <t>/Lotus/Types/Game/Projections/T1VoidProjectionProteaIvaraVaultAPlatinum</t>
        </is>
      </c>
      <c r="B192" t="inlineStr">
        <is>
          <t>Lith B12 Relic</t>
        </is>
      </c>
      <c r="C192" t="inlineStr">
        <is>
          <t>https://wiki.warframe.com/w/Lith_B12</t>
        </is>
      </c>
      <c r="D192" t="inlineStr">
        <is>
          <t>ExportRelics</t>
        </is>
      </c>
      <c r="E192" t="inlineStr">
        <is>
          <t>Radiant</t>
        </is>
      </c>
      <c r="H192" t="inlineStr">
        <is>
          <t>Solved: current place verified and archived 2026-10-16.</t>
        </is>
      </c>
      <c r="I192" t="inlineStr">
        <is>
          <t>RelicArcane</t>
        </is>
      </c>
      <c r="M192" t="inlineStr">
        <is>
          <t>Vaulted: obtain by trading with other players.</t>
        </is>
      </c>
      <c r="N192" t="inlineStr">
        <is>
          <t>Lith B12</t>
        </is>
      </c>
      <c r="O192" t="inlineStr">
        <is>
          <t>Saved a concrete acquisition place from the official Warframe Wiki. Lith B12 relic page: vaulted.</t>
        </is>
      </c>
    </row>
    <row r="193">
      <c r="A193" t="inlineStr">
        <is>
          <t>/Lotus/Types/Game/Projections/T1VoidProjectionProteaIvaraVaultASilver</t>
        </is>
      </c>
      <c r="B193" t="inlineStr">
        <is>
          <t>Lith B12 Relic</t>
        </is>
      </c>
      <c r="C193" t="inlineStr">
        <is>
          <t>https://wiki.warframe.com/w/Lith_B12</t>
        </is>
      </c>
      <c r="D193" t="inlineStr">
        <is>
          <t>ExportRelics</t>
        </is>
      </c>
      <c r="E193" t="inlineStr">
        <is>
          <t>Exceptional</t>
        </is>
      </c>
      <c r="H193" t="inlineStr">
        <is>
          <t>Solved: current place verified and archived 2026-10-16.</t>
        </is>
      </c>
      <c r="I193" t="inlineStr">
        <is>
          <t>RelicArcane</t>
        </is>
      </c>
      <c r="M193" t="inlineStr">
        <is>
          <t>Vaulted: obtain by trading with other players.</t>
        </is>
      </c>
      <c r="N193" t="inlineStr">
        <is>
          <t>Lith B12</t>
        </is>
      </c>
      <c r="O193" t="inlineStr">
        <is>
          <t>Saved a concrete acquisition place from the official Warframe Wiki. Lith B12 relic page: vaulted.</t>
        </is>
      </c>
    </row>
    <row r="194">
      <c r="A194" t="inlineStr">
        <is>
          <t>/Lotus/Types/Game/Projections/T1VoidProjectionCitrinePrimeDBronze</t>
        </is>
      </c>
      <c r="B194" t="inlineStr">
        <is>
          <t>Lith C15 Relic</t>
        </is>
      </c>
      <c r="C194" t="inlineStr">
        <is>
          <t>https://wiki.warframe.com/w/Lith_C15</t>
        </is>
      </c>
      <c r="D194" t="inlineStr">
        <is>
          <t>ExportRelics</t>
        </is>
      </c>
      <c r="E194" t="inlineStr">
        <is>
          <t>Intact</t>
        </is>
      </c>
      <c r="H194" t="inlineStr">
        <is>
          <t>Solved: current place verified and archived 2026-10-16.</t>
        </is>
      </c>
      <c r="I194" t="inlineStr">
        <is>
          <t>RelicArcane</t>
        </is>
      </c>
      <c r="M194" t="inlineStr">
        <is>
          <t>Dropped by Profit-Taker Orb Bounty Phase 2 (rotation A), Mars Disruption (rotation A, B) and Tier 1 Void Capture (rotation A).</t>
        </is>
      </c>
      <c r="N194" t="inlineStr">
        <is>
          <t>Lith C15</t>
        </is>
      </c>
      <c r="O194" t="inlineStr">
        <is>
          <t>Saved a concrete acquisition place from the official Warframe Wiki. Lith C15 relic page: mission drop table and other sources.</t>
        </is>
      </c>
    </row>
    <row r="195">
      <c r="A195" t="inlineStr">
        <is>
          <t>/Lotus/Types/Game/Projections/T1VoidProjectionCitrinePrimeDGold</t>
        </is>
      </c>
      <c r="B195" t="inlineStr">
        <is>
          <t>Lith C15 Relic</t>
        </is>
      </c>
      <c r="C195" t="inlineStr">
        <is>
          <t>https://wiki.warframe.com/w/Lith_C15</t>
        </is>
      </c>
      <c r="D195" t="inlineStr">
        <is>
          <t>ExportRelics</t>
        </is>
      </c>
      <c r="E195" t="inlineStr">
        <is>
          <t>Flawless</t>
        </is>
      </c>
      <c r="H195" t="inlineStr">
        <is>
          <t>Solved: current place verified and archived 2026-10-16.</t>
        </is>
      </c>
      <c r="I195" t="inlineStr">
        <is>
          <t>RelicArcane</t>
        </is>
      </c>
      <c r="M195" t="inlineStr">
        <is>
          <t>Dropped by Profit-Taker Orb Bounty Phase 2 (rotation A), Mars Disruption (rotation A, B) and Tier 1 Void Capture (rotation A).</t>
        </is>
      </c>
      <c r="N195" t="inlineStr">
        <is>
          <t>Lith C15</t>
        </is>
      </c>
      <c r="O195" t="inlineStr">
        <is>
          <t>Saved a concrete acquisition place from the official Warframe Wiki. Lith C15 relic page: mission drop table and other sources.</t>
        </is>
      </c>
    </row>
    <row r="196">
      <c r="A196" t="inlineStr">
        <is>
          <t>/Lotus/Types/Game/Projections/T1VoidProjectionCitrinePrimeDPlatinum</t>
        </is>
      </c>
      <c r="B196" t="inlineStr">
        <is>
          <t>Lith C15 Relic</t>
        </is>
      </c>
      <c r="C196" t="inlineStr">
        <is>
          <t>https://wiki.warframe.com/w/Lith_C15</t>
        </is>
      </c>
      <c r="D196" t="inlineStr">
        <is>
          <t>ExportRelics</t>
        </is>
      </c>
      <c r="E196" t="inlineStr">
        <is>
          <t>Radiant</t>
        </is>
      </c>
      <c r="H196" t="inlineStr">
        <is>
          <t>Solved: current place verified and archived 2026-10-16.</t>
        </is>
      </c>
      <c r="I196" t="inlineStr">
        <is>
          <t>RelicArcane</t>
        </is>
      </c>
      <c r="M196" t="inlineStr">
        <is>
          <t>Dropped by Profit-Taker Orb Bounty Phase 2 (rotation A), Mars Disruption (rotation A, B) and Tier 1 Void Capture (rotation A).</t>
        </is>
      </c>
      <c r="N196" t="inlineStr">
        <is>
          <t>Lith C15</t>
        </is>
      </c>
      <c r="O196" t="inlineStr">
        <is>
          <t>Saved a concrete acquisition place from the official Warframe Wiki. Lith C15 relic page: mission drop table and other sources.</t>
        </is>
      </c>
    </row>
    <row r="197">
      <c r="A197" t="inlineStr">
        <is>
          <t>/Lotus/Types/Game/Projections/T1VoidProjectionCitrinePrimeDSilver</t>
        </is>
      </c>
      <c r="B197" t="inlineStr">
        <is>
          <t>Lith C15 Relic</t>
        </is>
      </c>
      <c r="C197" t="inlineStr">
        <is>
          <t>https://wiki.warframe.com/w/Lith_C15</t>
        </is>
      </c>
      <c r="D197" t="inlineStr">
        <is>
          <t>ExportRelics</t>
        </is>
      </c>
      <c r="E197" t="inlineStr">
        <is>
          <t>Exceptional</t>
        </is>
      </c>
      <c r="H197" t="inlineStr">
        <is>
          <t>Solved: current place verified and archived 2026-10-16.</t>
        </is>
      </c>
      <c r="I197" t="inlineStr">
        <is>
          <t>RelicArcane</t>
        </is>
      </c>
      <c r="M197" t="inlineStr">
        <is>
          <t>Dropped by Profit-Taker Orb Bounty Phase 2 (rotation A), Mars Disruption (rotation A, B) and Tier 1 Void Capture (rotation A).</t>
        </is>
      </c>
      <c r="N197" t="inlineStr">
        <is>
          <t>Lith C15</t>
        </is>
      </c>
      <c r="O197" t="inlineStr">
        <is>
          <t>Saved a concrete acquisition place from the official Warframe Wiki. Lith C15 relic page: mission drop table and other sources.</t>
        </is>
      </c>
    </row>
    <row r="198">
      <c r="A198" t="inlineStr">
        <is>
          <t>/Lotus/Types/Game/Projections/T1VoidProjectionCitrinePrimeBBronze</t>
        </is>
      </c>
      <c r="B198" t="inlineStr">
        <is>
          <t>Lith L8 Relic</t>
        </is>
      </c>
      <c r="C198" t="inlineStr">
        <is>
          <t>https://wiki.warframe.com/w/Lith_L8</t>
        </is>
      </c>
      <c r="D198" t="inlineStr">
        <is>
          <t>ExportRelics</t>
        </is>
      </c>
      <c r="E198" t="inlineStr">
        <is>
          <t>Intact</t>
        </is>
      </c>
      <c r="H198" t="inlineStr">
        <is>
          <t>Solved: current place verified and archived 2026-10-16.</t>
        </is>
      </c>
      <c r="I198" t="inlineStr">
        <is>
          <t>RelicArcane</t>
        </is>
      </c>
      <c r="M198" t="inlineStr">
        <is>
          <t>Dropped by Profit-Taker Orb Bounty Phase 1 (rotation A), Mars Disruption (rotation A, B) and Tier 1 Void Capture (rotation A).</t>
        </is>
      </c>
      <c r="N198" t="inlineStr">
        <is>
          <t>Lith L8</t>
        </is>
      </c>
      <c r="O198" t="inlineStr">
        <is>
          <t>Saved a concrete acquisition place from the official Warframe Wiki. Lith L8 relic page: mission drop table and other sources.</t>
        </is>
      </c>
    </row>
    <row r="199">
      <c r="A199" t="inlineStr">
        <is>
          <t>/Lotus/Types/Game/Projections/T1VoidProjectionCitrinePrimeBGold</t>
        </is>
      </c>
      <c r="B199" t="inlineStr">
        <is>
          <t>Lith L8 Relic</t>
        </is>
      </c>
      <c r="C199" t="inlineStr">
        <is>
          <t>https://wiki.warframe.com/w/Lith_L8</t>
        </is>
      </c>
      <c r="D199" t="inlineStr">
        <is>
          <t>ExportRelics</t>
        </is>
      </c>
      <c r="E199" t="inlineStr">
        <is>
          <t>Flawless</t>
        </is>
      </c>
      <c r="H199" t="inlineStr">
        <is>
          <t>Solved: current place verified and archived 2026-10-16.</t>
        </is>
      </c>
      <c r="I199" t="inlineStr">
        <is>
          <t>RelicArcane</t>
        </is>
      </c>
      <c r="M199" t="inlineStr">
        <is>
          <t>Dropped by Profit-Taker Orb Bounty Phase 1 (rotation A), Mars Disruption (rotation A, B) and Tier 1 Void Capture (rotation A).</t>
        </is>
      </c>
      <c r="N199" t="inlineStr">
        <is>
          <t>Lith L8</t>
        </is>
      </c>
      <c r="O199" t="inlineStr">
        <is>
          <t>Saved a concrete acquisition place from the official Warframe Wiki. Lith L8 relic page: mission drop table and other sources.</t>
        </is>
      </c>
    </row>
    <row r="200">
      <c r="A200" t="inlineStr">
        <is>
          <t>/Lotus/Types/Game/Projections/T1VoidProjectionCitrinePrimeBPlatinum</t>
        </is>
      </c>
      <c r="B200" t="inlineStr">
        <is>
          <t>Lith L8 Relic</t>
        </is>
      </c>
      <c r="C200" t="inlineStr">
        <is>
          <t>https://wiki.warframe.com/w/Lith_L8</t>
        </is>
      </c>
      <c r="D200" t="inlineStr">
        <is>
          <t>ExportRelics</t>
        </is>
      </c>
      <c r="E200" t="inlineStr">
        <is>
          <t>Radiant</t>
        </is>
      </c>
      <c r="H200" t="inlineStr">
        <is>
          <t>Solved: current place verified and archived 2026-10-16.</t>
        </is>
      </c>
      <c r="I200" t="inlineStr">
        <is>
          <t>RelicArcane</t>
        </is>
      </c>
      <c r="M200" t="inlineStr">
        <is>
          <t>Dropped by Profit-Taker Orb Bounty Phase 1 (rotation A), Mars Disruption (rotation A, B) and Tier 1 Void Capture (rotation A).</t>
        </is>
      </c>
      <c r="N200" t="inlineStr">
        <is>
          <t>Lith L8</t>
        </is>
      </c>
      <c r="O200" t="inlineStr">
        <is>
          <t>Saved a concrete acquisition place from the official Warframe Wiki. Lith L8 relic page: mission drop table and other sources.</t>
        </is>
      </c>
    </row>
    <row r="201">
      <c r="A201" t="inlineStr">
        <is>
          <t>/Lotus/Types/Game/Projections/T1VoidProjectionCitrinePrimeBSilver</t>
        </is>
      </c>
      <c r="B201" t="inlineStr">
        <is>
          <t>Lith L8 Relic</t>
        </is>
      </c>
      <c r="C201" t="inlineStr">
        <is>
          <t>https://wiki.warframe.com/w/Lith_L8</t>
        </is>
      </c>
      <c r="D201" t="inlineStr">
        <is>
          <t>ExportRelics</t>
        </is>
      </c>
      <c r="E201" t="inlineStr">
        <is>
          <t>Exceptional</t>
        </is>
      </c>
      <c r="H201" t="inlineStr">
        <is>
          <t>Solved: current place verified and archived 2026-10-16.</t>
        </is>
      </c>
      <c r="I201" t="inlineStr">
        <is>
          <t>RelicArcane</t>
        </is>
      </c>
      <c r="M201" t="inlineStr">
        <is>
          <t>Dropped by Profit-Taker Orb Bounty Phase 1 (rotation A), Mars Disruption (rotation A, B) and Tier 1 Void Capture (rotation A).</t>
        </is>
      </c>
      <c r="N201" t="inlineStr">
        <is>
          <t>Lith L8</t>
        </is>
      </c>
      <c r="O201" t="inlineStr">
        <is>
          <t>Saved a concrete acquisition place from the official Warframe Wiki. Lith L8 relic page: mission drop table and other sources.</t>
        </is>
      </c>
    </row>
    <row r="202">
      <c r="A202" t="inlineStr">
        <is>
          <t>/Lotus/Types/Game/Projections/T1VoidProjectionCitrinePrimeCBronze</t>
        </is>
      </c>
      <c r="B202" t="inlineStr">
        <is>
          <t>Lith S19 Relic</t>
        </is>
      </c>
      <c r="C202" t="inlineStr">
        <is>
          <t>https://wiki.warframe.com/w/Lith_S19</t>
        </is>
      </c>
      <c r="D202" t="inlineStr">
        <is>
          <t>ExportRelics</t>
        </is>
      </c>
      <c r="E202" t="inlineStr">
        <is>
          <t>Intact</t>
        </is>
      </c>
      <c r="H202" t="inlineStr">
        <is>
          <t>Solved: current place verified and archived 2026-10-16.</t>
        </is>
      </c>
      <c r="I202" t="inlineStr">
        <is>
          <t>RelicArcane</t>
        </is>
      </c>
      <c r="M202" t="inlineStr">
        <is>
          <t>Dropped by Mars Disruption (rotation A, B) and Tier 1 Void Capture (rotation A).</t>
        </is>
      </c>
      <c r="N202" t="inlineStr">
        <is>
          <t>Lith S19</t>
        </is>
      </c>
      <c r="O202" t="inlineStr">
        <is>
          <t>Saved a concrete acquisition place from the official Warframe Wiki. Lith S19 relic page: mission drop table and other sources.</t>
        </is>
      </c>
    </row>
    <row r="203">
      <c r="A203" t="inlineStr">
        <is>
          <t>/Lotus/Types/Game/Projections/T1VoidProjectionCitrinePrimeCGold</t>
        </is>
      </c>
      <c r="B203" t="inlineStr">
        <is>
          <t>Lith S19 Relic</t>
        </is>
      </c>
      <c r="C203" t="inlineStr">
        <is>
          <t>https://wiki.warframe.com/w/Lith_S19</t>
        </is>
      </c>
      <c r="D203" t="inlineStr">
        <is>
          <t>ExportRelics</t>
        </is>
      </c>
      <c r="E203" t="inlineStr">
        <is>
          <t>Flawless</t>
        </is>
      </c>
      <c r="H203" t="inlineStr">
        <is>
          <t>Solved: current place verified and archived 2026-10-16.</t>
        </is>
      </c>
      <c r="I203" t="inlineStr">
        <is>
          <t>RelicArcane</t>
        </is>
      </c>
      <c r="M203" t="inlineStr">
        <is>
          <t>Dropped by Mars Disruption (rotation A, B) and Tier 1 Void Capture (rotation A).</t>
        </is>
      </c>
      <c r="N203" t="inlineStr">
        <is>
          <t>Lith S19</t>
        </is>
      </c>
      <c r="O203" t="inlineStr">
        <is>
          <t>Saved a concrete acquisition place from the official Warframe Wiki. Lith S19 relic page: mission drop table and other sources.</t>
        </is>
      </c>
    </row>
    <row r="204">
      <c r="A204" t="inlineStr">
        <is>
          <t>/Lotus/Types/Game/Projections/T1VoidProjectionCitrinePrimeCPlatinum</t>
        </is>
      </c>
      <c r="B204" t="inlineStr">
        <is>
          <t>Lith S19 Relic</t>
        </is>
      </c>
      <c r="C204" t="inlineStr">
        <is>
          <t>https://wiki.warframe.com/w/Lith_S19</t>
        </is>
      </c>
      <c r="D204" t="inlineStr">
        <is>
          <t>ExportRelics</t>
        </is>
      </c>
      <c r="E204" t="inlineStr">
        <is>
          <t>Radiant</t>
        </is>
      </c>
      <c r="H204" t="inlineStr">
        <is>
          <t>Solved: current place verified and archived 2026-10-16.</t>
        </is>
      </c>
      <c r="I204" t="inlineStr">
        <is>
          <t>RelicArcane</t>
        </is>
      </c>
      <c r="M204" t="inlineStr">
        <is>
          <t>Dropped by Mars Disruption (rotation A, B) and Tier 1 Void Capture (rotation A).</t>
        </is>
      </c>
      <c r="N204" t="inlineStr">
        <is>
          <t>Lith S19</t>
        </is>
      </c>
      <c r="O204" t="inlineStr">
        <is>
          <t>Saved a concrete acquisition place from the official Warframe Wiki. Lith S19 relic page: mission drop table and other sources.</t>
        </is>
      </c>
    </row>
    <row r="205">
      <c r="A205" t="inlineStr">
        <is>
          <t>/Lotus/Types/Game/Projections/T1VoidProjectionCitrinePrimeCSilver</t>
        </is>
      </c>
      <c r="B205" t="inlineStr">
        <is>
          <t>Lith S19 Relic</t>
        </is>
      </c>
      <c r="C205" t="inlineStr">
        <is>
          <t>https://wiki.warframe.com/w/Lith_S19</t>
        </is>
      </c>
      <c r="D205" t="inlineStr">
        <is>
          <t>ExportRelics</t>
        </is>
      </c>
      <c r="E205" t="inlineStr">
        <is>
          <t>Exceptional</t>
        </is>
      </c>
      <c r="H205" t="inlineStr">
        <is>
          <t>Solved: current place verified and archived 2026-10-16.</t>
        </is>
      </c>
      <c r="I205" t="inlineStr">
        <is>
          <t>RelicArcane</t>
        </is>
      </c>
      <c r="M205" t="inlineStr">
        <is>
          <t>Dropped by Mars Disruption (rotation A, B) and Tier 1 Void Capture (rotation A).</t>
        </is>
      </c>
      <c r="N205" t="inlineStr">
        <is>
          <t>Lith S19</t>
        </is>
      </c>
      <c r="O205" t="inlineStr">
        <is>
          <t>Saved a concrete acquisition place from the official Warframe Wiki. Lith S19 relic page: mission drop table and other sources.</t>
        </is>
      </c>
    </row>
    <row r="206">
      <c r="A206" t="inlineStr">
        <is>
          <t>/Lotus/Types/Game/Projections/T2VoidProjectionCitrinePrimeABronze</t>
        </is>
      </c>
      <c r="B206" t="inlineStr">
        <is>
          <t>Meso C11 Relic</t>
        </is>
      </c>
      <c r="C206" t="inlineStr">
        <is>
          <t>https://wiki.warframe.com/w/Meso_C11</t>
        </is>
      </c>
      <c r="D206" t="inlineStr">
        <is>
          <t>ExportRelics</t>
        </is>
      </c>
      <c r="E206" t="inlineStr">
        <is>
          <t>Intact</t>
        </is>
      </c>
      <c r="H206" t="inlineStr">
        <is>
          <t>Solved: current place verified and archived 2026-10-16.</t>
        </is>
      </c>
      <c r="I206" t="inlineStr">
        <is>
          <t>RelicArcane</t>
        </is>
      </c>
      <c r="M206" t="inlineStr">
        <is>
          <t>Dropped by Mars Disruption (rotation C), Sedna Disruption (rotation A), Uranus (Dark Sector) Disruption (rotation A) and other missions.</t>
        </is>
      </c>
      <c r="N206" t="inlineStr">
        <is>
          <t>Meso C11</t>
        </is>
      </c>
      <c r="O206" t="inlineStr">
        <is>
          <t>Saved a concrete acquisition place from the official Warframe Wiki. Meso C11 relic page: mission drop table and other sources.</t>
        </is>
      </c>
    </row>
    <row r="207">
      <c r="A207" t="inlineStr">
        <is>
          <t>/Lotus/Types/Game/Projections/T2VoidProjectionCitrinePrimeAGold</t>
        </is>
      </c>
      <c r="B207" t="inlineStr">
        <is>
          <t>Meso C11 Relic</t>
        </is>
      </c>
      <c r="C207" t="inlineStr">
        <is>
          <t>https://wiki.warframe.com/w/Meso_C11</t>
        </is>
      </c>
      <c r="D207" t="inlineStr">
        <is>
          <t>ExportRelics</t>
        </is>
      </c>
      <c r="E207" t="inlineStr">
        <is>
          <t>Flawless</t>
        </is>
      </c>
      <c r="H207" t="inlineStr">
        <is>
          <t>Solved: current place verified and archived 2026-10-16.</t>
        </is>
      </c>
      <c r="I207" t="inlineStr">
        <is>
          <t>RelicArcane</t>
        </is>
      </c>
      <c r="M207" t="inlineStr">
        <is>
          <t>Dropped by Mars Disruption (rotation C), Sedna Disruption (rotation A), Uranus (Dark Sector) Disruption (rotation A) and other missions.</t>
        </is>
      </c>
      <c r="N207" t="inlineStr">
        <is>
          <t>Meso C11</t>
        </is>
      </c>
      <c r="O207" t="inlineStr">
        <is>
          <t>Saved a concrete acquisition place from the official Warframe Wiki. Meso C11 relic page: mission drop table and other sources.</t>
        </is>
      </c>
    </row>
    <row r="208">
      <c r="A208" t="inlineStr">
        <is>
          <t>/Lotus/Types/Game/Projections/T2VoidProjectionCitrinePrimeAPlatinum</t>
        </is>
      </c>
      <c r="B208" t="inlineStr">
        <is>
          <t>Meso C11 Relic</t>
        </is>
      </c>
      <c r="C208" t="inlineStr">
        <is>
          <t>https://wiki.warframe.com/w/Meso_C11</t>
        </is>
      </c>
      <c r="D208" t="inlineStr">
        <is>
          <t>ExportRelics</t>
        </is>
      </c>
      <c r="E208" t="inlineStr">
        <is>
          <t>Radiant</t>
        </is>
      </c>
      <c r="H208" t="inlineStr">
        <is>
          <t>Solved: current place verified and archived 2026-10-16.</t>
        </is>
      </c>
      <c r="I208" t="inlineStr">
        <is>
          <t>RelicArcane</t>
        </is>
      </c>
      <c r="M208" t="inlineStr">
        <is>
          <t>Dropped by Mars Disruption (rotation C), Sedna Disruption (rotation A), Uranus (Dark Sector) Disruption (rotation A) and other missions.</t>
        </is>
      </c>
      <c r="N208" t="inlineStr">
        <is>
          <t>Meso C11</t>
        </is>
      </c>
      <c r="O208" t="inlineStr">
        <is>
          <t>Saved a concrete acquisition place from the official Warframe Wiki. Meso C11 relic page: mission drop table and other sources.</t>
        </is>
      </c>
    </row>
    <row r="209">
      <c r="A209" t="inlineStr">
        <is>
          <t>/Lotus/Types/Game/Projections/T2VoidProjectionCitrinePrimeASilver</t>
        </is>
      </c>
      <c r="B209" t="inlineStr">
        <is>
          <t>Meso C11 Relic</t>
        </is>
      </c>
      <c r="C209" t="inlineStr">
        <is>
          <t>https://wiki.warframe.com/w/Meso_C11</t>
        </is>
      </c>
      <c r="D209" t="inlineStr">
        <is>
          <t>ExportRelics</t>
        </is>
      </c>
      <c r="E209" t="inlineStr">
        <is>
          <t>Exceptional</t>
        </is>
      </c>
      <c r="H209" t="inlineStr">
        <is>
          <t>Solved: current place verified and archived 2026-10-16.</t>
        </is>
      </c>
      <c r="I209" t="inlineStr">
        <is>
          <t>RelicArcane</t>
        </is>
      </c>
      <c r="M209" t="inlineStr">
        <is>
          <t>Dropped by Mars Disruption (rotation C), Sedna Disruption (rotation A), Uranus (Dark Sector) Disruption (rotation A) and other missions.</t>
        </is>
      </c>
      <c r="N209" t="inlineStr">
        <is>
          <t>Meso C11</t>
        </is>
      </c>
      <c r="O209" t="inlineStr">
        <is>
          <t>Saved a concrete acquisition place from the official Warframe Wiki. Meso C11 relic page: mission drop table and other sources.</t>
        </is>
      </c>
    </row>
    <row r="210">
      <c r="A210" t="inlineStr">
        <is>
          <t>/Lotus/Types/Game/Projections/T2VoidProjectionCitrinePrimeCBronze</t>
        </is>
      </c>
      <c r="B210" t="inlineStr">
        <is>
          <t>Meso D9 Relic</t>
        </is>
      </c>
      <c r="C210" t="inlineStr">
        <is>
          <t>https://wiki.warframe.com/w/Meso_D9</t>
        </is>
      </c>
      <c r="D210" t="inlineStr">
        <is>
          <t>ExportRelics</t>
        </is>
      </c>
      <c r="E210" t="inlineStr">
        <is>
          <t>Intact</t>
        </is>
      </c>
      <c r="H210" t="inlineStr">
        <is>
          <t>Solved: current place verified and archived 2026-10-16.</t>
        </is>
      </c>
      <c r="I210" t="inlineStr">
        <is>
          <t>RelicArcane</t>
        </is>
      </c>
      <c r="M210" t="inlineStr">
        <is>
          <t>Dropped by Mars Disruption (rotation C), Sedna Disruption (rotation A), Uranus (Dark Sector) Disruption (rotation A) and other missions.</t>
        </is>
      </c>
      <c r="N210" t="inlineStr">
        <is>
          <t>Meso D9</t>
        </is>
      </c>
      <c r="O210" t="inlineStr">
        <is>
          <t>Saved a concrete acquisition place from the official Warframe Wiki. Meso D9 relic page: mission drop table and other sources.</t>
        </is>
      </c>
    </row>
    <row r="211">
      <c r="A211" t="inlineStr">
        <is>
          <t>/Lotus/Types/Game/Projections/T2VoidProjectionCitrinePrimeCGold</t>
        </is>
      </c>
      <c r="B211" t="inlineStr">
        <is>
          <t>Meso D9 Relic</t>
        </is>
      </c>
      <c r="C211" t="inlineStr">
        <is>
          <t>https://wiki.warframe.com/w/Meso_D9</t>
        </is>
      </c>
      <c r="D211" t="inlineStr">
        <is>
          <t>ExportRelics</t>
        </is>
      </c>
      <c r="E211" t="inlineStr">
        <is>
          <t>Flawless</t>
        </is>
      </c>
      <c r="H211" t="inlineStr">
        <is>
          <t>Solved: current place verified and archived 2026-10-16.</t>
        </is>
      </c>
      <c r="I211" t="inlineStr">
        <is>
          <t>RelicArcane</t>
        </is>
      </c>
      <c r="M211" t="inlineStr">
        <is>
          <t>Dropped by Mars Disruption (rotation C), Sedna Disruption (rotation A), Uranus (Dark Sector) Disruption (rotation A) and other missions.</t>
        </is>
      </c>
      <c r="N211" t="inlineStr">
        <is>
          <t>Meso D9</t>
        </is>
      </c>
      <c r="O211" t="inlineStr">
        <is>
          <t>Saved a concrete acquisition place from the official Warframe Wiki. Meso D9 relic page: mission drop table and other sources.</t>
        </is>
      </c>
    </row>
    <row r="212">
      <c r="A212" t="inlineStr">
        <is>
          <t>/Lotus/Types/Game/Projections/T2VoidProjectionCitrinePrimeCPlatinum</t>
        </is>
      </c>
      <c r="B212" t="inlineStr">
        <is>
          <t>Meso D9 Relic</t>
        </is>
      </c>
      <c r="C212" t="inlineStr">
        <is>
          <t>https://wiki.warframe.com/w/Meso_D9</t>
        </is>
      </c>
      <c r="D212" t="inlineStr">
        <is>
          <t>ExportRelics</t>
        </is>
      </c>
      <c r="E212" t="inlineStr">
        <is>
          <t>Radiant</t>
        </is>
      </c>
      <c r="H212" t="inlineStr">
        <is>
          <t>Solved: current place verified and archived 2026-10-16.</t>
        </is>
      </c>
      <c r="I212" t="inlineStr">
        <is>
          <t>RelicArcane</t>
        </is>
      </c>
      <c r="M212" t="inlineStr">
        <is>
          <t>Dropped by Mars Disruption (rotation C), Sedna Disruption (rotation A), Uranus (Dark Sector) Disruption (rotation A) and other missions.</t>
        </is>
      </c>
      <c r="N212" t="inlineStr">
        <is>
          <t>Meso D9</t>
        </is>
      </c>
      <c r="O212" t="inlineStr">
        <is>
          <t>Saved a concrete acquisition place from the official Warframe Wiki. Meso D9 relic page: mission drop table and other sources.</t>
        </is>
      </c>
    </row>
    <row r="213">
      <c r="A213" t="inlineStr">
        <is>
          <t>/Lotus/Types/Game/Projections/T2VoidProjectionCitrinePrimeCSilver</t>
        </is>
      </c>
      <c r="B213" t="inlineStr">
        <is>
          <t>Meso D9 Relic</t>
        </is>
      </c>
      <c r="C213" t="inlineStr">
        <is>
          <t>https://wiki.warframe.com/w/Meso_D9</t>
        </is>
      </c>
      <c r="D213" t="inlineStr">
        <is>
          <t>ExportRelics</t>
        </is>
      </c>
      <c r="E213" t="inlineStr">
        <is>
          <t>Exceptional</t>
        </is>
      </c>
      <c r="H213" t="inlineStr">
        <is>
          <t>Solved: current place verified and archived 2026-10-16.</t>
        </is>
      </c>
      <c r="I213" t="inlineStr">
        <is>
          <t>RelicArcane</t>
        </is>
      </c>
      <c r="M213" t="inlineStr">
        <is>
          <t>Dropped by Mars Disruption (rotation C), Sedna Disruption (rotation A), Uranus (Dark Sector) Disruption (rotation A) and other missions.</t>
        </is>
      </c>
      <c r="N213" t="inlineStr">
        <is>
          <t>Meso D9</t>
        </is>
      </c>
      <c r="O213" t="inlineStr">
        <is>
          <t>Saved a concrete acquisition place from the official Warframe Wiki. Meso D9 relic page: mission drop table and other sources.</t>
        </is>
      </c>
    </row>
    <row r="214">
      <c r="A214" t="inlineStr">
        <is>
          <t>/Lotus/Types/Game/Projections/T2VoidProjectionProteaIvaraVaultABronze</t>
        </is>
      </c>
      <c r="B214" t="inlineStr">
        <is>
          <t>Meso I3 Relic</t>
        </is>
      </c>
      <c r="C214" t="inlineStr">
        <is>
          <t>https://wiki.warframe.com/w/Meso_I3</t>
        </is>
      </c>
      <c r="D214" t="inlineStr">
        <is>
          <t>ExportRelics</t>
        </is>
      </c>
      <c r="E214" t="inlineStr">
        <is>
          <t>Intact</t>
        </is>
      </c>
      <c r="H214" t="inlineStr">
        <is>
          <t>Solved: current place verified and archived 2026-10-16.</t>
        </is>
      </c>
      <c r="I214" t="inlineStr">
        <is>
          <t>RelicArcane</t>
        </is>
      </c>
      <c r="M214" t="inlineStr">
        <is>
          <t>Vaulted: obtain by trading with other players.</t>
        </is>
      </c>
      <c r="N214" t="inlineStr">
        <is>
          <t>Meso I3</t>
        </is>
      </c>
      <c r="O214" t="inlineStr">
        <is>
          <t>Saved a concrete acquisition place from the official Warframe Wiki. Meso I3 relic page: vaulted.</t>
        </is>
      </c>
    </row>
    <row r="215">
      <c r="A215" t="inlineStr">
        <is>
          <t>/Lotus/Types/Game/Projections/T2VoidProjectionProteaIvaraVaultAGold</t>
        </is>
      </c>
      <c r="B215" t="inlineStr">
        <is>
          <t>Meso I3 Relic</t>
        </is>
      </c>
      <c r="C215" t="inlineStr">
        <is>
          <t>https://wiki.warframe.com/w/Meso_I3</t>
        </is>
      </c>
      <c r="D215" t="inlineStr">
        <is>
          <t>ExportRelics</t>
        </is>
      </c>
      <c r="E215" t="inlineStr">
        <is>
          <t>Flawless</t>
        </is>
      </c>
      <c r="H215" t="inlineStr">
        <is>
          <t>Solved: current place verified and archived 2026-10-16.</t>
        </is>
      </c>
      <c r="I215" t="inlineStr">
        <is>
          <t>RelicArcane</t>
        </is>
      </c>
      <c r="M215" t="inlineStr">
        <is>
          <t>Vaulted: obtain by trading with other players.</t>
        </is>
      </c>
      <c r="N215" t="inlineStr">
        <is>
          <t>Meso I3</t>
        </is>
      </c>
      <c r="O215" t="inlineStr">
        <is>
          <t>Saved a concrete acquisition place from the official Warframe Wiki. Meso I3 relic page: vaulted.</t>
        </is>
      </c>
    </row>
    <row r="216">
      <c r="A216" t="inlineStr">
        <is>
          <t>/Lotus/Types/Game/Projections/T2VoidProjectionProteaIvaraVaultAPlatinum</t>
        </is>
      </c>
      <c r="B216" t="inlineStr">
        <is>
          <t>Meso I3 Relic</t>
        </is>
      </c>
      <c r="C216" t="inlineStr">
        <is>
          <t>https://wiki.warframe.com/w/Meso_I3</t>
        </is>
      </c>
      <c r="D216" t="inlineStr">
        <is>
          <t>ExportRelics</t>
        </is>
      </c>
      <c r="E216" t="inlineStr">
        <is>
          <t>Radiant</t>
        </is>
      </c>
      <c r="H216" t="inlineStr">
        <is>
          <t>Solved: current place verified and archived 2026-10-16.</t>
        </is>
      </c>
      <c r="I216" t="inlineStr">
        <is>
          <t>RelicArcane</t>
        </is>
      </c>
      <c r="M216" t="inlineStr">
        <is>
          <t>Vaulted: obtain by trading with other players.</t>
        </is>
      </c>
      <c r="N216" t="inlineStr">
        <is>
          <t>Meso I3</t>
        </is>
      </c>
      <c r="O216" t="inlineStr">
        <is>
          <t>Saved a concrete acquisition place from the official Warframe Wiki. Meso I3 relic page: vaulted.</t>
        </is>
      </c>
    </row>
    <row r="217">
      <c r="A217" t="inlineStr">
        <is>
          <t>/Lotus/Types/Game/Projections/T2VoidProjectionProteaIvaraVaultASilver</t>
        </is>
      </c>
      <c r="B217" t="inlineStr">
        <is>
          <t>Meso I3 Relic</t>
        </is>
      </c>
      <c r="C217" t="inlineStr">
        <is>
          <t>https://wiki.warframe.com/w/Meso_I3</t>
        </is>
      </c>
      <c r="D217" t="inlineStr">
        <is>
          <t>ExportRelics</t>
        </is>
      </c>
      <c r="E217" t="inlineStr">
        <is>
          <t>Exceptional</t>
        </is>
      </c>
      <c r="H217" t="inlineStr">
        <is>
          <t>Solved: current place verified and archived 2026-10-16.</t>
        </is>
      </c>
      <c r="I217" t="inlineStr">
        <is>
          <t>RelicArcane</t>
        </is>
      </c>
      <c r="M217" t="inlineStr">
        <is>
          <t>Vaulted: obtain by trading with other players.</t>
        </is>
      </c>
      <c r="N217" t="inlineStr">
        <is>
          <t>Meso I3</t>
        </is>
      </c>
      <c r="O217" t="inlineStr">
        <is>
          <t>Saved a concrete acquisition place from the official Warframe Wiki. Meso I3 relic page: vaulted.</t>
        </is>
      </c>
    </row>
    <row r="218">
      <c r="A218" t="inlineStr">
        <is>
          <t>/Lotus/Types/Game/Projections/T2VoidProjectionCitrinePrimeDBronze</t>
        </is>
      </c>
      <c r="B218" t="inlineStr">
        <is>
          <t>Meso K9 Relic</t>
        </is>
      </c>
      <c r="C218" t="inlineStr">
        <is>
          <t>https://wiki.warframe.com/w/Meso_K9</t>
        </is>
      </c>
      <c r="D218" t="inlineStr">
        <is>
          <t>ExportRelics</t>
        </is>
      </c>
      <c r="E218" t="inlineStr">
        <is>
          <t>Intact</t>
        </is>
      </c>
      <c r="H218" t="inlineStr">
        <is>
          <t>Solved: current place verified and archived 2026-10-16.</t>
        </is>
      </c>
      <c r="I218" t="inlineStr">
        <is>
          <t>RelicArcane</t>
        </is>
      </c>
      <c r="M218" t="inlineStr">
        <is>
          <t>Dropped by Deimos Entrati Disruption (rotation A), Tier 3 Void Capture (rotation A), Deimos Entrati Alchemy (rotation A) and other missions.</t>
        </is>
      </c>
      <c r="N218" t="inlineStr">
        <is>
          <t>Meso K9</t>
        </is>
      </c>
      <c r="O218" t="inlineStr">
        <is>
          <t>Saved a concrete acquisition place from the official Warframe Wiki. Meso K9 relic page: mission drop table and other sources.</t>
        </is>
      </c>
    </row>
    <row r="219">
      <c r="A219" t="inlineStr">
        <is>
          <t>/Lotus/Types/Game/Projections/T2VoidProjectionCitrinePrimeDGold</t>
        </is>
      </c>
      <c r="B219" t="inlineStr">
        <is>
          <t>Meso K9 Relic</t>
        </is>
      </c>
      <c r="C219" t="inlineStr">
        <is>
          <t>https://wiki.warframe.com/w/Meso_K9</t>
        </is>
      </c>
      <c r="D219" t="inlineStr">
        <is>
          <t>ExportRelics</t>
        </is>
      </c>
      <c r="E219" t="inlineStr">
        <is>
          <t>Flawless</t>
        </is>
      </c>
      <c r="H219" t="inlineStr">
        <is>
          <t>Solved: current place verified and archived 2026-10-16.</t>
        </is>
      </c>
      <c r="I219" t="inlineStr">
        <is>
          <t>RelicArcane</t>
        </is>
      </c>
      <c r="M219" t="inlineStr">
        <is>
          <t>Dropped by Deimos Entrati Disruption (rotation A), Tier 3 Void Capture (rotation A), Deimos Entrati Alchemy (rotation A) and other missions.</t>
        </is>
      </c>
      <c r="N219" t="inlineStr">
        <is>
          <t>Meso K9</t>
        </is>
      </c>
      <c r="O219" t="inlineStr">
        <is>
          <t>Saved a concrete acquisition place from the official Warframe Wiki. Meso K9 relic page: mission drop table and other sources.</t>
        </is>
      </c>
    </row>
    <row r="220">
      <c r="A220" t="inlineStr">
        <is>
          <t>/Lotus/Types/Game/Projections/T2VoidProjectionCitrinePrimeDPlatinum</t>
        </is>
      </c>
      <c r="B220" t="inlineStr">
        <is>
          <t>Meso K9 Relic</t>
        </is>
      </c>
      <c r="C220" t="inlineStr">
        <is>
          <t>https://wiki.warframe.com/w/Meso_K9</t>
        </is>
      </c>
      <c r="D220" t="inlineStr">
        <is>
          <t>ExportRelics</t>
        </is>
      </c>
      <c r="E220" t="inlineStr">
        <is>
          <t>Radiant</t>
        </is>
      </c>
      <c r="H220" t="inlineStr">
        <is>
          <t>Solved: current place verified and archived 2026-10-16.</t>
        </is>
      </c>
      <c r="I220" t="inlineStr">
        <is>
          <t>RelicArcane</t>
        </is>
      </c>
      <c r="M220" t="inlineStr">
        <is>
          <t>Dropped by Deimos Entrati Disruption (rotation A), Tier 3 Void Capture (rotation A), Deimos Entrati Alchemy (rotation A) and other missions.</t>
        </is>
      </c>
      <c r="N220" t="inlineStr">
        <is>
          <t>Meso K9</t>
        </is>
      </c>
      <c r="O220" t="inlineStr">
        <is>
          <t>Saved a concrete acquisition place from the official Warframe Wiki. Meso K9 relic page: mission drop table and other sources.</t>
        </is>
      </c>
    </row>
    <row r="221">
      <c r="A221" t="inlineStr">
        <is>
          <t>/Lotus/Types/Game/Projections/T2VoidProjectionCitrinePrimeDSilver</t>
        </is>
      </c>
      <c r="B221" t="inlineStr">
        <is>
          <t>Meso K9 Relic</t>
        </is>
      </c>
      <c r="C221" t="inlineStr">
        <is>
          <t>https://wiki.warframe.com/w/Meso_K9</t>
        </is>
      </c>
      <c r="D221" t="inlineStr">
        <is>
          <t>ExportRelics</t>
        </is>
      </c>
      <c r="E221" t="inlineStr">
        <is>
          <t>Exceptional</t>
        </is>
      </c>
      <c r="H221" t="inlineStr">
        <is>
          <t>Solved: current place verified and archived 2026-10-16.</t>
        </is>
      </c>
      <c r="I221" t="inlineStr">
        <is>
          <t>RelicArcane</t>
        </is>
      </c>
      <c r="M221" t="inlineStr">
        <is>
          <t>Dropped by Deimos Entrati Disruption (rotation A), Tier 3 Void Capture (rotation A), Deimos Entrati Alchemy (rotation A) and other missions.</t>
        </is>
      </c>
      <c r="N221" t="inlineStr">
        <is>
          <t>Meso K9</t>
        </is>
      </c>
      <c r="O221" t="inlineStr">
        <is>
          <t>Saved a concrete acquisition place from the official Warframe Wiki. Meso K9 relic page: mission drop table and other sources.</t>
        </is>
      </c>
    </row>
    <row r="222">
      <c r="A222" t="inlineStr">
        <is>
          <t>/Lotus/Types/Game/Projections/T2VoidProjectionProteaIvaraVaultBBronze</t>
        </is>
      </c>
      <c r="B222" t="inlineStr">
        <is>
          <t>Meso V16 Relic</t>
        </is>
      </c>
      <c r="C222" t="inlineStr">
        <is>
          <t>https://wiki.warframe.com/w/Meso_V16</t>
        </is>
      </c>
      <c r="D222" t="inlineStr">
        <is>
          <t>ExportRelics</t>
        </is>
      </c>
      <c r="E222" t="inlineStr">
        <is>
          <t>Intact</t>
        </is>
      </c>
      <c r="H222" t="inlineStr">
        <is>
          <t>Solved: current place verified and archived 2026-10-16.</t>
        </is>
      </c>
      <c r="I222" t="inlineStr">
        <is>
          <t>RelicArcane</t>
        </is>
      </c>
      <c r="M222" t="inlineStr">
        <is>
          <t>Vaulted: obtain by trading with other players.</t>
        </is>
      </c>
      <c r="N222" t="inlineStr">
        <is>
          <t>Meso V16</t>
        </is>
      </c>
      <c r="O222" t="inlineStr">
        <is>
          <t>Saved a concrete acquisition place from the official Warframe Wiki. Meso V16 relic page: vaulted.</t>
        </is>
      </c>
    </row>
    <row r="223">
      <c r="A223" t="inlineStr">
        <is>
          <t>/Lotus/Types/Game/Projections/T2VoidProjectionProteaIvaraVaultBGold</t>
        </is>
      </c>
      <c r="B223" t="inlineStr">
        <is>
          <t>Meso V16 Relic</t>
        </is>
      </c>
      <c r="C223" t="inlineStr">
        <is>
          <t>https://wiki.warframe.com/w/Meso_V16</t>
        </is>
      </c>
      <c r="D223" t="inlineStr">
        <is>
          <t>ExportRelics</t>
        </is>
      </c>
      <c r="E223" t="inlineStr">
        <is>
          <t>Flawless</t>
        </is>
      </c>
      <c r="H223" t="inlineStr">
        <is>
          <t>Solved: current place verified and archived 2026-10-16.</t>
        </is>
      </c>
      <c r="I223" t="inlineStr">
        <is>
          <t>RelicArcane</t>
        </is>
      </c>
      <c r="M223" t="inlineStr">
        <is>
          <t>Vaulted: obtain by trading with other players.</t>
        </is>
      </c>
      <c r="N223" t="inlineStr">
        <is>
          <t>Meso V16</t>
        </is>
      </c>
      <c r="O223" t="inlineStr">
        <is>
          <t>Saved a concrete acquisition place from the official Warframe Wiki. Meso V16 relic page: vaulted.</t>
        </is>
      </c>
    </row>
    <row r="224">
      <c r="A224" t="inlineStr">
        <is>
          <t>/Lotus/Types/Game/Projections/T2VoidProjectionProteaIvaraVaultBPlatinum</t>
        </is>
      </c>
      <c r="B224" t="inlineStr">
        <is>
          <t>Meso V16 Relic</t>
        </is>
      </c>
      <c r="C224" t="inlineStr">
        <is>
          <t>https://wiki.warframe.com/w/Meso_V16</t>
        </is>
      </c>
      <c r="D224" t="inlineStr">
        <is>
          <t>ExportRelics</t>
        </is>
      </c>
      <c r="E224" t="inlineStr">
        <is>
          <t>Radiant</t>
        </is>
      </c>
      <c r="H224" t="inlineStr">
        <is>
          <t>Solved: current place verified and archived 2026-10-16.</t>
        </is>
      </c>
      <c r="I224" t="inlineStr">
        <is>
          <t>RelicArcane</t>
        </is>
      </c>
      <c r="M224" t="inlineStr">
        <is>
          <t>Vaulted: obtain by trading with other players.</t>
        </is>
      </c>
      <c r="N224" t="inlineStr">
        <is>
          <t>Meso V16</t>
        </is>
      </c>
      <c r="O224" t="inlineStr">
        <is>
          <t>Saved a concrete acquisition place from the official Warframe Wiki. Meso V16 relic page: vaulted.</t>
        </is>
      </c>
    </row>
    <row r="225">
      <c r="A225" t="inlineStr">
        <is>
          <t>/Lotus/Types/Game/Projections/T2VoidProjectionProteaIvaraVaultBSilver</t>
        </is>
      </c>
      <c r="B225" t="inlineStr">
        <is>
          <t>Meso V16 Relic</t>
        </is>
      </c>
      <c r="C225" t="inlineStr">
        <is>
          <t>https://wiki.warframe.com/w/Meso_V16</t>
        </is>
      </c>
      <c r="D225" t="inlineStr">
        <is>
          <t>ExportRelics</t>
        </is>
      </c>
      <c r="E225" t="inlineStr">
        <is>
          <t>Exceptional</t>
        </is>
      </c>
      <c r="H225" t="inlineStr">
        <is>
          <t>Solved: current place verified and archived 2026-10-16.</t>
        </is>
      </c>
      <c r="I225" t="inlineStr">
        <is>
          <t>RelicArcane</t>
        </is>
      </c>
      <c r="M225" t="inlineStr">
        <is>
          <t>Vaulted: obtain by trading with other players.</t>
        </is>
      </c>
      <c r="N225" t="inlineStr">
        <is>
          <t>Meso V16</t>
        </is>
      </c>
      <c r="O225" t="inlineStr">
        <is>
          <t>Saved a concrete acquisition place from the official Warframe Wiki. Meso V16 relic page: vaulted.</t>
        </is>
      </c>
    </row>
    <row r="226">
      <c r="A226" t="inlineStr">
        <is>
          <t>/Lotus/Types/Game/Projections/T2VoidProjectionCitrinePrimeBBronze</t>
        </is>
      </c>
      <c r="B226" t="inlineStr">
        <is>
          <t>Meso V17 Relic</t>
        </is>
      </c>
      <c r="C226" t="inlineStr">
        <is>
          <t>https://wiki.warframe.com/w/Meso_V17</t>
        </is>
      </c>
      <c r="D226" t="inlineStr">
        <is>
          <t>ExportRelics</t>
        </is>
      </c>
      <c r="E226" t="inlineStr">
        <is>
          <t>Intact</t>
        </is>
      </c>
      <c r="H226" t="inlineStr">
        <is>
          <t>Solved: current place verified and archived 2026-10-16.</t>
        </is>
      </c>
      <c r="I226" t="inlineStr">
        <is>
          <t>RelicArcane</t>
        </is>
      </c>
      <c r="M226" t="inlineStr">
        <is>
          <t>Dropped by Mars Disruption (rotation C), Sedna Disruption (rotation A), Uranus (Dark Sector) Disruption (rotation A) and other missions.</t>
        </is>
      </c>
      <c r="N226" t="inlineStr">
        <is>
          <t>Meso V17</t>
        </is>
      </c>
      <c r="O226" t="inlineStr">
        <is>
          <t>Saved a concrete acquisition place from the official Warframe Wiki. Meso V17 relic page: mission drop table and other sources.</t>
        </is>
      </c>
    </row>
    <row r="227">
      <c r="A227" t="inlineStr">
        <is>
          <t>/Lotus/Types/Game/Projections/T2VoidProjectionCitrinePrimeBGold</t>
        </is>
      </c>
      <c r="B227" t="inlineStr">
        <is>
          <t>Meso V17 Relic</t>
        </is>
      </c>
      <c r="C227" t="inlineStr">
        <is>
          <t>https://wiki.warframe.com/w/Meso_V17</t>
        </is>
      </c>
      <c r="D227" t="inlineStr">
        <is>
          <t>ExportRelics</t>
        </is>
      </c>
      <c r="E227" t="inlineStr">
        <is>
          <t>Flawless</t>
        </is>
      </c>
      <c r="H227" t="inlineStr">
        <is>
          <t>Solved: current place verified and archived 2026-10-16.</t>
        </is>
      </c>
      <c r="I227" t="inlineStr">
        <is>
          <t>RelicArcane</t>
        </is>
      </c>
      <c r="M227" t="inlineStr">
        <is>
          <t>Dropped by Mars Disruption (rotation C), Sedna Disruption (rotation A), Uranus (Dark Sector) Disruption (rotation A) and other missions.</t>
        </is>
      </c>
      <c r="N227" t="inlineStr">
        <is>
          <t>Meso V17</t>
        </is>
      </c>
      <c r="O227" t="inlineStr">
        <is>
          <t>Saved a concrete acquisition place from the official Warframe Wiki. Meso V17 relic page: mission drop table and other sources.</t>
        </is>
      </c>
    </row>
    <row r="228">
      <c r="A228" t="inlineStr">
        <is>
          <t>/Lotus/Types/Game/Projections/T2VoidProjectionCitrinePrimeBPlatinum</t>
        </is>
      </c>
      <c r="B228" t="inlineStr">
        <is>
          <t>Meso V17 Relic</t>
        </is>
      </c>
      <c r="C228" t="inlineStr">
        <is>
          <t>https://wiki.warframe.com/w/Meso_V17</t>
        </is>
      </c>
      <c r="D228" t="inlineStr">
        <is>
          <t>ExportRelics</t>
        </is>
      </c>
      <c r="E228" t="inlineStr">
        <is>
          <t>Radiant</t>
        </is>
      </c>
      <c r="H228" t="inlineStr">
        <is>
          <t>Solved: current place verified and archived 2026-10-16.</t>
        </is>
      </c>
      <c r="I228" t="inlineStr">
        <is>
          <t>RelicArcane</t>
        </is>
      </c>
      <c r="M228" t="inlineStr">
        <is>
          <t>Dropped by Mars Disruption (rotation C), Sedna Disruption (rotation A), Uranus (Dark Sector) Disruption (rotation A) and other missions.</t>
        </is>
      </c>
      <c r="N228" t="inlineStr">
        <is>
          <t>Meso V17</t>
        </is>
      </c>
      <c r="O228" t="inlineStr">
        <is>
          <t>Saved a concrete acquisition place from the official Warframe Wiki. Meso V17 relic page: mission drop table and other sources.</t>
        </is>
      </c>
    </row>
    <row r="229">
      <c r="A229" t="inlineStr">
        <is>
          <t>/Lotus/Types/Game/Projections/T2VoidProjectionCitrinePrimeBSilver</t>
        </is>
      </c>
      <c r="B229" t="inlineStr">
        <is>
          <t>Meso V17 Relic</t>
        </is>
      </c>
      <c r="C229" t="inlineStr">
        <is>
          <t>https://wiki.warframe.com/w/Meso_V17</t>
        </is>
      </c>
      <c r="D229" t="inlineStr">
        <is>
          <t>ExportRelics</t>
        </is>
      </c>
      <c r="E229" t="inlineStr">
        <is>
          <t>Exceptional</t>
        </is>
      </c>
      <c r="H229" t="inlineStr">
        <is>
          <t>Solved: current place verified and archived 2026-10-16.</t>
        </is>
      </c>
      <c r="I229" t="inlineStr">
        <is>
          <t>RelicArcane</t>
        </is>
      </c>
      <c r="M229" t="inlineStr">
        <is>
          <t>Dropped by Mars Disruption (rotation C), Sedna Disruption (rotation A), Uranus (Dark Sector) Disruption (rotation A) and other missions.</t>
        </is>
      </c>
      <c r="N229" t="inlineStr">
        <is>
          <t>Meso V17</t>
        </is>
      </c>
      <c r="O229" t="inlineStr">
        <is>
          <t>Saved a concrete acquisition place from the official Warframe Wiki. Meso V17 relic page: mission drop table and other sources.</t>
        </is>
      </c>
    </row>
    <row r="230">
      <c r="A230" t="inlineStr">
        <is>
          <t>/Lotus/Types/Game/Projections/T3VoidProjectionCitrinePrimeABronze</t>
        </is>
      </c>
      <c r="B230" t="inlineStr">
        <is>
          <t>Neo C10 Relic</t>
        </is>
      </c>
      <c r="C230" t="inlineStr">
        <is>
          <t>https://wiki.warframe.com/w/Neo_C10</t>
        </is>
      </c>
      <c r="D230" t="inlineStr">
        <is>
          <t>ExportRelics</t>
        </is>
      </c>
      <c r="E230" t="inlineStr">
        <is>
          <t>Intact</t>
        </is>
      </c>
      <c r="H230" t="inlineStr">
        <is>
          <t>Solved: current place verified and archived 2026-10-16.</t>
        </is>
      </c>
      <c r="I230" t="inlineStr">
        <is>
          <t>RelicArcane</t>
        </is>
      </c>
      <c r="M230" t="inlineStr">
        <is>
          <t>Dropped by Lua Disruption (rotation A), Sedna Disruption (rotation B), Uranus (Dark Sector) Disruption (rotation B, C) and other missions.</t>
        </is>
      </c>
      <c r="N230" t="inlineStr">
        <is>
          <t>Neo C10</t>
        </is>
      </c>
      <c r="O230" t="inlineStr">
        <is>
          <t>Saved a concrete acquisition place from the official Warframe Wiki. Neo C10 relic page: mission drop table and other sources.</t>
        </is>
      </c>
    </row>
    <row r="231">
      <c r="A231" t="inlineStr">
        <is>
          <t>/Lotus/Types/Game/Projections/T3VoidProjectionCitrinePrimeAGold</t>
        </is>
      </c>
      <c r="B231" t="inlineStr">
        <is>
          <t>Neo C10 Relic</t>
        </is>
      </c>
      <c r="C231" t="inlineStr">
        <is>
          <t>https://wiki.warframe.com/w/Neo_C10</t>
        </is>
      </c>
      <c r="D231" t="inlineStr">
        <is>
          <t>ExportRelics</t>
        </is>
      </c>
      <c r="E231" t="inlineStr">
        <is>
          <t>Flawless</t>
        </is>
      </c>
      <c r="H231" t="inlineStr">
        <is>
          <t>Solved: current place verified and archived 2026-10-16.</t>
        </is>
      </c>
      <c r="I231" t="inlineStr">
        <is>
          <t>RelicArcane</t>
        </is>
      </c>
      <c r="M231" t="inlineStr">
        <is>
          <t>Dropped by Lua Disruption (rotation A), Sedna Disruption (rotation B), Uranus (Dark Sector) Disruption (rotation B, C) and other missions.</t>
        </is>
      </c>
      <c r="N231" t="inlineStr">
        <is>
          <t>Neo C10</t>
        </is>
      </c>
      <c r="O231" t="inlineStr">
        <is>
          <t>Saved a concrete acquisition place from the official Warframe Wiki. Neo C10 relic page: mission drop table and other sources.</t>
        </is>
      </c>
    </row>
    <row r="232">
      <c r="A232" t="inlineStr">
        <is>
          <t>/Lotus/Types/Game/Projections/T3VoidProjectionCitrinePrimeAPlatinum</t>
        </is>
      </c>
      <c r="B232" t="inlineStr">
        <is>
          <t>Neo C10 Relic</t>
        </is>
      </c>
      <c r="C232" t="inlineStr">
        <is>
          <t>https://wiki.warframe.com/w/Neo_C10</t>
        </is>
      </c>
      <c r="D232" t="inlineStr">
        <is>
          <t>ExportRelics</t>
        </is>
      </c>
      <c r="E232" t="inlineStr">
        <is>
          <t>Radiant</t>
        </is>
      </c>
      <c r="H232" t="inlineStr">
        <is>
          <t>Solved: current place verified and archived 2026-10-16.</t>
        </is>
      </c>
      <c r="I232" t="inlineStr">
        <is>
          <t>RelicArcane</t>
        </is>
      </c>
      <c r="M232" t="inlineStr">
        <is>
          <t>Dropped by Lua Disruption (rotation A), Sedna Disruption (rotation B), Uranus (Dark Sector) Disruption (rotation B, C) and other missions.</t>
        </is>
      </c>
      <c r="N232" t="inlineStr">
        <is>
          <t>Neo C10</t>
        </is>
      </c>
      <c r="O232" t="inlineStr">
        <is>
          <t>Saved a concrete acquisition place from the official Warframe Wiki. Neo C10 relic page: mission drop table and other sources.</t>
        </is>
      </c>
    </row>
    <row r="233">
      <c r="A233" t="inlineStr">
        <is>
          <t>/Lotus/Types/Game/Projections/T3VoidProjectionCitrinePrimeASilver</t>
        </is>
      </c>
      <c r="B233" t="inlineStr">
        <is>
          <t>Neo C10 Relic</t>
        </is>
      </c>
      <c r="C233" t="inlineStr">
        <is>
          <t>https://wiki.warframe.com/w/Neo_C10</t>
        </is>
      </c>
      <c r="D233" t="inlineStr">
        <is>
          <t>ExportRelics</t>
        </is>
      </c>
      <c r="E233" t="inlineStr">
        <is>
          <t>Exceptional</t>
        </is>
      </c>
      <c r="H233" t="inlineStr">
        <is>
          <t>Solved: current place verified and archived 2026-10-16.</t>
        </is>
      </c>
      <c r="I233" t="inlineStr">
        <is>
          <t>RelicArcane</t>
        </is>
      </c>
      <c r="M233" t="inlineStr">
        <is>
          <t>Dropped by Lua Disruption (rotation A), Sedna Disruption (rotation B), Uranus (Dark Sector) Disruption (rotation B, C) and other missions.</t>
        </is>
      </c>
      <c r="N233" t="inlineStr">
        <is>
          <t>Neo C10</t>
        </is>
      </c>
      <c r="O233" t="inlineStr">
        <is>
          <t>Saved a concrete acquisition place from the official Warframe Wiki. Neo C10 relic page: mission drop table and other sources.</t>
        </is>
      </c>
    </row>
    <row r="234">
      <c r="A234" t="inlineStr">
        <is>
          <t>/Lotus/Types/Game/Projections/T3VoidProjectionCitrinePrimeDBronze</t>
        </is>
      </c>
      <c r="B234" t="inlineStr">
        <is>
          <t>Neo C11 Relic</t>
        </is>
      </c>
      <c r="C234" t="inlineStr">
        <is>
          <t>https://wiki.warframe.com/w/Neo_C11</t>
        </is>
      </c>
      <c r="D234" t="inlineStr">
        <is>
          <t>ExportRelics</t>
        </is>
      </c>
      <c r="E234" t="inlineStr">
        <is>
          <t>Intact</t>
        </is>
      </c>
      <c r="H234" t="inlineStr">
        <is>
          <t>Solved: current place verified and archived 2026-10-16.</t>
        </is>
      </c>
      <c r="I234" t="inlineStr">
        <is>
          <t>RelicArcane</t>
        </is>
      </c>
      <c r="M234" t="inlineStr">
        <is>
          <t>Dropped by Lua Disruption (rotation A), Sedna Disruption (rotation B), Uranus (Dark Sector) Disruption (rotation B, C) and other missions.</t>
        </is>
      </c>
      <c r="N234" t="inlineStr">
        <is>
          <t>Neo C11</t>
        </is>
      </c>
      <c r="O234" t="inlineStr">
        <is>
          <t>Saved a concrete acquisition place from the official Warframe Wiki. Neo C11 relic page: mission drop table and other sources.</t>
        </is>
      </c>
    </row>
    <row r="235">
      <c r="A235" t="inlineStr">
        <is>
          <t>/Lotus/Types/Game/Projections/T3VoidProjectionCitrinePrimeDGold</t>
        </is>
      </c>
      <c r="B235" t="inlineStr">
        <is>
          <t>Neo C11 Relic</t>
        </is>
      </c>
      <c r="C235" t="inlineStr">
        <is>
          <t>https://wiki.warframe.com/w/Neo_C11</t>
        </is>
      </c>
      <c r="D235" t="inlineStr">
        <is>
          <t>ExportRelics</t>
        </is>
      </c>
      <c r="E235" t="inlineStr">
        <is>
          <t>Flawless</t>
        </is>
      </c>
      <c r="H235" t="inlineStr">
        <is>
          <t>Solved: current place verified and archived 2026-10-16.</t>
        </is>
      </c>
      <c r="I235" t="inlineStr">
        <is>
          <t>RelicArcane</t>
        </is>
      </c>
      <c r="M235" t="inlineStr">
        <is>
          <t>Dropped by Lua Disruption (rotation A), Sedna Disruption (rotation B), Uranus (Dark Sector) Disruption (rotation B, C) and other missions.</t>
        </is>
      </c>
      <c r="N235" t="inlineStr">
        <is>
          <t>Neo C11</t>
        </is>
      </c>
      <c r="O235" t="inlineStr">
        <is>
          <t>Saved a concrete acquisition place from the official Warframe Wiki. Neo C11 relic page: mission drop table and other sources.</t>
        </is>
      </c>
    </row>
    <row r="236">
      <c r="A236" t="inlineStr">
        <is>
          <t>/Lotus/Types/Game/Projections/T3VoidProjectionCitrinePrimeDPlatinum</t>
        </is>
      </c>
      <c r="B236" t="inlineStr">
        <is>
          <t>Neo C11 Relic</t>
        </is>
      </c>
      <c r="C236" t="inlineStr">
        <is>
          <t>https://wiki.warframe.com/w/Neo_C11</t>
        </is>
      </c>
      <c r="D236" t="inlineStr">
        <is>
          <t>ExportRelics</t>
        </is>
      </c>
      <c r="E236" t="inlineStr">
        <is>
          <t>Radiant</t>
        </is>
      </c>
      <c r="H236" t="inlineStr">
        <is>
          <t>Solved: current place verified and archived 2026-10-16.</t>
        </is>
      </c>
      <c r="I236" t="inlineStr">
        <is>
          <t>RelicArcane</t>
        </is>
      </c>
      <c r="M236" t="inlineStr">
        <is>
          <t>Dropped by Lua Disruption (rotation A), Sedna Disruption (rotation B), Uranus (Dark Sector) Disruption (rotation B, C) and other missions.</t>
        </is>
      </c>
      <c r="N236" t="inlineStr">
        <is>
          <t>Neo C11</t>
        </is>
      </c>
      <c r="O236" t="inlineStr">
        <is>
          <t>Saved a concrete acquisition place from the official Warframe Wiki. Neo C11 relic page: mission drop table and other sources.</t>
        </is>
      </c>
    </row>
    <row r="237">
      <c r="A237" t="inlineStr">
        <is>
          <t>/Lotus/Types/Game/Projections/T3VoidProjectionCitrinePrimeDSilver</t>
        </is>
      </c>
      <c r="B237" t="inlineStr">
        <is>
          <t>Neo C11 Relic</t>
        </is>
      </c>
      <c r="C237" t="inlineStr">
        <is>
          <t>https://wiki.warframe.com/w/Neo_C11</t>
        </is>
      </c>
      <c r="D237" t="inlineStr">
        <is>
          <t>ExportRelics</t>
        </is>
      </c>
      <c r="E237" t="inlineStr">
        <is>
          <t>Exceptional</t>
        </is>
      </c>
      <c r="H237" t="inlineStr">
        <is>
          <t>Solved: current place verified and archived 2026-10-16.</t>
        </is>
      </c>
      <c r="I237" t="inlineStr">
        <is>
          <t>RelicArcane</t>
        </is>
      </c>
      <c r="M237" t="inlineStr">
        <is>
          <t>Dropped by Lua Disruption (rotation A), Sedna Disruption (rotation B), Uranus (Dark Sector) Disruption (rotation B, C) and other missions.</t>
        </is>
      </c>
      <c r="N237" t="inlineStr">
        <is>
          <t>Neo C11</t>
        </is>
      </c>
      <c r="O237" t="inlineStr">
        <is>
          <t>Saved a concrete acquisition place from the official Warframe Wiki. Neo C11 relic page: mission drop table and other sources.</t>
        </is>
      </c>
    </row>
    <row r="238">
      <c r="A238" t="inlineStr">
        <is>
          <t>/Lotus/Types/Game/Projections/T3VoidProjectionCitrinePrimeBBronze</t>
        </is>
      </c>
      <c r="B238" t="inlineStr">
        <is>
          <t>Neo K10 Relic</t>
        </is>
      </c>
      <c r="C238" t="inlineStr">
        <is>
          <t>https://wiki.warframe.com/w/Void_Relic</t>
        </is>
      </c>
      <c r="D238" t="inlineStr">
        <is>
          <t>ExportRelics</t>
        </is>
      </c>
      <c r="E238" t="inlineStr">
        <is>
          <t>Intact</t>
        </is>
      </c>
      <c r="H238" t="inlineStr">
        <is>
          <t>Solved: current place verified and archived 2026-10-16.</t>
        </is>
      </c>
      <c r="I238" t="inlineStr">
        <is>
          <t>RelicArcane</t>
        </is>
      </c>
      <c r="M238" t="inlineStr">
        <is>
          <t>Dropped by Lua Disruption (rotation A), Sedna Disruption (rotation B), Uranus (Dark Sector) Disruption (rotation B, C) and other missions.</t>
        </is>
      </c>
      <c r="N238" t="inlineStr">
        <is>
          <t>Neo K10</t>
        </is>
      </c>
      <c r="O238" t="inlineStr">
        <is>
          <t>Saved a concrete acquisition place from the official Warframe Wiki. Neo K10 relic page: mission drop table and other sources.</t>
        </is>
      </c>
    </row>
    <row r="239">
      <c r="A239" t="inlineStr">
        <is>
          <t>/Lotus/Types/Game/Projections/T3VoidProjectionCitrinePrimeBGold</t>
        </is>
      </c>
      <c r="B239" t="inlineStr">
        <is>
          <t>Neo K10 Relic</t>
        </is>
      </c>
      <c r="C239" t="inlineStr">
        <is>
          <t>https://wiki.warframe.com/w/Void_Relic</t>
        </is>
      </c>
      <c r="D239" t="inlineStr">
        <is>
          <t>ExportRelics</t>
        </is>
      </c>
      <c r="E239" t="inlineStr">
        <is>
          <t>Flawless</t>
        </is>
      </c>
      <c r="H239" t="inlineStr">
        <is>
          <t>Solved: current place verified and archived 2026-10-16.</t>
        </is>
      </c>
      <c r="I239" t="inlineStr">
        <is>
          <t>RelicArcane</t>
        </is>
      </c>
      <c r="M239" t="inlineStr">
        <is>
          <t>Dropped by Lua Disruption (rotation A), Sedna Disruption (rotation B), Uranus (Dark Sector) Disruption (rotation B, C) and other missions.</t>
        </is>
      </c>
      <c r="N239" t="inlineStr">
        <is>
          <t>Neo K10</t>
        </is>
      </c>
      <c r="O239" t="inlineStr">
        <is>
          <t>Saved a concrete acquisition place from the official Warframe Wiki. Neo K10 relic page: mission drop table and other sources.</t>
        </is>
      </c>
    </row>
    <row r="240">
      <c r="A240" t="inlineStr">
        <is>
          <t>/Lotus/Types/Game/Projections/T3VoidProjectionCitrinePrimeBPlatinum</t>
        </is>
      </c>
      <c r="B240" t="inlineStr">
        <is>
          <t>Neo K10 Relic</t>
        </is>
      </c>
      <c r="C240" t="inlineStr">
        <is>
          <t>https://wiki.warframe.com/w/Void_Relic</t>
        </is>
      </c>
      <c r="D240" t="inlineStr">
        <is>
          <t>ExportRelics</t>
        </is>
      </c>
      <c r="E240" t="inlineStr">
        <is>
          <t>Radiant</t>
        </is>
      </c>
      <c r="H240" t="inlineStr">
        <is>
          <t>Solved: current place verified and archived 2026-10-16.</t>
        </is>
      </c>
      <c r="I240" t="inlineStr">
        <is>
          <t>RelicArcane</t>
        </is>
      </c>
      <c r="M240" t="inlineStr">
        <is>
          <t>Dropped by Lua Disruption (rotation A), Sedna Disruption (rotation B), Uranus (Dark Sector) Disruption (rotation B, C) and other missions.</t>
        </is>
      </c>
      <c r="N240" t="inlineStr">
        <is>
          <t>Neo K10</t>
        </is>
      </c>
      <c r="O240" t="inlineStr">
        <is>
          <t>Saved a concrete acquisition place from the official Warframe Wiki. Neo K10 relic page: mission drop table and other sources.</t>
        </is>
      </c>
    </row>
    <row r="241">
      <c r="A241" t="inlineStr">
        <is>
          <t>/Lotus/Types/Game/Projections/T3VoidProjectionCitrinePrimeBSilver</t>
        </is>
      </c>
      <c r="B241" t="inlineStr">
        <is>
          <t>Neo K10 Relic</t>
        </is>
      </c>
      <c r="C241" t="inlineStr">
        <is>
          <t>https://wiki.warframe.com/w/Void_Relic</t>
        </is>
      </c>
      <c r="D241" t="inlineStr">
        <is>
          <t>ExportRelics</t>
        </is>
      </c>
      <c r="E241" t="inlineStr">
        <is>
          <t>Exceptional</t>
        </is>
      </c>
      <c r="H241" t="inlineStr">
        <is>
          <t>Solved: current place verified and archived 2026-10-16.</t>
        </is>
      </c>
      <c r="I241" t="inlineStr">
        <is>
          <t>RelicArcane</t>
        </is>
      </c>
      <c r="M241" t="inlineStr">
        <is>
          <t>Dropped by Lua Disruption (rotation A), Sedna Disruption (rotation B), Uranus (Dark Sector) Disruption (rotation B, C) and other missions.</t>
        </is>
      </c>
      <c r="N241" t="inlineStr">
        <is>
          <t>Neo K10</t>
        </is>
      </c>
      <c r="O241" t="inlineStr">
        <is>
          <t>Saved a concrete acquisition place from the official Warframe Wiki. Neo K10 relic page: mission drop table and other sources.</t>
        </is>
      </c>
    </row>
    <row r="242">
      <c r="A242" t="inlineStr">
        <is>
          <t>/Lotus/Types/Game/Projections/T3VoidProjectionProteaIvaraVaultBBronze</t>
        </is>
      </c>
      <c r="B242" t="inlineStr">
        <is>
          <t>Neo O4 Relic</t>
        </is>
      </c>
      <c r="C242" t="inlineStr">
        <is>
          <t>https://wiki.warframe.com/w/Neo_O4</t>
        </is>
      </c>
      <c r="D242" t="inlineStr">
        <is>
          <t>ExportRelics</t>
        </is>
      </c>
      <c r="E242" t="inlineStr">
        <is>
          <t>Intact</t>
        </is>
      </c>
      <c r="H242" t="inlineStr">
        <is>
          <t>Solved: current place verified and archived 2026-10-16.</t>
        </is>
      </c>
      <c r="I242" t="inlineStr">
        <is>
          <t>RelicArcane</t>
        </is>
      </c>
      <c r="M242" t="inlineStr">
        <is>
          <t>Vaulted: obtain by trading with other players.</t>
        </is>
      </c>
      <c r="N242" t="inlineStr">
        <is>
          <t>Neo O4</t>
        </is>
      </c>
      <c r="O242" t="inlineStr">
        <is>
          <t>Saved a concrete acquisition place from the official Warframe Wiki. Neo O4 relic page: vaulted.</t>
        </is>
      </c>
    </row>
    <row r="243">
      <c r="A243" t="inlineStr">
        <is>
          <t>/Lotus/Types/Game/Projections/T3VoidProjectionProteaIvaraVaultBGold</t>
        </is>
      </c>
      <c r="B243" t="inlineStr">
        <is>
          <t>Neo O4 Relic</t>
        </is>
      </c>
      <c r="C243" t="inlineStr">
        <is>
          <t>https://wiki.warframe.com/w/Neo_O4</t>
        </is>
      </c>
      <c r="D243" t="inlineStr">
        <is>
          <t>ExportRelics</t>
        </is>
      </c>
      <c r="E243" t="inlineStr">
        <is>
          <t>Flawless</t>
        </is>
      </c>
      <c r="H243" t="inlineStr">
        <is>
          <t>Solved: current place verified and archived 2026-10-16.</t>
        </is>
      </c>
      <c r="I243" t="inlineStr">
        <is>
          <t>RelicArcane</t>
        </is>
      </c>
      <c r="M243" t="inlineStr">
        <is>
          <t>Vaulted: obtain by trading with other players.</t>
        </is>
      </c>
      <c r="N243" t="inlineStr">
        <is>
          <t>Neo O4</t>
        </is>
      </c>
      <c r="O243" t="inlineStr">
        <is>
          <t>Saved a concrete acquisition place from the official Warframe Wiki. Neo O4 relic page: vaulted.</t>
        </is>
      </c>
    </row>
    <row r="244">
      <c r="A244" t="inlineStr">
        <is>
          <t>/Lotus/Types/Game/Projections/T3VoidProjectionProteaIvaraVaultBPlatinum</t>
        </is>
      </c>
      <c r="B244" t="inlineStr">
        <is>
          <t>Neo O4 Relic</t>
        </is>
      </c>
      <c r="C244" t="inlineStr">
        <is>
          <t>https://wiki.warframe.com/w/Neo_O4</t>
        </is>
      </c>
      <c r="D244" t="inlineStr">
        <is>
          <t>ExportRelics</t>
        </is>
      </c>
      <c r="E244" t="inlineStr">
        <is>
          <t>Radiant</t>
        </is>
      </c>
      <c r="H244" t="inlineStr">
        <is>
          <t>Solved: current place verified and archived 2026-10-16.</t>
        </is>
      </c>
      <c r="I244" t="inlineStr">
        <is>
          <t>RelicArcane</t>
        </is>
      </c>
      <c r="M244" t="inlineStr">
        <is>
          <t>Vaulted: obtain by trading with other players.</t>
        </is>
      </c>
      <c r="N244" t="inlineStr">
        <is>
          <t>Neo O4</t>
        </is>
      </c>
      <c r="O244" t="inlineStr">
        <is>
          <t>Saved a concrete acquisition place from the official Warframe Wiki. Neo O4 relic page: vaulted.</t>
        </is>
      </c>
    </row>
    <row r="245">
      <c r="A245" t="inlineStr">
        <is>
          <t>/Lotus/Types/Game/Projections/T3VoidProjectionProteaIvaraVaultBSilver</t>
        </is>
      </c>
      <c r="B245" t="inlineStr">
        <is>
          <t>Neo O4 Relic</t>
        </is>
      </c>
      <c r="C245" t="inlineStr">
        <is>
          <t>https://wiki.warframe.com/w/Neo_O4</t>
        </is>
      </c>
      <c r="D245" t="inlineStr">
        <is>
          <t>ExportRelics</t>
        </is>
      </c>
      <c r="E245" t="inlineStr">
        <is>
          <t>Exceptional</t>
        </is>
      </c>
      <c r="H245" t="inlineStr">
        <is>
          <t>Solved: current place verified and archived 2026-10-16.</t>
        </is>
      </c>
      <c r="I245" t="inlineStr">
        <is>
          <t>RelicArcane</t>
        </is>
      </c>
      <c r="M245" t="inlineStr">
        <is>
          <t>Vaulted: obtain by trading with other players.</t>
        </is>
      </c>
      <c r="N245" t="inlineStr">
        <is>
          <t>Neo O4</t>
        </is>
      </c>
      <c r="O245" t="inlineStr">
        <is>
          <t>Saved a concrete acquisition place from the official Warframe Wiki. Neo O4 relic page: vaulted.</t>
        </is>
      </c>
    </row>
    <row r="246">
      <c r="A246" t="inlineStr">
        <is>
          <t>/Lotus/Types/Game/Projections/T3VoidProjectionProteaIvaraVaultABronze</t>
        </is>
      </c>
      <c r="B246" t="inlineStr">
        <is>
          <t>Neo P11 Relic</t>
        </is>
      </c>
      <c r="C246" t="inlineStr">
        <is>
          <t>https://wiki.warframe.com/w/Neo_P11</t>
        </is>
      </c>
      <c r="D246" t="inlineStr">
        <is>
          <t>ExportRelics</t>
        </is>
      </c>
      <c r="E246" t="inlineStr">
        <is>
          <t>Intact</t>
        </is>
      </c>
      <c r="H246" t="inlineStr">
        <is>
          <t>Solved: current place verified and archived 2026-10-16.</t>
        </is>
      </c>
      <c r="I246" t="inlineStr">
        <is>
          <t>RelicArcane</t>
        </is>
      </c>
      <c r="M246" t="inlineStr">
        <is>
          <t>Vaulted: obtain by trading with other players.</t>
        </is>
      </c>
      <c r="N246" t="inlineStr">
        <is>
          <t>Neo P11</t>
        </is>
      </c>
      <c r="O246" t="inlineStr">
        <is>
          <t>Saved a concrete acquisition place from the official Warframe Wiki. Neo P11 relic page: vaulted.</t>
        </is>
      </c>
    </row>
    <row r="247">
      <c r="A247" t="inlineStr">
        <is>
          <t>/Lotus/Types/Game/Projections/T3VoidProjectionProteaIvaraVaultAGold</t>
        </is>
      </c>
      <c r="B247" t="inlineStr">
        <is>
          <t>Neo P11 Relic</t>
        </is>
      </c>
      <c r="C247" t="inlineStr">
        <is>
          <t>https://wiki.warframe.com/w/Neo_P11</t>
        </is>
      </c>
      <c r="D247" t="inlineStr">
        <is>
          <t>ExportRelics</t>
        </is>
      </c>
      <c r="E247" t="inlineStr">
        <is>
          <t>Flawless</t>
        </is>
      </c>
      <c r="H247" t="inlineStr">
        <is>
          <t>Solved: current place verified and archived 2026-10-16.</t>
        </is>
      </c>
      <c r="I247" t="inlineStr">
        <is>
          <t>RelicArcane</t>
        </is>
      </c>
      <c r="M247" t="inlineStr">
        <is>
          <t>Vaulted: obtain by trading with other players.</t>
        </is>
      </c>
      <c r="N247" t="inlineStr">
        <is>
          <t>Neo P11</t>
        </is>
      </c>
      <c r="O247" t="inlineStr">
        <is>
          <t>Saved a concrete acquisition place from the official Warframe Wiki. Neo P11 relic page: vaulted.</t>
        </is>
      </c>
    </row>
    <row r="248">
      <c r="A248" t="inlineStr">
        <is>
          <t>/Lotus/Types/Game/Projections/T3VoidProjectionProteaIvaraVaultAPlatinum</t>
        </is>
      </c>
      <c r="B248" t="inlineStr">
        <is>
          <t>Neo P11 Relic</t>
        </is>
      </c>
      <c r="C248" t="inlineStr">
        <is>
          <t>https://wiki.warframe.com/w/Neo_P11</t>
        </is>
      </c>
      <c r="D248" t="inlineStr">
        <is>
          <t>ExportRelics</t>
        </is>
      </c>
      <c r="E248" t="inlineStr">
        <is>
          <t>Radiant</t>
        </is>
      </c>
      <c r="H248" t="inlineStr">
        <is>
          <t>Solved: current place verified and archived 2026-10-16.</t>
        </is>
      </c>
      <c r="I248" t="inlineStr">
        <is>
          <t>RelicArcane</t>
        </is>
      </c>
      <c r="M248" t="inlineStr">
        <is>
          <t>Vaulted: obtain by trading with other players.</t>
        </is>
      </c>
      <c r="N248" t="inlineStr">
        <is>
          <t>Neo P11</t>
        </is>
      </c>
      <c r="O248" t="inlineStr">
        <is>
          <t>Saved a concrete acquisition place from the official Warframe Wiki. Neo P11 relic page: vaulted.</t>
        </is>
      </c>
    </row>
    <row r="249">
      <c r="A249" t="inlineStr">
        <is>
          <t>/Lotus/Types/Game/Projections/T3VoidProjectionProteaIvaraVaultASilver</t>
        </is>
      </c>
      <c r="B249" t="inlineStr">
        <is>
          <t>Neo P11 Relic</t>
        </is>
      </c>
      <c r="C249" t="inlineStr">
        <is>
          <t>https://wiki.warframe.com/w/Neo_P11</t>
        </is>
      </c>
      <c r="D249" t="inlineStr">
        <is>
          <t>ExportRelics</t>
        </is>
      </c>
      <c r="E249" t="inlineStr">
        <is>
          <t>Exceptional</t>
        </is>
      </c>
      <c r="H249" t="inlineStr">
        <is>
          <t>Solved: current place verified and archived 2026-10-16.</t>
        </is>
      </c>
      <c r="I249" t="inlineStr">
        <is>
          <t>RelicArcane</t>
        </is>
      </c>
      <c r="M249" t="inlineStr">
        <is>
          <t>Vaulted: obtain by trading with other players.</t>
        </is>
      </c>
      <c r="N249" t="inlineStr">
        <is>
          <t>Neo P11</t>
        </is>
      </c>
      <c r="O249" t="inlineStr">
        <is>
          <t>Saved a concrete acquisition place from the official Warframe Wiki. Neo P11 relic page: vaulted.</t>
        </is>
      </c>
    </row>
    <row r="250">
      <c r="A250" t="inlineStr">
        <is>
          <t>/Lotus/Types/Game/Projections/T3VoidProjectionCitrinePrimeCBronze</t>
        </is>
      </c>
      <c r="B250" t="inlineStr">
        <is>
          <t>Neo V13 Relic</t>
        </is>
      </c>
      <c r="C250" t="inlineStr">
        <is>
          <t>https://wiki.warframe.com/w/Neo_V13</t>
        </is>
      </c>
      <c r="D250" t="inlineStr">
        <is>
          <t>ExportRelics</t>
        </is>
      </c>
      <c r="E250" t="inlineStr">
        <is>
          <t>Intact</t>
        </is>
      </c>
      <c r="H250" t="inlineStr">
        <is>
          <t>Solved: current place verified and archived 2026-10-16.</t>
        </is>
      </c>
      <c r="I250" t="inlineStr">
        <is>
          <t>RelicArcane</t>
        </is>
      </c>
      <c r="M250" t="inlineStr">
        <is>
          <t>Dropped by Lua Disruption (rotation A), Sedna Disruption (rotation B), Uranus (Dark Sector) Disruption (rotation B, C) and other missions.</t>
        </is>
      </c>
      <c r="N250" t="inlineStr">
        <is>
          <t>Neo V13</t>
        </is>
      </c>
      <c r="O250" t="inlineStr">
        <is>
          <t>Saved a concrete acquisition place from the official Warframe Wiki. Neo V13 relic page: mission drop table and other sources.</t>
        </is>
      </c>
    </row>
    <row r="251">
      <c r="A251" t="inlineStr">
        <is>
          <t>/Lotus/Types/Game/Projections/T3VoidProjectionCitrinePrimeCGold</t>
        </is>
      </c>
      <c r="B251" t="inlineStr">
        <is>
          <t>Neo V13 Relic</t>
        </is>
      </c>
      <c r="C251" t="inlineStr">
        <is>
          <t>https://wiki.warframe.com/w/Neo_V13</t>
        </is>
      </c>
      <c r="D251" t="inlineStr">
        <is>
          <t>ExportRelics</t>
        </is>
      </c>
      <c r="E251" t="inlineStr">
        <is>
          <t>Flawless</t>
        </is>
      </c>
      <c r="H251" t="inlineStr">
        <is>
          <t>Solved: current place verified and archived 2026-10-16.</t>
        </is>
      </c>
      <c r="I251" t="inlineStr">
        <is>
          <t>RelicArcane</t>
        </is>
      </c>
      <c r="M251" t="inlineStr">
        <is>
          <t>Dropped by Lua Disruption (rotation A), Sedna Disruption (rotation B), Uranus (Dark Sector) Disruption (rotation B, C) and other missions.</t>
        </is>
      </c>
      <c r="N251" t="inlineStr">
        <is>
          <t>Neo V13</t>
        </is>
      </c>
      <c r="O251" t="inlineStr">
        <is>
          <t>Saved a concrete acquisition place from the official Warframe Wiki. Neo V13 relic page: mission drop table and other sources.</t>
        </is>
      </c>
    </row>
    <row r="252">
      <c r="A252" t="inlineStr">
        <is>
          <t>/Lotus/Types/Game/Projections/T3VoidProjectionCitrinePrimeCPlatinum</t>
        </is>
      </c>
      <c r="B252" t="inlineStr">
        <is>
          <t>Neo V13 Relic</t>
        </is>
      </c>
      <c r="C252" t="inlineStr">
        <is>
          <t>https://wiki.warframe.com/w/Neo_V13</t>
        </is>
      </c>
      <c r="D252" t="inlineStr">
        <is>
          <t>ExportRelics</t>
        </is>
      </c>
      <c r="E252" t="inlineStr">
        <is>
          <t>Radiant</t>
        </is>
      </c>
      <c r="H252" t="inlineStr">
        <is>
          <t>Solved: current place verified and archived 2026-10-16.</t>
        </is>
      </c>
      <c r="I252" t="inlineStr">
        <is>
          <t>RelicArcane</t>
        </is>
      </c>
      <c r="M252" t="inlineStr">
        <is>
          <t>Dropped by Lua Disruption (rotation A), Sedna Disruption (rotation B), Uranus (Dark Sector) Disruption (rotation B, C) and other missions.</t>
        </is>
      </c>
      <c r="N252" t="inlineStr">
        <is>
          <t>Neo V13</t>
        </is>
      </c>
      <c r="O252" t="inlineStr">
        <is>
          <t>Saved a concrete acquisition place from the official Warframe Wiki. Neo V13 relic page: mission drop table and other sources.</t>
        </is>
      </c>
    </row>
    <row r="253">
      <c r="A253" t="inlineStr">
        <is>
          <t>/Lotus/Types/Game/Projections/T3VoidProjectionCitrinePrimeCSilver</t>
        </is>
      </c>
      <c r="B253" t="inlineStr">
        <is>
          <t>Neo V13 Relic</t>
        </is>
      </c>
      <c r="C253" t="inlineStr">
        <is>
          <t>https://wiki.warframe.com/w/Neo_V13</t>
        </is>
      </c>
      <c r="D253" t="inlineStr">
        <is>
          <t>ExportRelics</t>
        </is>
      </c>
      <c r="E253" t="inlineStr">
        <is>
          <t>Exceptional</t>
        </is>
      </c>
      <c r="H253" t="inlineStr">
        <is>
          <t>Solved: current place verified and archived 2026-10-16.</t>
        </is>
      </c>
      <c r="I253" t="inlineStr">
        <is>
          <t>RelicArcane</t>
        </is>
      </c>
      <c r="M253" t="inlineStr">
        <is>
          <t>Dropped by Lua Disruption (rotation A), Sedna Disruption (rotation B), Uranus (Dark Sector) Disruption (rotation B, C) and other missions.</t>
        </is>
      </c>
      <c r="N253" t="inlineStr">
        <is>
          <t>Neo V13</t>
        </is>
      </c>
      <c r="O253" t="inlineStr">
        <is>
          <t>Saved a concrete acquisition place from the official Warframe Wiki. Neo V13 relic page: mission drop table and other sources.</t>
        </is>
      </c>
    </row>
    <row r="254">
      <c r="A254" t="inlineStr">
        <is>
          <t>/Lotus/Types/Game/Projections/T3VoidProjectionCitrinePrimeEBronze</t>
        </is>
      </c>
      <c r="B254" t="inlineStr">
        <is>
          <t>Neo Y2 Relic</t>
        </is>
      </c>
      <c r="C254" t="inlineStr">
        <is>
          <t>https://wiki.warframe.com/w/Neo_Y2</t>
        </is>
      </c>
      <c r="D254" t="inlineStr">
        <is>
          <t>ExportRelics</t>
        </is>
      </c>
      <c r="E254" t="inlineStr">
        <is>
          <t>Intact</t>
        </is>
      </c>
      <c r="H254" t="inlineStr">
        <is>
          <t>Solved: current place verified and archived 2026-10-16.</t>
        </is>
      </c>
      <c r="I254" t="inlineStr">
        <is>
          <t>RelicArcane</t>
        </is>
      </c>
      <c r="M254" t="inlineStr">
        <is>
          <t>Dropped by Lua Disruption (rotation A), Sedna Disruption (rotation B), Uranus (Dark Sector) Disruption (rotation B, C) and other missions.</t>
        </is>
      </c>
      <c r="N254" t="inlineStr">
        <is>
          <t>Neo Y2</t>
        </is>
      </c>
      <c r="O254" t="inlineStr">
        <is>
          <t>Saved a concrete acquisition place from the official Warframe Wiki. Neo Y2 relic page: mission drop table and other sources.</t>
        </is>
      </c>
    </row>
    <row r="255">
      <c r="A255" t="inlineStr">
        <is>
          <t>/Lotus/Types/Game/Projections/T3VoidProjectionCitrinePrimeEGold</t>
        </is>
      </c>
      <c r="B255" t="inlineStr">
        <is>
          <t>Neo Y2 Relic</t>
        </is>
      </c>
      <c r="C255" t="inlineStr">
        <is>
          <t>https://wiki.warframe.com/w/Neo_Y2</t>
        </is>
      </c>
      <c r="D255" t="inlineStr">
        <is>
          <t>ExportRelics</t>
        </is>
      </c>
      <c r="E255" t="inlineStr">
        <is>
          <t>Flawless</t>
        </is>
      </c>
      <c r="H255" t="inlineStr">
        <is>
          <t>Solved: current place verified and archived 2026-10-16.</t>
        </is>
      </c>
      <c r="I255" t="inlineStr">
        <is>
          <t>RelicArcane</t>
        </is>
      </c>
      <c r="M255" t="inlineStr">
        <is>
          <t>Dropped by Lua Disruption (rotation A), Sedna Disruption (rotation B), Uranus (Dark Sector) Disruption (rotation B, C) and other missions.</t>
        </is>
      </c>
      <c r="N255" t="inlineStr">
        <is>
          <t>Neo Y2</t>
        </is>
      </c>
      <c r="O255" t="inlineStr">
        <is>
          <t>Saved a concrete acquisition place from the official Warframe Wiki. Neo Y2 relic page: mission drop table and other sources.</t>
        </is>
      </c>
    </row>
    <row r="256">
      <c r="A256" t="inlineStr">
        <is>
          <t>/Lotus/Types/Game/Projections/T3VoidProjectionCitrinePrimeEPlatinum</t>
        </is>
      </c>
      <c r="B256" t="inlineStr">
        <is>
          <t>Neo Y2 Relic</t>
        </is>
      </c>
      <c r="C256" t="inlineStr">
        <is>
          <t>https://wiki.warframe.com/w/Neo_Y2</t>
        </is>
      </c>
      <c r="D256" t="inlineStr">
        <is>
          <t>ExportRelics</t>
        </is>
      </c>
      <c r="E256" t="inlineStr">
        <is>
          <t>Radiant</t>
        </is>
      </c>
      <c r="H256" t="inlineStr">
        <is>
          <t>Solved: current place verified and archived 2026-10-16.</t>
        </is>
      </c>
      <c r="I256" t="inlineStr">
        <is>
          <t>RelicArcane</t>
        </is>
      </c>
      <c r="M256" t="inlineStr">
        <is>
          <t>Dropped by Lua Disruption (rotation A), Sedna Disruption (rotation B), Uranus (Dark Sector) Disruption (rotation B, C) and other missions.</t>
        </is>
      </c>
      <c r="N256" t="inlineStr">
        <is>
          <t>Neo Y2</t>
        </is>
      </c>
      <c r="O256" t="inlineStr">
        <is>
          <t>Saved a concrete acquisition place from the official Warframe Wiki. Neo Y2 relic page: mission drop table and other sources.</t>
        </is>
      </c>
    </row>
    <row r="257">
      <c r="A257" t="inlineStr">
        <is>
          <t>/Lotus/Types/Game/Projections/T3VoidProjectionCitrinePrimeESilver</t>
        </is>
      </c>
      <c r="B257" t="inlineStr">
        <is>
          <t>Neo Y2 Relic</t>
        </is>
      </c>
      <c r="C257" t="inlineStr">
        <is>
          <t>https://wiki.warframe.com/w/Neo_Y2</t>
        </is>
      </c>
      <c r="D257" t="inlineStr">
        <is>
          <t>ExportRelics</t>
        </is>
      </c>
      <c r="E257" t="inlineStr">
        <is>
          <t>Exceptional</t>
        </is>
      </c>
      <c r="H257" t="inlineStr">
        <is>
          <t>Solved: current place verified and archived 2026-10-16.</t>
        </is>
      </c>
      <c r="I257" t="inlineStr">
        <is>
          <t>RelicArcane</t>
        </is>
      </c>
      <c r="M257" t="inlineStr">
        <is>
          <t>Dropped by Lua Disruption (rotation A), Sedna Disruption (rotation B), Uranus (Dark Sector) Disruption (rotation B, C) and other missions.</t>
        </is>
      </c>
      <c r="N257" t="inlineStr">
        <is>
          <t>Neo Y2</t>
        </is>
      </c>
      <c r="O257" t="inlineStr">
        <is>
          <t>Saved a concrete acquisition place from the official Warframe Wiki. Neo Y2 relic page: mission drop table and other sources.</t>
        </is>
      </c>
    </row>
    <row r="258">
      <c r="A258" t="inlineStr">
        <is>
          <t>/Lotus/Types/Items/SongItems/NightwaveFablesSongItem</t>
        </is>
      </c>
      <c r="B258" t="inlineStr">
        <is>
          <t>A Byte-sized Adventure</t>
        </is>
      </c>
      <c r="C258" t="inlineStr">
        <is>
          <t>https://wiki.warframe.com/w/A_Byte-Sized_Adventure | https://wiki.warframe.com/w/What_Fables_Are_Made_Of</t>
        </is>
      </c>
      <c r="D258" t="inlineStr">
        <is>
          <t>ExportResources</t>
        </is>
      </c>
      <c r="F258" t="inlineStr">
        <is>
          <t>A Byte-sized Adventure</t>
        </is>
      </c>
      <c r="H258" t="inlineStr">
        <is>
          <t>Solved: current place verified and archived 2026-10-16.</t>
        </is>
      </c>
      <c r="I258" t="inlineStr">
        <is>
          <t>Resources</t>
        </is>
      </c>
      <c r="M258" t="inlineStr">
        <is>
          <t>Purchase from Amir in Höllvandeim for 5,000 Standing with The Hex; Fables &amp; Frontiers must be unlocked.</t>
        </is>
      </c>
      <c r="N258" t="inlineStr">
        <is>
          <t>A Byte-Sized Adventure</t>
        </is>
      </c>
      <c r="O258" t="inlineStr">
        <is>
          <t>Saved a concrete acquisition place from the official Warframe Wiki. Track page, Somachord Tone section.</t>
        </is>
      </c>
    </row>
    <row r="259">
      <c r="A259" t="inlineStr">
        <is>
          <t>/Lotus/Types/Items/ShipDecos/CorpusGreedReliefG</t>
        </is>
      </c>
      <c r="B259" t="inlineStr">
        <is>
          <t>A New Beginning</t>
        </is>
      </c>
      <c r="C259" t="inlineStr">
        <is>
          <t>https://wiki.warframe.com/w/Fragments/The_Tenets | https://wiki.warframe.com/w/Parvos_Granum | https://wiki.warframe.com/w/Decorations/Orbiter_Decorations</t>
        </is>
      </c>
      <c r="D259" t="inlineStr">
        <is>
          <t>ExportResources</t>
        </is>
      </c>
      <c r="F259" t="inlineStr">
        <is>
          <t>A New Beginning</t>
        </is>
      </c>
      <c r="H259" t="inlineStr">
        <is>
          <t>Solved: current place verified and archived 2026-10-16.</t>
        </is>
      </c>
      <c r="I259" t="inlineStr">
        <is>
          <t>Resources</t>
        </is>
      </c>
      <c r="M259" t="inlineStr">
        <is>
          <t>Pay tribute with a Granum Crown at the Corpus Temple Reliefs in the Corpus Ship tileset.</t>
        </is>
      </c>
      <c r="N259" t="inlineStr">
        <is>
          <t>Fragments/The Tenets</t>
        </is>
      </c>
      <c r="O259" t="inlineStr">
        <is>
          <t>Saved a concrete acquisition place from the official Warframe Wiki. Fragments/The Tenets page intro.</t>
        </is>
      </c>
    </row>
    <row r="260">
      <c r="A260" t="inlineStr">
        <is>
          <t>/Lotus/Types/Items/ShipDecos/CorpusGreedReliefJ</t>
        </is>
      </c>
      <c r="B260" t="inlineStr">
        <is>
          <t>A New Empire</t>
        </is>
      </c>
      <c r="C260" t="inlineStr">
        <is>
          <t>https://wiki.warframe.com/w/Operation:_Mutalist_Incursions | https://wiki.warframe.com/w/Patient_Zero | https://wiki.warframe.com/w/Fragments/The_Tenets | https://wiki.warframe.com/w/Parvos_Granum | https://wiki.warframe.com/w/Decorations/Orbiter_Decorations</t>
        </is>
      </c>
      <c r="D260" t="inlineStr">
        <is>
          <t>ExportResources</t>
        </is>
      </c>
      <c r="F260" t="inlineStr">
        <is>
          <t>A New Empire</t>
        </is>
      </c>
      <c r="H260" t="inlineStr">
        <is>
          <t>Solved: current place verified and archived 2026-10-16.</t>
        </is>
      </c>
      <c r="I260" t="inlineStr">
        <is>
          <t>Resources</t>
        </is>
      </c>
      <c r="M260" t="inlineStr">
        <is>
          <t>Pay tribute with a Granum Crown at the Corpus Temple Reliefs in the Corpus Ship tileset.</t>
        </is>
      </c>
      <c r="N260" t="inlineStr">
        <is>
          <t>Fragments/The Tenets</t>
        </is>
      </c>
      <c r="O260" t="inlineStr">
        <is>
          <t>Saved a concrete acquisition place from the official Warframe Wiki. Fragments/The Tenets page intro.</t>
        </is>
      </c>
    </row>
    <row r="261">
      <c r="A261" t="inlineStr">
        <is>
          <t>/Lotus/Types/Items/ShipDecos/Venus/SolarisPosterA</t>
        </is>
      </c>
      <c r="B261" t="inlineStr">
        <is>
          <t>A New Future Poster</t>
        </is>
      </c>
      <c r="C261" t="inlineStr">
        <is>
          <t>https://wiki.warframe.com/w/Decorations/Orbiter_Decorations</t>
        </is>
      </c>
      <c r="D261" t="inlineStr">
        <is>
          <t>ExportResources</t>
        </is>
      </c>
      <c r="F261" t="inlineStr">
        <is>
          <t>A New Future Poster</t>
        </is>
      </c>
      <c r="H261" t="inlineStr">
        <is>
          <t>Solved: current place verified and archived 2026-10-16.</t>
        </is>
      </c>
      <c r="I261" t="inlineStr">
        <is>
          <t>Resources</t>
        </is>
      </c>
      <c r="M261" t="inlineStr">
        <is>
          <t>In-game Market for 35 Platinum.</t>
        </is>
      </c>
      <c r="N261" t="inlineStr">
        <is>
          <t>Decorations/Orbiter Decorations</t>
        </is>
      </c>
      <c r="O261" t="inlineStr">
        <is>
          <t>We copied where it comes from off the wiki page. See place from wiki page.</t>
        </is>
      </c>
    </row>
    <row r="262">
      <c r="A262" t="inlineStr">
        <is>
          <t>/Lotus/Types/Items/ShipDecos/Venus/SolarisPosterD</t>
        </is>
      </c>
      <c r="B262" t="inlineStr">
        <is>
          <t>A New World Poster</t>
        </is>
      </c>
      <c r="C262" t="inlineStr">
        <is>
          <t>https://wiki.warframe.com/w/Decorations/Orbiter_Decorations</t>
        </is>
      </c>
      <c r="D262" t="inlineStr">
        <is>
          <t>ExportResources</t>
        </is>
      </c>
      <c r="F262" t="inlineStr">
        <is>
          <t>A New World Poster</t>
        </is>
      </c>
      <c r="H262" t="inlineStr">
        <is>
          <t>Solved: current place verified and archived 2026-10-16.</t>
        </is>
      </c>
      <c r="I262" t="inlineStr">
        <is>
          <t>Resources</t>
        </is>
      </c>
      <c r="M262" t="inlineStr">
        <is>
          <t>In-game Market for 35 Platinum.</t>
        </is>
      </c>
      <c r="N262" t="inlineStr">
        <is>
          <t>Decorations/Orbiter Decorations</t>
        </is>
      </c>
      <c r="O262" t="inlineStr">
        <is>
          <t>We copied where it comes from off the wiki page. See place from wiki page.</t>
        </is>
      </c>
    </row>
    <row r="263">
      <c r="A263" t="inlineStr">
        <is>
          <t>/Lotus/Types/Items/Deimos/AnimalTagInfestedNexiferaCommon</t>
        </is>
      </c>
      <c r="B263" t="inlineStr">
        <is>
          <t>AMETHYST NEXIFERA TAG</t>
        </is>
      </c>
      <c r="C263" t="inlineStr">
        <is>
          <t>https://wiki.warframe.com/w/Conservation</t>
        </is>
      </c>
      <c r="D263" t="inlineStr">
        <is>
          <t>ExportResources</t>
        </is>
      </c>
      <c r="G263" t="inlineStr">
        <is>
          <t>Conservation#Nexifera</t>
        </is>
      </c>
      <c r="H263" t="inlineStr">
        <is>
          <t>Solved: current place verified and archived 2026-10-16.</t>
        </is>
      </c>
      <c r="I263" t="inlineStr">
        <is>
          <t>Resources</t>
        </is>
      </c>
      <c r="J263" t="inlineStr">
        <is>
          <t>Resources_data</t>
        </is>
      </c>
      <c r="K263" t="inlineStr">
        <is>
          <t>Resources/data</t>
        </is>
      </c>
      <c r="L263" t="inlineStr">
        <is>
          <t>listed, no place</t>
        </is>
      </c>
      <c r="M263" t="inlineStr">
        <is>
          <t>Capture a Amethyst Nexifera through Conservation in the Cambion Drift.</t>
        </is>
      </c>
      <c r="N263" t="inlineStr">
        <is>
          <t>Conservation</t>
        </is>
      </c>
      <c r="O263" t="inlineStr">
        <is>
          <t>Saved a concrete acquisition place from the official Warframe Wiki.</t>
        </is>
      </c>
    </row>
    <row r="264">
      <c r="A264" t="inlineStr">
        <is>
          <t>/Lotus/Types/Gameplay/NarmerSorties/ArchonCrystalMythic</t>
        </is>
      </c>
      <c r="B264" t="inlineStr">
        <is>
          <t>ARCHON SHARD</t>
        </is>
      </c>
      <c r="C264" t="inlineStr">
        <is>
          <t>https://wiki.warframe.com/w/Helminth | https://wiki.warframe.com/w/Archon_Shard | https://wiki.warframe.com/w/Netracells | https://wiki.warframe.com/w/Orbiter_Segments | https://wiki.warframe.com/w/The_Icebind</t>
        </is>
      </c>
      <c r="D264" t="inlineStr">
        <is>
          <t>ExportResources</t>
        </is>
      </c>
      <c r="F264" t="inlineStr">
        <is>
          <t>ARCHON SHARD</t>
        </is>
      </c>
      <c r="H264" t="inlineStr">
        <is>
          <t>Solved: current place verified and archived 2026-10-16.</t>
        </is>
      </c>
      <c r="I264" t="inlineStr">
        <is>
          <t>Resources</t>
        </is>
      </c>
      <c r="J264" t="inlineStr">
        <is>
          <t>Resources_data</t>
        </is>
      </c>
      <c r="K264" t="inlineStr">
        <is>
          <t>Resources/data</t>
        </is>
      </c>
      <c r="L264" t="inlineStr">
        <is>
          <t>listed, no place</t>
        </is>
      </c>
      <c r="M264" t="inlineStr">
        <is>
          <t>Purchase the weekly Archon Shard from Bird 3 for 30,000 Standing (Cavia Rank 5 - Illuminate), or find them in Netracells and Deep Archimedea.</t>
        </is>
      </c>
      <c r="N264" t="inlineStr">
        <is>
          <t>Helminth | Archon Shard | Netracells | Orbiter Segments | The Icebind</t>
        </is>
      </c>
      <c r="O264" t="inlineStr">
        <is>
          <t>We found more than one answer for where it comes from. Look at place from wiki page — the answers are separated by | — and pick the right one.</t>
        </is>
      </c>
    </row>
    <row r="265">
      <c r="A265" t="inlineStr">
        <is>
          <t>/Lotus/Types/Recipes/Weapons/WeaponParts/AcceltraPrimeBarrel</t>
        </is>
      </c>
      <c r="B265" t="inlineStr">
        <is>
          <t>Acceltra Prime Barrel</t>
        </is>
      </c>
      <c r="C265" t="inlineStr">
        <is>
          <t>https://wiki.warframe.com/w/Acceltra_Prime | https://wiki.warframe.com/w/Lith_A11 | https://wiki.warframe.com/w/Neo_A14 | https://wiki.warframe.com/w/Neo_A13 | https://wiki.warframe.com/w/Meso_A5</t>
        </is>
      </c>
      <c r="D265" t="inlineStr">
        <is>
          <t>ExportResources</t>
        </is>
      </c>
      <c r="F265" t="inlineStr">
        <is>
          <t>Acceltra Prime Barrel</t>
        </is>
      </c>
      <c r="H265" t="inlineStr">
        <is>
          <t>Solved: current place verified and archived 2026-10-16.</t>
        </is>
      </c>
      <c r="I265" t="inlineStr">
        <is>
          <t>Resources</t>
        </is>
      </c>
      <c r="J265" t="inlineStr">
        <is>
          <t>Lith A11 Relic (Rare) | Meso A5 Relic (Rare) | Neo A15 Relic (Rare) | Neo A14 Relic (Rare) | Neo A13 Relic (Rare) | Neo A12 Relic (Rare)</t>
        </is>
      </c>
      <c r="K265" t="inlineStr">
        <is>
          <t>Void/data</t>
        </is>
      </c>
      <c r="L265" t="inlineStr">
        <is>
          <t>name</t>
        </is>
      </c>
      <c r="M265" t="inlineStr">
        <is>
          <t>Lith A11, Neo A14, Neo A13 and Meso A5 relic drops (vaulted; trade only).</t>
        </is>
      </c>
      <c r="N265" t="inlineStr">
        <is>
          <t>Lith A11 | Neo A14 | Neo A13 | Meso A5</t>
        </is>
      </c>
      <c r="O265" t="inlineStr">
        <is>
          <t>Saved a concrete acquisition place from the official Warframe Wiki. Relic pages list this part in their reward table.</t>
        </is>
      </c>
    </row>
    <row r="266">
      <c r="A266" t="inlineStr">
        <is>
          <t>/Lotus/Types/Recipes/Weapons/WeaponParts/AcceltraPrimeReceiver</t>
        </is>
      </c>
      <c r="B266" t="inlineStr">
        <is>
          <t>Acceltra Prime Receiver</t>
        </is>
      </c>
      <c r="C266" t="inlineStr">
        <is>
          <t>https://wiki.warframe.com/w/Neo_M6 | https://wiki.warframe.com/w/Axi_O6 | https://wiki.warframe.com/w/Meso_L3 | https://wiki.warframe.com/w/Axi_Z2 | https://wiki.warframe.com/w/Neo_F3</t>
        </is>
      </c>
      <c r="D266" t="inlineStr">
        <is>
          <t>ExportResources</t>
        </is>
      </c>
      <c r="F266" t="inlineStr">
        <is>
          <t>Acceltra Prime Receiver</t>
        </is>
      </c>
      <c r="H266" t="inlineStr">
        <is>
          <t>Solved: current place verified and archived 2026-10-16.</t>
        </is>
      </c>
      <c r="I266" t="inlineStr">
        <is>
          <t>Resources</t>
        </is>
      </c>
      <c r="J266" t="inlineStr">
        <is>
          <t>Axi Z2 Relic (Uncommon) | Neo L4 Relic (Uncommon) | Neo O2 Relic (Uncommon) | Meso K7 Relic (Uncommon) | Meso L3 Relic (Uncommon) | Neo M6 Relic (Uncommon) | Neo F3 Relic (Uncommon) | Axi O6 Relic (Uncommon)</t>
        </is>
      </c>
      <c r="K266" t="inlineStr">
        <is>
          <t>Void/data</t>
        </is>
      </c>
      <c r="L266" t="inlineStr">
        <is>
          <t>name</t>
        </is>
      </c>
      <c r="M266" t="inlineStr">
        <is>
          <t>Neo M6, Axi O6, Meso L3, Axi Z2 and Neo F3 relic drops (vaulted; trade only).</t>
        </is>
      </c>
      <c r="N266" t="inlineStr">
        <is>
          <t>Neo M6 | Axi O6 | Meso L3 | Axi Z2 | Neo F3</t>
        </is>
      </c>
      <c r="O266" t="inlineStr">
        <is>
          <t>Saved a concrete acquisition place from the official Warframe Wiki. Relic pages list this part in their reward table.</t>
        </is>
      </c>
    </row>
    <row r="267">
      <c r="A267" t="inlineStr">
        <is>
          <t>/Lotus/Types/Recipes/Weapons/WeaponParts/AcceltraPrimeStock</t>
        </is>
      </c>
      <c r="B267" t="inlineStr">
        <is>
          <t>Acceltra Prime Stock</t>
        </is>
      </c>
      <c r="C267" t="inlineStr">
        <is>
          <t>https://wiki.warframe.com/w/Acceltra_Prime | https://wiki.warframe.com/w/Meso_A8 | https://wiki.warframe.com/w/Meso_A11 | https://wiki.warframe.com/w/Axi_A18 | https://wiki.warframe.com/w/Axi_A19</t>
        </is>
      </c>
      <c r="D267" t="inlineStr">
        <is>
          <t>ExportResources</t>
        </is>
      </c>
      <c r="F267" t="inlineStr">
        <is>
          <t>Acceltra Prime Stock</t>
        </is>
      </c>
      <c r="H267" t="inlineStr">
        <is>
          <t>Solved: current place verified and archived 2026-10-16.</t>
        </is>
      </c>
      <c r="I267" t="inlineStr">
        <is>
          <t>Resources</t>
        </is>
      </c>
      <c r="J267" t="inlineStr">
        <is>
          <t>Axi A18 Relic (Rare) | Meso A8 Relic (Rare) | Axi A19 Relic (Rare) | Meso A11 Relic (Uncommon)</t>
        </is>
      </c>
      <c r="K267" t="inlineStr">
        <is>
          <t>Void/data</t>
        </is>
      </c>
      <c r="L267" t="inlineStr">
        <is>
          <t>name</t>
        </is>
      </c>
      <c r="M267" t="inlineStr">
        <is>
          <t>Meso A8, Meso A11, Axi A18 and Axi A19 relic drops (vaulted; trade only).</t>
        </is>
      </c>
      <c r="N267" t="inlineStr">
        <is>
          <t>Meso A8 | Meso A11 | Axi A18 | Axi A19</t>
        </is>
      </c>
      <c r="O267" t="inlineStr">
        <is>
          <t>Saved a concrete acquisition place from the official Warframe Wiki. Relic pages list this part in their reward table.</t>
        </is>
      </c>
    </row>
    <row r="268">
      <c r="A268" t="inlineStr">
        <is>
          <t>/Lotus/Types/Items/ShipDecos/NokkoMushroomScrawlPosterG</t>
        </is>
      </c>
      <c r="B268" t="inlineStr">
        <is>
          <t>Adventure Walk Cave Art</t>
        </is>
      </c>
      <c r="C268" t="inlineStr">
        <is>
          <t>https://wiki.warframe.com/w/Deepmines | https://wiki.warframe.com/w/Nonono | https://wiki.warframe.com/w/Violet's_Bane | https://wiki.warframe.com/w/Vomval_Trumpet | https://wiki.warframe.com/w/Decorations/Orbiter_Decorations</t>
        </is>
      </c>
      <c r="D268" t="inlineStr">
        <is>
          <t>ExportResources</t>
        </is>
      </c>
      <c r="F268" t="inlineStr">
        <is>
          <t>Adventure Walk Cave Art</t>
        </is>
      </c>
      <c r="H268" t="inlineStr">
        <is>
          <t>Solved: current place verified and archived 2026-10-16.</t>
        </is>
      </c>
      <c r="I268" t="inlineStr">
        <is>
          <t>Resources</t>
        </is>
      </c>
      <c r="M268" t="inlineStr">
        <is>
          <t>Interact with the Sprodling in the hidden cave in the Deepmines Caves tile (Orb Vallis) to get the blueprint.</t>
        </is>
      </c>
      <c r="N268" t="inlineStr">
        <is>
          <t>Deepmines</t>
        </is>
      </c>
      <c r="O268" t="inlineStr">
        <is>
          <t>Saved a concrete acquisition place from the official Warframe Wiki. Deepmines page Cave Art and Somachords table gives the location and Foundry cost.</t>
        </is>
      </c>
    </row>
    <row r="269">
      <c r="A269" t="inlineStr">
        <is>
          <t>/Lotus/Types/Recipes/Weapons/WeaponParts/DuviriRifleBarrel</t>
        </is>
      </c>
      <c r="B269" t="inlineStr">
        <is>
          <t>Aeolak Barrel</t>
        </is>
      </c>
      <c r="C269" t="inlineStr">
        <is>
          <t>https://wiki.warframe.com/w/Thrax_Plasm | https://wiki.warframe.com/w/Voidplume_Quill</t>
        </is>
      </c>
      <c r="D269" t="inlineStr">
        <is>
          <t>ExportResources</t>
        </is>
      </c>
      <c r="F269" t="inlineStr">
        <is>
          <t>Aeolak Barrel</t>
        </is>
      </c>
      <c r="H269" t="inlineStr">
        <is>
          <t>Solved: current place verified and archived 2026-10-16.</t>
        </is>
      </c>
      <c r="I269" t="inlineStr">
        <is>
          <t>Resources</t>
        </is>
      </c>
      <c r="L269" t="inlineStr">
        <is>
          <t>DropTablesJSON_Missions, DropTables_JSON_Missions, DropTables_data, drop_reverse_index_v2</t>
        </is>
      </c>
      <c r="M269" t="inlineStr">
        <is>
          <t>Blueprint drops from Void Cascade.</t>
        </is>
      </c>
      <c r="N269" t="inlineStr">
        <is>
          <t>Aeolak</t>
        </is>
      </c>
      <c r="O269" t="inlineStr">
        <is>
          <t>Saved a concrete acquisition place from the official Warframe Wiki. Aeolak page Acquisition (the page is not in column C; Thrax Plasm / Voidplume Quill pages only list crafting costs).</t>
        </is>
      </c>
    </row>
    <row r="270">
      <c r="A270" t="inlineStr">
        <is>
          <t>/Lotus/Types/Recipes/Weapons/WeaponParts/DuviriRifleReceiver</t>
        </is>
      </c>
      <c r="B270" t="inlineStr">
        <is>
          <t>Aeolak Receiver</t>
        </is>
      </c>
      <c r="C270" t="inlineStr">
        <is>
          <t>https://wiki.warframe.com/w/Thrax_Plasm | https://wiki.warframe.com/w/Voidplume_Quill</t>
        </is>
      </c>
      <c r="D270" t="inlineStr">
        <is>
          <t>ExportResources</t>
        </is>
      </c>
      <c r="F270" t="inlineStr">
        <is>
          <t>Aeolak Receiver</t>
        </is>
      </c>
      <c r="H270" t="inlineStr">
        <is>
          <t>Solved: current place verified and archived 2026-10-16.</t>
        </is>
      </c>
      <c r="I270" t="inlineStr">
        <is>
          <t>Resources</t>
        </is>
      </c>
      <c r="L270" t="inlineStr">
        <is>
          <t>DropTablesJSON_Missions, DropTables_JSON_Missions, DropTables_data, drop_reverse_index_v2</t>
        </is>
      </c>
      <c r="M270" t="inlineStr">
        <is>
          <t>Blueprint drops from Void Flood.</t>
        </is>
      </c>
      <c r="N270" t="inlineStr">
        <is>
          <t>Aeolak</t>
        </is>
      </c>
      <c r="O270" t="inlineStr">
        <is>
          <t>Saved a concrete acquisition place from the official Warframe Wiki. Aeolak page Acquisition.</t>
        </is>
      </c>
    </row>
    <row r="271">
      <c r="A271" t="inlineStr">
        <is>
          <t>/Lotus/Types/Recipes/Weapons/WeaponParts/DuviriRifleStock</t>
        </is>
      </c>
      <c r="B271" t="inlineStr">
        <is>
          <t>Aeolak Stock</t>
        </is>
      </c>
      <c r="C271" t="inlineStr">
        <is>
          <t>https://wiki.warframe.com/w/Thrax_Plasm | https://wiki.warframe.com/w/Voidplume_Quill</t>
        </is>
      </c>
      <c r="D271" t="inlineStr">
        <is>
          <t>ExportResources</t>
        </is>
      </c>
      <c r="F271" t="inlineStr">
        <is>
          <t>Aeolak Stock</t>
        </is>
      </c>
      <c r="H271" t="inlineStr">
        <is>
          <t>Solved: current place verified and archived 2026-10-16.</t>
        </is>
      </c>
      <c r="I271" t="inlineStr">
        <is>
          <t>Resources</t>
        </is>
      </c>
      <c r="L271" t="inlineStr">
        <is>
          <t>DropTablesJSON_Missions, DropTables_JSON_Missions, DropTables_data, drop_reverse_index_v2</t>
        </is>
      </c>
      <c r="M271" t="inlineStr">
        <is>
          <t>Blueprint drops from Void Flood.</t>
        </is>
      </c>
      <c r="N271" t="inlineStr">
        <is>
          <t>Aeolak</t>
        </is>
      </c>
      <c r="O271" t="inlineStr">
        <is>
          <t>Saved a concrete acquisition place from the official Warframe Wiki. Aeolak page Acquisition.</t>
        </is>
      </c>
    </row>
    <row r="272">
      <c r="A272" t="inlineStr">
        <is>
          <t>/Lotus/Types/Recipes/Weapons/WeaponParts/AfentisPrimeBarrel</t>
        </is>
      </c>
      <c r="B272" t="inlineStr">
        <is>
          <t>Afentis Prime Barrel</t>
        </is>
      </c>
      <c r="C272" t="inlineStr">
        <is>
          <t>https://wiki.warframe.com/w/Neo_C10 | https://wiki.warframe.com/w/Neo_C8 | https://wiki.warframe.com/w/Void_Relic/ByRelic | https://wiki.warframe.com/w/Void_Relic/ByRarity | https://wiki.warframe.com/w/Void_Relic/ByRewards</t>
        </is>
      </c>
      <c r="D272" t="inlineStr">
        <is>
          <t>ExportResources</t>
        </is>
      </c>
      <c r="F272" t="inlineStr">
        <is>
          <t>Afentis Prime Barrel</t>
        </is>
      </c>
      <c r="H272" t="inlineStr">
        <is>
          <t>Solved: current place verified and archived 2026-10-16.</t>
        </is>
      </c>
      <c r="I272" t="inlineStr">
        <is>
          <t>Resources</t>
        </is>
      </c>
      <c r="J272" t="inlineStr">
        <is>
          <t>Neo C8 Relic (Uncommon) | Neo C10 Relic (Uncommon)</t>
        </is>
      </c>
      <c r="K272" t="inlineStr">
        <is>
          <t>Void/data</t>
        </is>
      </c>
      <c r="L272" t="inlineStr">
        <is>
          <t>name</t>
        </is>
      </c>
      <c r="M272" t="inlineStr">
        <is>
          <t>Neo C10 relic drop.</t>
        </is>
      </c>
      <c r="N272" t="inlineStr">
        <is>
          <t>Neo C10 | Neo C8</t>
        </is>
      </c>
      <c r="O272" t="inlineStr">
        <is>
          <t>Saved a concrete acquisition place from the official Warframe Wiki. Relic pages list this part in their reward table.</t>
        </is>
      </c>
    </row>
    <row r="273">
      <c r="A273" t="inlineStr">
        <is>
          <t>/Lotus/Types/Recipes/Weapons/WeaponParts/AfentisPrimeBlade</t>
        </is>
      </c>
      <c r="B273" t="inlineStr">
        <is>
          <t>Afentis Prime Blade</t>
        </is>
      </c>
      <c r="C273" t="inlineStr">
        <is>
          <t>https://wiki.warframe.com/w/Meso_A12 | https://wiki.warframe.com/w/Void_Relic/ByRarity | https://wiki.warframe.com/w/Void_Relic/ByRarity/Meso | https://wiki.warframe.com/w/Ducats/Prices/Meso | https://wiki.warframe.com/w/Void_Relic/ByRelic</t>
        </is>
      </c>
      <c r="D273" t="inlineStr">
        <is>
          <t>ExportResources</t>
        </is>
      </c>
      <c r="F273" t="inlineStr">
        <is>
          <t>Afentis Prime Blade</t>
        </is>
      </c>
      <c r="H273" t="inlineStr">
        <is>
          <t>Solved: current place verified and archived 2026-10-16.</t>
        </is>
      </c>
      <c r="I273" t="inlineStr">
        <is>
          <t>Resources</t>
        </is>
      </c>
      <c r="J273" t="inlineStr">
        <is>
          <t>Meso A12 Relic (Rare)</t>
        </is>
      </c>
      <c r="K273" t="inlineStr">
        <is>
          <t>Void/data</t>
        </is>
      </c>
      <c r="L273" t="inlineStr">
        <is>
          <t>name</t>
        </is>
      </c>
      <c r="M273" t="inlineStr">
        <is>
          <t>Meso A12 relic drop.</t>
        </is>
      </c>
      <c r="N273" t="inlineStr">
        <is>
          <t>Meso A12</t>
        </is>
      </c>
      <c r="O273" t="inlineStr">
        <is>
          <t>Saved a concrete acquisition place from the official Warframe Wiki. Relic pages list this part in their reward table.</t>
        </is>
      </c>
    </row>
    <row r="274">
      <c r="A274" t="inlineStr">
        <is>
          <t>/Lotus/Types/Recipes/Weapons/WeaponParts/AfentisPrimeHandle</t>
        </is>
      </c>
      <c r="B274" t="inlineStr">
        <is>
          <t>Afentis Prime Handle</t>
        </is>
      </c>
      <c r="C274" t="inlineStr">
        <is>
          <t>https://wiki.warframe.com/w/Meso_D9 | https://wiki.warframe.com/w/Lith_Q3 | https://wiki.warframe.com/w/Void_Relic/ByRarity | https://wiki.warframe.com/w/Void_Relic/ByRelic | https://wiki.warframe.com/w/Void_Relic/ByRarity/Lith</t>
        </is>
      </c>
      <c r="D274" t="inlineStr">
        <is>
          <t>ExportResources</t>
        </is>
      </c>
      <c r="F274" t="inlineStr">
        <is>
          <t>Afentis Prime Handle</t>
        </is>
      </c>
      <c r="H274" t="inlineStr">
        <is>
          <t>Solved: current place verified and archived 2026-10-16.</t>
        </is>
      </c>
      <c r="I274" t="inlineStr">
        <is>
          <t>Resources</t>
        </is>
      </c>
      <c r="J274" t="inlineStr">
        <is>
          <t>Lith Q3 Relic (Common) | Meso D9 Relic (Common)</t>
        </is>
      </c>
      <c r="K274" t="inlineStr">
        <is>
          <t>Void/data</t>
        </is>
      </c>
      <c r="L274" t="inlineStr">
        <is>
          <t>name</t>
        </is>
      </c>
      <c r="M274" t="inlineStr">
        <is>
          <t>Meso D9 relic drop.</t>
        </is>
      </c>
      <c r="N274" t="inlineStr">
        <is>
          <t>Meso D9 | Lith Q3</t>
        </is>
      </c>
      <c r="O274" t="inlineStr">
        <is>
          <t>Saved a concrete acquisition place from the official Warframe Wiki. Relic pages list this part in their reward table.</t>
        </is>
      </c>
    </row>
    <row r="275">
      <c r="A275" t="inlineStr">
        <is>
          <t>/Lotus/Types/Items/ShipDecos/DomsFinalDrink</t>
        </is>
      </c>
      <c r="B275" t="inlineStr">
        <is>
          <t>Aged Claret of DeNas</t>
        </is>
      </c>
      <c r="C275" t="inlineStr">
        <is>
          <t>https://wiki.warframe.com/w/Baro_Ki%27Teer/TennoCon_Items</t>
        </is>
      </c>
      <c r="D275" t="inlineStr">
        <is>
          <t>ExportResources</t>
        </is>
      </c>
      <c r="F275" t="inlineStr">
        <is>
          <t>Aged Claret of DeNas</t>
        </is>
      </c>
      <c r="H275" t="inlineStr">
        <is>
          <t>Solved: current place verified and archived 2026-10-16.</t>
        </is>
      </c>
      <c r="I275" t="inlineStr">
        <is>
          <t>Resources</t>
        </is>
      </c>
      <c r="J275" t="inlineStr">
        <is>
          <t>Baro Ki'Teer (100 ducats, 100,000 credits)</t>
        </is>
      </c>
      <c r="K275" t="inlineStr">
        <is>
          <t>Baro/data</t>
        </is>
      </c>
      <c r="L275" t="inlineStr">
        <is>
          <t>case</t>
        </is>
      </c>
      <c r="M275" t="inlineStr">
        <is>
          <t>Sold by Baro Ki'Teer at the TennoCon Relay (Baro's Relay Ticket required).</t>
        </is>
      </c>
      <c r="N275" t="inlineStr">
        <is>
          <t>Baro Ki'Teer/TennoCon Items</t>
        </is>
      </c>
      <c r="O275" t="inlineStr">
        <is>
          <t>Saved a concrete acquisition place from the official Warframe Wiki. TennoCon Items page lists the item.</t>
        </is>
      </c>
    </row>
    <row r="276">
      <c r="A276" t="inlineStr">
        <is>
          <t>/Lotus/Types/Items/ShipDecos/Props/LisetPropDUVxRockContainerItem</t>
        </is>
      </c>
      <c r="B276" t="inlineStr">
        <is>
          <t>Aggri Formation Decoration</t>
        </is>
      </c>
      <c r="C276" t="inlineStr">
        <is>
          <t>https://wiki.warframe.com/w/Acrithis</t>
        </is>
      </c>
      <c r="D276" t="inlineStr">
        <is>
          <t>ExportResources</t>
        </is>
      </c>
      <c r="F276" t="inlineStr">
        <is>
          <t>Aggri Formation Decoration</t>
        </is>
      </c>
      <c r="H276" t="inlineStr">
        <is>
          <t>Solved: current place verified and archived 2026-10-16.</t>
        </is>
      </c>
      <c r="I276" t="inlineStr">
        <is>
          <t>Resources</t>
        </is>
      </c>
      <c r="M276" t="inlineStr">
        <is>
          <t>Purchase from Acrithis in Duviri; decorations rotate every few hours.</t>
        </is>
      </c>
      <c r="N276" t="inlineStr">
        <is>
          <t>Acrithis</t>
        </is>
      </c>
      <c r="O276" t="inlineStr">
        <is>
          <t>Saved a concrete acquisition place from the official Warframe Wiki. Acrithis page Wares section lists it among the decorations.</t>
        </is>
      </c>
    </row>
    <row r="277">
      <c r="A277" t="inlineStr">
        <is>
          <t>/Lotus/Types/Recipes/Weapons/WeaponParts/AkariusPrimeBarrel</t>
        </is>
      </c>
      <c r="B277" t="inlineStr">
        <is>
          <t>Akarius Prime Barrel</t>
        </is>
      </c>
      <c r="C277" t="inlineStr">
        <is>
          <t>https://wiki.warframe.com/w/Akarius_Prime | https://wiki.warframe.com/w/Neo_X1 | https://wiki.warframe.com/w/Neo_D10 | https://wiki.warframe.com/w/Lith_O4 | https://wiki.warframe.com/w/Neo_M6</t>
        </is>
      </c>
      <c r="D277" t="inlineStr">
        <is>
          <t>ExportResources</t>
        </is>
      </c>
      <c r="F277" t="inlineStr">
        <is>
          <t>Akarius Prime Barrel</t>
        </is>
      </c>
      <c r="H277" t="inlineStr">
        <is>
          <t>Solved: current place verified and archived 2026-10-16.</t>
        </is>
      </c>
      <c r="I277" t="inlineStr">
        <is>
          <t>Resources</t>
        </is>
      </c>
      <c r="J277" t="inlineStr">
        <is>
          <t>Lith O4 Relic (Common) | Axi D5 Relic (Common) | Axi H8 Relic (Common) | Neo X1 Relic (Common) | Neo M6 Relic (Common) | Neo D10 Relic (Common) | Neo A13 Relic (Common) | Neo A12 Relic (Common)</t>
        </is>
      </c>
      <c r="K277" t="inlineStr">
        <is>
          <t>Void/data</t>
        </is>
      </c>
      <c r="L277" t="inlineStr">
        <is>
          <t>name</t>
        </is>
      </c>
      <c r="M277" t="inlineStr">
        <is>
          <t>Neo X1, Neo D10, Lith O4 and Neo M6 relic drops (vaulted; trade only).</t>
        </is>
      </c>
      <c r="N277" t="inlineStr">
        <is>
          <t>Neo X1 | Neo D10 | Lith O4 | Neo M6</t>
        </is>
      </c>
      <c r="O277" t="inlineStr">
        <is>
          <t>Saved a concrete acquisition place from the official Warframe Wiki. Relic pages list this part in their reward table.</t>
        </is>
      </c>
    </row>
    <row r="278">
      <c r="A278" t="inlineStr">
        <is>
          <t>/Lotus/Types/Recipes/Weapons/WeaponParts/AkariusPrimeLink</t>
        </is>
      </c>
      <c r="B278" t="inlineStr">
        <is>
          <t>Akarius Prime Link</t>
        </is>
      </c>
      <c r="C278" t="inlineStr">
        <is>
          <t>https://wiki.warframe.com/w/Akarius_Prime | https://wiki.warframe.com/w/Meso_T7 | https://wiki.warframe.com/w/Meso_P16 | https://wiki.warframe.com/w/Lith_A11 | https://wiki.warframe.com/w/Meso_T8</t>
        </is>
      </c>
      <c r="D278" t="inlineStr">
        <is>
          <t>ExportResources</t>
        </is>
      </c>
      <c r="F278" t="inlineStr">
        <is>
          <t>Akarius Prime Link</t>
        </is>
      </c>
      <c r="H278" t="inlineStr">
        <is>
          <t>Solved: current place verified and archived 2026-10-16.</t>
        </is>
      </c>
      <c r="I278" t="inlineStr">
        <is>
          <t>Resources</t>
        </is>
      </c>
      <c r="J278" t="inlineStr">
        <is>
          <t>Lith A11 Relic (Uncommon) | Lith R5 Relic (Uncommon) | Meso N17 Relic (Uncommon) | Meso P16 Relic (Uncommon) | Meso T7 Relic (Uncommon) | Meso T8 Relic (Uncommon) | Axi Y2 Relic (Uncommon)</t>
        </is>
      </c>
      <c r="K278" t="inlineStr">
        <is>
          <t>Void/data</t>
        </is>
      </c>
      <c r="L278" t="inlineStr">
        <is>
          <t>name</t>
        </is>
      </c>
      <c r="M278" t="inlineStr">
        <is>
          <t>Meso T7, Meso P16, Lith A11 and Meso T8 relic drops (vaulted; trade only).</t>
        </is>
      </c>
      <c r="N278" t="inlineStr">
        <is>
          <t>Meso T7 | Meso P16 | Lith A11 | Meso T8</t>
        </is>
      </c>
      <c r="O278" t="inlineStr">
        <is>
          <t>Saved a concrete acquisition place from the official Warframe Wiki. Relic pages list this part in their reward table.</t>
        </is>
      </c>
    </row>
    <row r="279">
      <c r="A279" t="inlineStr">
        <is>
          <t>/Lotus/Types/Recipes/Weapons/WeaponParts/AkariusPrimeReceiver</t>
        </is>
      </c>
      <c r="B279" t="inlineStr">
        <is>
          <t>Akarius Prime Receiver</t>
        </is>
      </c>
      <c r="C279" t="inlineStr">
        <is>
          <t>https://wiki.warframe.com/w/Akarius_Prime | https://wiki.warframe.com/w/Neo_G10 | https://wiki.warframe.com/w/Lith_A10 | https://wiki.warframe.com/w/Lith_A8 | https://wiki.warframe.com/w/Lith_A6</t>
        </is>
      </c>
      <c r="D279" t="inlineStr">
        <is>
          <t>ExportResources</t>
        </is>
      </c>
      <c r="F279" t="inlineStr">
        <is>
          <t>Akarius Prime Receiver</t>
        </is>
      </c>
      <c r="H279" t="inlineStr">
        <is>
          <t>Solved: current place verified and archived 2026-10-16.</t>
        </is>
      </c>
      <c r="I279" t="inlineStr">
        <is>
          <t>Resources</t>
        </is>
      </c>
      <c r="J279" t="inlineStr">
        <is>
          <t>Lith A6 Relic (Rare) | Lith A7 Relic (Rare) | Lith A8 Relic (Rare) | Lith A10 Relic (Rare) | Neo G10 Relic (Uncommon)</t>
        </is>
      </c>
      <c r="K279" t="inlineStr">
        <is>
          <t>Void/data</t>
        </is>
      </c>
      <c r="L279" t="inlineStr">
        <is>
          <t>name</t>
        </is>
      </c>
      <c r="M279" t="inlineStr">
        <is>
          <t>Neo G10, Lith A10, Lith A8 and Lith A6 relic drops (vaulted; trade only).</t>
        </is>
      </c>
      <c r="N279" t="inlineStr">
        <is>
          <t>Neo G10 | Lith A10 | Lith A8 | Lith A6</t>
        </is>
      </c>
      <c r="O279" t="inlineStr">
        <is>
          <t>Saved a concrete acquisition place from the official Warframe Wiki. Relic pages list this part in their reward table.</t>
        </is>
      </c>
    </row>
    <row r="280">
      <c r="A280" t="inlineStr">
        <is>
          <t>/Lotus/Types/Recipes/Weapons/WeaponParts/AkmagnusPrimeLink</t>
        </is>
      </c>
      <c r="B280" t="inlineStr">
        <is>
          <t>Akmagnus Prime Link</t>
        </is>
      </c>
      <c r="C280" t="inlineStr">
        <is>
          <t>https://wiki.warframe.com/w/Akmagnus_Prime | https://wiki.warframe.com/w/Axi_M5 | https://wiki.warframe.com/w/Void_Relic/ByRarity | https://wiki.warframe.com/w/Void_Relic/ByRarity/Axi | https://wiki.warframe.com/w/Ducats/Prices/Axi</t>
        </is>
      </c>
      <c r="D280" t="inlineStr">
        <is>
          <t>ExportResources</t>
        </is>
      </c>
      <c r="F280" t="inlineStr">
        <is>
          <t>Akmagnus Prime Link</t>
        </is>
      </c>
      <c r="H280" t="inlineStr">
        <is>
          <t>Solved: current place verified and archived 2026-10-16.</t>
        </is>
      </c>
      <c r="I280" t="inlineStr">
        <is>
          <t>Resources</t>
        </is>
      </c>
      <c r="J280" t="inlineStr">
        <is>
          <t>Axi M5 Relic (Uncommon)</t>
        </is>
      </c>
      <c r="K280" t="inlineStr">
        <is>
          <t>Void/data</t>
        </is>
      </c>
      <c r="L280" t="inlineStr">
        <is>
          <t>name</t>
        </is>
      </c>
      <c r="M280" t="inlineStr">
        <is>
          <t>Axi M5 relic drop.</t>
        </is>
      </c>
      <c r="N280" t="inlineStr">
        <is>
          <t>Axi M5</t>
        </is>
      </c>
      <c r="O280" t="inlineStr">
        <is>
          <t>Saved a concrete acquisition place from the official Warframe Wiki. Relic pages list this part in their reward table.</t>
        </is>
      </c>
    </row>
    <row r="281">
      <c r="A281" t="inlineStr">
        <is>
          <t>/Lotus/Types/Recipes/Weapons/WeaponParts/DuelistPistolsBarrel</t>
        </is>
      </c>
      <c r="B281" t="inlineStr">
        <is>
          <t>Aksondol Barrel</t>
        </is>
      </c>
      <c r="C281" t="inlineStr">
        <is>
          <t>https://wiki.warframe.com/w/Entropic_Kuva | https://wiki.warframe.com/w/Cephalon_Melica | https://wiki.warframe.com/w/Entrati_Lanthorn | https://wiki.warframe.com/w/Alloy_Plate</t>
        </is>
      </c>
      <c r="D281" t="inlineStr">
        <is>
          <t>ExportResources</t>
        </is>
      </c>
      <c r="F281" t="inlineStr">
        <is>
          <t>Aksondol Barrel</t>
        </is>
      </c>
      <c r="H281" t="inlineStr">
        <is>
          <t>Solved: current place verified and archived 2026-10-16.</t>
        </is>
      </c>
      <c r="I281" t="inlineStr">
        <is>
          <t>Resources</t>
        </is>
      </c>
      <c r="M281" t="inlineStr">
        <is>
          <t>Purchase the blueprint from Cephalon Melica for 30 Entropic Kuva.</t>
        </is>
      </c>
      <c r="N281" t="inlineStr">
        <is>
          <t>Cephalon Melica</t>
        </is>
      </c>
      <c r="O281" t="inlineStr">
        <is>
          <t>Saved a concrete acquisition place from the official Warframe Wiki. Cephalon Melica page lists the blueprint in Classroom Supplies.</t>
        </is>
      </c>
    </row>
    <row r="282">
      <c r="A282" t="inlineStr">
        <is>
          <t>/Lotus/Types/Recipes/Weapons/WeaponParts/DuelistPistolsLink</t>
        </is>
      </c>
      <c r="B282" t="inlineStr">
        <is>
          <t>Aksondol Link</t>
        </is>
      </c>
      <c r="C282" t="inlineStr">
        <is>
          <t>https://wiki.warframe.com/w/Entropic_Kuva | https://wiki.warframe.com/w/Cephalon_Melica | https://wiki.warframe.com/w/Nano_Spores</t>
        </is>
      </c>
      <c r="D282" t="inlineStr">
        <is>
          <t>ExportResources</t>
        </is>
      </c>
      <c r="F282" t="inlineStr">
        <is>
          <t>Aksondol Link</t>
        </is>
      </c>
      <c r="H282" t="inlineStr">
        <is>
          <t>Solved: current place verified and archived 2026-10-16.</t>
        </is>
      </c>
      <c r="I282" t="inlineStr">
        <is>
          <t>Resources</t>
        </is>
      </c>
      <c r="M282" t="inlineStr">
        <is>
          <t>Purchase the blueprint from Cephalon Melica for 60 Entropic Kuva.</t>
        </is>
      </c>
      <c r="N282" t="inlineStr">
        <is>
          <t>Cephalon Melica</t>
        </is>
      </c>
      <c r="O282" t="inlineStr">
        <is>
          <t>Saved a concrete acquisition place from the official Warframe Wiki. Cephalon Melica page lists the blueprint in Classroom Supplies.</t>
        </is>
      </c>
    </row>
    <row r="283">
      <c r="A283" t="inlineStr">
        <is>
          <t>/Lotus/Types/Recipes/Weapons/WeaponParts/DuelistPistolsReceiver</t>
        </is>
      </c>
      <c r="B283" t="inlineStr">
        <is>
          <t>Aksondol Receiver</t>
        </is>
      </c>
      <c r="C283" t="inlineStr">
        <is>
          <t>https://wiki.warframe.com/w/Entropic_Kuva | https://wiki.warframe.com/w/Cephalon_Melica</t>
        </is>
      </c>
      <c r="D283" t="inlineStr">
        <is>
          <t>ExportResources</t>
        </is>
      </c>
      <c r="F283" t="inlineStr">
        <is>
          <t>Aksondol Receiver</t>
        </is>
      </c>
      <c r="H283" t="inlineStr">
        <is>
          <t>Solved: current place verified and archived 2026-10-16.</t>
        </is>
      </c>
      <c r="I283" t="inlineStr">
        <is>
          <t>Resources</t>
        </is>
      </c>
      <c r="M283" t="inlineStr">
        <is>
          <t>Purchase the blueprint from Cephalon Melica for 30 Entropic Kuva.</t>
        </is>
      </c>
      <c r="N283" t="inlineStr">
        <is>
          <t>Cephalon Melica</t>
        </is>
      </c>
      <c r="O283" t="inlineStr">
        <is>
          <t>Saved a concrete acquisition place from the official Warframe Wiki. Cephalon Melica page lists the blueprint in Classroom Supplies.</t>
        </is>
      </c>
    </row>
    <row r="284">
      <c r="A284" t="inlineStr">
        <is>
          <t>/Lotus/Types/Items/ShipDecos/AlbrechtPortrait</t>
        </is>
      </c>
      <c r="B284" t="inlineStr">
        <is>
          <t>Albrecht 1999 Display</t>
        </is>
      </c>
      <c r="C284" t="inlineStr">
        <is>
          <t>https://wiki.warframe.com/w/Decorations/Orbiter_Decorations</t>
        </is>
      </c>
      <c r="D284" t="inlineStr">
        <is>
          <t>ExportResources</t>
        </is>
      </c>
      <c r="F284" t="inlineStr">
        <is>
          <t>Albrecht 1999 Display</t>
        </is>
      </c>
      <c r="H284" t="inlineStr">
        <is>
          <t>Solved: current place verified and archived 2026-10-16.</t>
        </is>
      </c>
      <c r="I284" t="inlineStr">
        <is>
          <t>Resources</t>
        </is>
      </c>
      <c r="M284" t="inlineStr">
        <is>
          <t>In-game Market for 35 Platinum.</t>
        </is>
      </c>
      <c r="N284" t="inlineStr">
        <is>
          <t>Decorations/Orbiter Decorations | Update 35</t>
        </is>
      </c>
      <c r="O284" t="inlineStr">
        <is>
          <t>We copied where it comes from off the wiki page. See place from wiki page.</t>
        </is>
      </c>
    </row>
    <row r="285">
      <c r="A285" t="inlineStr">
        <is>
          <t>/Lotus/Types/Items/ShipDecos/WitWSupporterPoster</t>
        </is>
      </c>
      <c r="B285" t="inlineStr">
        <is>
          <t>Albrecht Jahu Display</t>
        </is>
      </c>
      <c r="C285" t="inlineStr">
        <is>
          <t>https://wiki.warframe.com/w/Decorations/Orbiter_Decorations</t>
        </is>
      </c>
      <c r="D285" t="inlineStr">
        <is>
          <t>ExportResources</t>
        </is>
      </c>
      <c r="F285" t="inlineStr">
        <is>
          <t>Albrecht Jahu Display</t>
        </is>
      </c>
      <c r="H285" t="inlineStr">
        <is>
          <t>Solved: current place verified and archived 2026-10-16.</t>
        </is>
      </c>
      <c r="I285" t="inlineStr">
        <is>
          <t>Resources</t>
        </is>
      </c>
      <c r="M285" t="inlineStr">
        <is>
          <t>In-game Market for 15 Platinum.</t>
        </is>
      </c>
      <c r="N285" t="inlineStr">
        <is>
          <t>Decorations/Orbiter Decorations | Update 35</t>
        </is>
      </c>
      <c r="O285" t="inlineStr">
        <is>
          <t>We copied where it comes from off the wiki page. See place from wiki page.</t>
        </is>
      </c>
    </row>
    <row r="286">
      <c r="A286" t="inlineStr">
        <is>
          <t>/Lotus/Types/Items/PhotoBooth/Entrati/PhotoboothTileArchives</t>
        </is>
      </c>
      <c r="B286" t="inlineStr">
        <is>
          <t>Albrecht’s Archive Scene</t>
        </is>
      </c>
      <c r="C286" t="inlineStr">
        <is>
          <t>https://wiki.warframe.com/w/Deimos</t>
        </is>
      </c>
      <c r="D286" t="inlineStr">
        <is>
          <t>ExportResources</t>
        </is>
      </c>
      <c r="F286" t="inlineStr">
        <is>
          <t>Albrecht’s Archive Scene</t>
        </is>
      </c>
      <c r="H286" t="inlineStr">
        <is>
          <t>Solved: current place verified and archived 2026-10-16.</t>
        </is>
      </c>
      <c r="I286" t="inlineStr">
        <is>
          <t>Resources</t>
        </is>
      </c>
      <c r="M286" t="inlineStr">
        <is>
          <t>Purchase from Bird 3 for 25,000 Standing at Rank 5 (Illuminate).</t>
        </is>
      </c>
      <c r="N286" t="inlineStr">
        <is>
          <t>Captura</t>
        </is>
      </c>
      <c r="O286" t="inlineStr">
        <is>
          <t>Saved a concrete acquisition place from the official Warframe Wiki. Captura scene table lists this scene with its acquisition note.</t>
        </is>
      </c>
    </row>
    <row r="287">
      <c r="A287" t="inlineStr">
        <is>
          <t>/Lotus/Types/Items/PhotoBooth/Entrati/PhotoboothTileCapRoomNarrow</t>
        </is>
      </c>
      <c r="B287" t="inlineStr">
        <is>
          <t>Albrecht’s Bureau Scene</t>
        </is>
      </c>
      <c r="C287" t="inlineStr">
        <is>
          <t>https://wiki.warframe.com/w/Deimos</t>
        </is>
      </c>
      <c r="D287" t="inlineStr">
        <is>
          <t>ExportResources</t>
        </is>
      </c>
      <c r="F287" t="inlineStr">
        <is>
          <t>Albrecht’s Bureau Scene</t>
        </is>
      </c>
      <c r="H287" t="inlineStr">
        <is>
          <t>Solved: current place verified and archived 2026-10-16.</t>
        </is>
      </c>
      <c r="I287" t="inlineStr">
        <is>
          <t>Resources</t>
        </is>
      </c>
      <c r="M287" t="inlineStr">
        <is>
          <t>Purchase from Bird 3 for 25,000 Standing at Rank 5 (Illuminate).</t>
        </is>
      </c>
      <c r="N287" t="inlineStr">
        <is>
          <t>Captura</t>
        </is>
      </c>
      <c r="O287" t="inlineStr">
        <is>
          <t>Saved a concrete acquisition place from the official Warframe Wiki. Captura scene table lists this scene with its acquisition note.</t>
        </is>
      </c>
    </row>
    <row r="288">
      <c r="A288" t="inlineStr">
        <is>
          <t>/Lotus/Types/Items/ShipDecos/KubrowBedA</t>
        </is>
      </c>
      <c r="B288" t="inlineStr">
        <is>
          <t>Alitaka Pet Bed</t>
        </is>
      </c>
      <c r="C288" t="inlineStr">
        <is>
          <t>https://wiki.warframe.com/w/Decorations/Orbiter_Decorations</t>
        </is>
      </c>
      <c r="D288" t="inlineStr">
        <is>
          <t>ExportResources</t>
        </is>
      </c>
      <c r="F288" t="inlineStr">
        <is>
          <t>Alitaka Pet Bed</t>
        </is>
      </c>
      <c r="H288" t="inlineStr">
        <is>
          <t>Solved: current place verified and archived 2026-10-16.</t>
        </is>
      </c>
      <c r="I288" t="inlineStr">
        <is>
          <t>Resources</t>
        </is>
      </c>
      <c r="M288" t="inlineStr">
        <is>
          <t>In-game Market for 20 Platinum.</t>
        </is>
      </c>
      <c r="N288" t="inlineStr">
        <is>
          <t>Decorations/Orbiter Decorations</t>
        </is>
      </c>
      <c r="O288" t="inlineStr">
        <is>
          <t>We copied where it comes from off the wiki page. See place from wiki page.</t>
        </is>
      </c>
    </row>
    <row r="289">
      <c r="A289" t="inlineStr">
        <is>
          <t>/Lotus/Types/Items/ShipDecos/Venus/TNWGlintUmbraDisplay</t>
        </is>
      </c>
      <c r="B289" t="inlineStr">
        <is>
          <t>All Miracles Require Sacrifice</t>
        </is>
      </c>
      <c r="C289" t="inlineStr">
        <is>
          <t>https://wiki.warframe.com/w/Excalibur/Umbra | https://wiki.warframe.com/w/The_Sacrifice/Transcript | https://wiki.warframe.com/w/Decorations/Orbiter_Decorations</t>
        </is>
      </c>
      <c r="D289" t="inlineStr">
        <is>
          <t>ExportResources</t>
        </is>
      </c>
      <c r="F289" t="inlineStr">
        <is>
          <t>All Miracles Require Sacrifice</t>
        </is>
      </c>
      <c r="H289" t="inlineStr">
        <is>
          <t>Solved: current place verified and archived 2026-10-16.</t>
        </is>
      </c>
      <c r="I289" t="inlineStr">
        <is>
          <t>Resources</t>
        </is>
      </c>
      <c r="M289" t="inlineStr">
        <is>
          <t>In-game Market as part of the We Are Seasons' Poster Series bundle for 300 Platinum.</t>
        </is>
      </c>
      <c r="N289" t="inlineStr">
        <is>
          <t>Decorations/Orbiter Decorations</t>
        </is>
      </c>
      <c r="O289" t="inlineStr">
        <is>
          <t>Saved a concrete acquisition place from the official Warframe Wiki. Posters section, Market tab bundle table.</t>
        </is>
      </c>
    </row>
    <row r="290">
      <c r="A290" t="inlineStr">
        <is>
          <t>/Lotus/Types/Items/ShipDecos/ContainerDecoItemAlloyDrum</t>
        </is>
      </c>
      <c r="B290" t="inlineStr">
        <is>
          <t>Alloy Drum Decoration</t>
        </is>
      </c>
      <c r="C290" t="inlineStr">
        <is>
          <t>https://wiki.warframe.com/w/Decorations | https://wiki.warframe.com/w/Market/Equipment</t>
        </is>
      </c>
      <c r="D290" t="inlineStr">
        <is>
          <t>ExportResources</t>
        </is>
      </c>
      <c r="F290" t="inlineStr">
        <is>
          <t>Alloy Drum Decoration</t>
        </is>
      </c>
      <c r="H290" t="inlineStr">
        <is>
          <t>Solved: current place verified and archived 2026-10-16.</t>
        </is>
      </c>
      <c r="I290" t="inlineStr">
        <is>
          <t>Resources</t>
        </is>
      </c>
      <c r="M290" t="inlineStr">
        <is>
          <t>In-game Market for 20 Platinum.</t>
        </is>
      </c>
      <c r="N290" t="inlineStr">
        <is>
          <t>Market/Equipment</t>
        </is>
      </c>
      <c r="O290" t="inlineStr">
        <is>
          <t>Saved a concrete acquisition place from the official Warframe Wiki. Market/Equipment lists it with a Platinum price.</t>
        </is>
      </c>
    </row>
    <row r="291">
      <c r="A291" t="inlineStr">
        <is>
          <t>/Lotus/Types/Items/ShipDecos/ResourceDecoItemAlloyPlate</t>
        </is>
      </c>
      <c r="B291" t="inlineStr">
        <is>
          <t>Alloy Plate Decoration</t>
        </is>
      </c>
      <c r="C291" t="inlineStr">
        <is>
          <t>https://wiki.warframe.com/w/Market/Equipment</t>
        </is>
      </c>
      <c r="D291" t="inlineStr">
        <is>
          <t>ExportResources</t>
        </is>
      </c>
      <c r="F291" t="inlineStr">
        <is>
          <t>Alloy Plate Decoration</t>
        </is>
      </c>
      <c r="H291" t="inlineStr">
        <is>
          <t>Solved: current place verified and archived 2026-10-16.</t>
        </is>
      </c>
      <c r="I291" t="inlineStr">
        <is>
          <t>Resources</t>
        </is>
      </c>
      <c r="M291" t="inlineStr">
        <is>
          <t>In-game Market for 5 Platinum.</t>
        </is>
      </c>
      <c r="N291" t="inlineStr">
        <is>
          <t>Market/Equipment</t>
        </is>
      </c>
      <c r="O291" t="inlineStr">
        <is>
          <t>Saved a concrete acquisition place from the official Warframe Wiki. Market/Equipment lists it with a Platinum price.</t>
        </is>
      </c>
    </row>
    <row r="292">
      <c r="A292" t="inlineStr">
        <is>
          <t>/Lotus/Types/Items/MiscItems/AlphaCorruptorResource</t>
        </is>
      </c>
      <c r="B292" t="inlineStr">
        <is>
          <t>Alpha Corruptor</t>
        </is>
      </c>
      <c r="C292" t="inlineStr">
        <is>
          <t>https://wiki.warframe.com/w/Operation_Sling-Stone | https://wiki.warframe.com/w/Corruptor</t>
        </is>
      </c>
      <c r="D292" t="inlineStr">
        <is>
          <t>ExportResources</t>
        </is>
      </c>
      <c r="F292" t="inlineStr">
        <is>
          <t>Alpha Corruptor</t>
        </is>
      </c>
      <c r="H292" t="inlineStr">
        <is>
          <t>Solved: current place verified and archived 2026-10-16.</t>
        </is>
      </c>
      <c r="I292" t="inlineStr">
        <is>
          <t>Resources</t>
        </is>
      </c>
      <c r="J292" t="inlineStr">
        <is>
          <t>Resources_data</t>
        </is>
      </c>
      <c r="K292" t="inlineStr">
        <is>
          <t>Resources/data</t>
        </is>
      </c>
      <c r="L292" t="inlineStr">
        <is>
          <t>listed, no place</t>
        </is>
      </c>
      <c r="M292" t="inlineStr">
        <is>
          <t>Dropped by Infested during Operation Sling-Stone; used at the terminal of the Fomorian defense mission.</t>
        </is>
      </c>
      <c r="N292" t="inlineStr">
        <is>
          <t>Operation Sling-Stone | Corruptor</t>
        </is>
      </c>
      <c r="O292" t="inlineStr">
        <is>
          <t>Saved a concrete acquisition place from the official Warframe Wiki. Operation Sling-Stone: Corruptors are gained by killing Infested and are consumable.</t>
        </is>
      </c>
    </row>
    <row r="293">
      <c r="A293" t="inlineStr">
        <is>
          <t>/Lotus/Types/Recipes/Weapons/WeaponParts/AlternoxPrimeBarrel</t>
        </is>
      </c>
      <c r="B293" t="inlineStr">
        <is>
          <t>Alternox Prime Barrel</t>
        </is>
      </c>
      <c r="C293" t="inlineStr">
        <is>
          <t>https://wiki.warframe.com/w/Lith_L8 | https://wiki.warframe.com/w/Meso_K8 | https://wiki.warframe.com/w/Lith_N18 | https://wiki.warframe.com/w/Void_Relic/ByRelic | https://wiki.warframe.com/w/Void_Relic/ByRarity</t>
        </is>
      </c>
      <c r="D293" t="inlineStr">
        <is>
          <t>ExportResources</t>
        </is>
      </c>
      <c r="F293" t="inlineStr">
        <is>
          <t>Alternox Prime Barrel</t>
        </is>
      </c>
      <c r="H293" t="inlineStr">
        <is>
          <t>Solved: current place verified and archived 2026-10-16.</t>
        </is>
      </c>
      <c r="I293" t="inlineStr">
        <is>
          <t>Resources</t>
        </is>
      </c>
      <c r="J293" t="inlineStr">
        <is>
          <t>Lith L8 Relic (Uncommon) | Lith N18 Relic (Uncommon) | Meso K8 Relic (Uncommon)</t>
        </is>
      </c>
      <c r="K293" t="inlineStr">
        <is>
          <t>Void/data</t>
        </is>
      </c>
      <c r="L293" t="inlineStr">
        <is>
          <t>name</t>
        </is>
      </c>
      <c r="M293" t="inlineStr">
        <is>
          <t>Lith L8 relic drop.</t>
        </is>
      </c>
      <c r="N293" t="inlineStr">
        <is>
          <t>Lith L8 | Meso K8 | Lith N18</t>
        </is>
      </c>
      <c r="O293" t="inlineStr">
        <is>
          <t>Saved a concrete acquisition place from the official Warframe Wiki. Relic pages list this part in their reward table.</t>
        </is>
      </c>
    </row>
    <row r="294">
      <c r="A294" t="inlineStr">
        <is>
          <t>/Lotus/Types/Recipes/Weapons/WeaponParts/AlternoxPrimeReceiver</t>
        </is>
      </c>
      <c r="B294" t="inlineStr">
        <is>
          <t>Alternox Prime Receiver</t>
        </is>
      </c>
      <c r="C294" t="inlineStr">
        <is>
          <t>https://wiki.warframe.com/w/Axi_C12 | https://wiki.warframe.com/w/Axi_V14 | https://wiki.warframe.com/w/Neo_C9 | https://wiki.warframe.com/w/Neo_P9 | https://wiki.warframe.com/w/Void_Relic/ByRelic</t>
        </is>
      </c>
      <c r="D294" t="inlineStr">
        <is>
          <t>ExportResources</t>
        </is>
      </c>
      <c r="F294" t="inlineStr">
        <is>
          <t>Alternox Prime Receiver</t>
        </is>
      </c>
      <c r="H294" t="inlineStr">
        <is>
          <t>Solved: current place verified and archived 2026-10-16.</t>
        </is>
      </c>
      <c r="I294" t="inlineStr">
        <is>
          <t>Resources</t>
        </is>
      </c>
      <c r="J294" t="inlineStr">
        <is>
          <t>Axi V14 Relic (Common) | Axi C12 Relic (Common) | Neo P9 Relic (Common) | Neo C9 Relic (Common)</t>
        </is>
      </c>
      <c r="K294" t="inlineStr">
        <is>
          <t>Void/data</t>
        </is>
      </c>
      <c r="L294" t="inlineStr">
        <is>
          <t>name</t>
        </is>
      </c>
      <c r="M294" t="inlineStr">
        <is>
          <t>Axi C12 and Axi V14 relic drops.</t>
        </is>
      </c>
      <c r="N294" t="inlineStr">
        <is>
          <t>Axi C12 | Axi V14 | Neo C9 | Neo P9</t>
        </is>
      </c>
      <c r="O294" t="inlineStr">
        <is>
          <t>Saved a concrete acquisition place from the official Warframe Wiki. Relic pages list this part in their reward table.</t>
        </is>
      </c>
    </row>
    <row r="295">
      <c r="A295" t="inlineStr">
        <is>
          <t>/Lotus/Types/Recipes/Weapons/WeaponParts/AlternoxPrimeStock</t>
        </is>
      </c>
      <c r="B295" t="inlineStr">
        <is>
          <t>Alternox Prime Stock</t>
        </is>
      </c>
      <c r="C295" t="inlineStr">
        <is>
          <t>https://wiki.warframe.com/w/Axi_A21 | https://wiki.warframe.com/w/Meso_A9 | https://wiki.warframe.com/w/Void_Relic/ByRarity | https://wiki.warframe.com/w/Void_Relic/ByRelic | https://wiki.warframe.com/w/Void_Relic/ByRarity/Meso</t>
        </is>
      </c>
      <c r="D295" t="inlineStr">
        <is>
          <t>ExportResources</t>
        </is>
      </c>
      <c r="F295" t="inlineStr">
        <is>
          <t>Alternox Prime Stock</t>
        </is>
      </c>
      <c r="H295" t="inlineStr">
        <is>
          <t>Solved: current place verified and archived 2026-10-16.</t>
        </is>
      </c>
      <c r="I295" t="inlineStr">
        <is>
          <t>Resources</t>
        </is>
      </c>
      <c r="J295" t="inlineStr">
        <is>
          <t>Meso A9 Relic (Rare) | Axi A21 Relic (Rare)</t>
        </is>
      </c>
      <c r="K295" t="inlineStr">
        <is>
          <t>Void/data</t>
        </is>
      </c>
      <c r="L295" t="inlineStr">
        <is>
          <t>name</t>
        </is>
      </c>
      <c r="M295" t="inlineStr">
        <is>
          <t>Axi A21 relic drop.</t>
        </is>
      </c>
      <c r="N295" t="inlineStr">
        <is>
          <t>Axi A21 | Meso A9</t>
        </is>
      </c>
      <c r="O295" t="inlineStr">
        <is>
          <t>Saved a concrete acquisition place from the official Warframe Wiki. Relic pages list this part in their reward table.</t>
        </is>
      </c>
    </row>
    <row r="296">
      <c r="A296" t="inlineStr">
        <is>
          <t>/Lotus/Types/Recipes/Weapons/WeaponParts/CrpArSniperBarrel</t>
        </is>
      </c>
      <c r="B296" t="inlineStr">
        <is>
          <t>Ambassador Barrel</t>
        </is>
      </c>
      <c r="C296" t="inlineStr">
        <is>
          <t>https://wiki.warframe.com/w/Morphics | https://wiki.warframe.com/w/Isos</t>
        </is>
      </c>
      <c r="D296" t="inlineStr">
        <is>
          <t>ExportResources</t>
        </is>
      </c>
      <c r="F296" t="inlineStr">
        <is>
          <t>Ambassador Barrel</t>
        </is>
      </c>
      <c r="H296" t="inlineStr">
        <is>
          <t>Solved: current place verified and archived 2026-10-16.</t>
        </is>
      </c>
      <c r="I296" t="inlineStr">
        <is>
          <t>Resources</t>
        </is>
      </c>
      <c r="L296" t="inlineStr">
        <is>
          <t>DropTables_data, drop_reverse_index_v2</t>
        </is>
      </c>
      <c r="M296" t="inlineStr">
        <is>
          <t>Blueprint dropped by Aurax Atloc Raknoids and Narmer Raknoids (Empyrean).</t>
        </is>
      </c>
      <c r="N296" t="inlineStr">
        <is>
          <t>Ambassador</t>
        </is>
      </c>
      <c r="O296" t="inlineStr">
        <is>
          <t>Saved a concrete acquisition place from the official Warframe Wiki. Ambassador page Acquisition.</t>
        </is>
      </c>
    </row>
    <row r="297">
      <c r="A297" t="inlineStr">
        <is>
          <t>/Lotus/Types/Recipes/Weapons/WeaponParts/CrpArSniperReceiver</t>
        </is>
      </c>
      <c r="B297" t="inlineStr">
        <is>
          <t>Ambassador Receiver</t>
        </is>
      </c>
      <c r="C297" t="inlineStr">
        <is>
          <t>https://wiki.warframe.com/w/Carbides | https://wiki.warframe.com/w/Blueprints/Primary_Weapon</t>
        </is>
      </c>
      <c r="D297" t="inlineStr">
        <is>
          <t>ExportResources</t>
        </is>
      </c>
      <c r="F297" t="inlineStr">
        <is>
          <t>Ambassador Receiver</t>
        </is>
      </c>
      <c r="H297" t="inlineStr">
        <is>
          <t>Solved: current place verified and archived 2026-10-16.</t>
        </is>
      </c>
      <c r="I297" t="inlineStr">
        <is>
          <t>Resources</t>
        </is>
      </c>
      <c r="L297" t="inlineStr">
        <is>
          <t>DropTables_data, drop_reverse_index_v2</t>
        </is>
      </c>
      <c r="M297" t="inlineStr">
        <is>
          <t>Blueprint dropped by Aurax Atloc Raknoids and Narmer Raknoids (Empyrean).</t>
        </is>
      </c>
      <c r="N297" t="inlineStr">
        <is>
          <t>Ambassador</t>
        </is>
      </c>
      <c r="O297" t="inlineStr">
        <is>
          <t>Saved a concrete acquisition place from the official Warframe Wiki. Ambassador page Acquisition.</t>
        </is>
      </c>
    </row>
    <row r="298">
      <c r="A298" t="inlineStr">
        <is>
          <t>/Lotus/Types/Recipes/Weapons/WeaponParts/CrpArSniperStock</t>
        </is>
      </c>
      <c r="B298" t="inlineStr">
        <is>
          <t>Ambassador Stock</t>
        </is>
      </c>
      <c r="C298" t="inlineStr">
        <is>
          <t>https://wiki.warframe.com/w/Hexenon | https://wiki.warframe.com/w/Blueprints/Primary_Weapon</t>
        </is>
      </c>
      <c r="D298" t="inlineStr">
        <is>
          <t>ExportResources</t>
        </is>
      </c>
      <c r="F298" t="inlineStr">
        <is>
          <t>Ambassador Stock</t>
        </is>
      </c>
      <c r="H298" t="inlineStr">
        <is>
          <t>Solved: current place verified and archived 2026-10-16.</t>
        </is>
      </c>
      <c r="I298" t="inlineStr">
        <is>
          <t>Resources</t>
        </is>
      </c>
      <c r="L298" t="inlineStr">
        <is>
          <t>DropTables_data, drop_reverse_index_v2</t>
        </is>
      </c>
      <c r="M298" t="inlineStr">
        <is>
          <t>Blueprint dropped by Aurax Atloc Raknoids and Narmer Raknoids (Empyrean).</t>
        </is>
      </c>
      <c r="N298" t="inlineStr">
        <is>
          <t>Ambassador</t>
        </is>
      </c>
      <c r="O298" t="inlineStr">
        <is>
          <t>Saved a concrete acquisition place from the official Warframe Wiki. Ambassador page Acquisition.</t>
        </is>
      </c>
    </row>
    <row r="299">
      <c r="A299" t="inlineStr">
        <is>
          <t>/Lotus/Types/Items/ShipDecos/Plushies/PlushyAmir</t>
        </is>
      </c>
      <c r="B299" t="inlineStr">
        <is>
          <t>Amir Floof</t>
        </is>
      </c>
      <c r="C299" t="inlineStr">
        <is>
          <t>https://wiki.warframe.com/w/Pride_(Event)</t>
        </is>
      </c>
      <c r="D299" t="inlineStr">
        <is>
          <t>ExportResources</t>
        </is>
      </c>
      <c r="F299" t="inlineStr">
        <is>
          <t>Amir Floof</t>
        </is>
      </c>
      <c r="H299" t="inlineStr">
        <is>
          <t>Solved: current place verified and archived 2026-10-16.</t>
        </is>
      </c>
      <c r="I299" t="inlineStr">
        <is>
          <t>Resources</t>
        </is>
      </c>
      <c r="M299" t="inlineStr">
        <is>
          <t>Twitch drop during a Pride creator stream; Pride is held each June.</t>
        </is>
      </c>
      <c r="N299" t="inlineStr">
        <is>
          <t>Pride (Event)</t>
        </is>
      </c>
      <c r="O299" t="inlineStr">
        <is>
          <t>Saved a concrete acquisition place from the official Warframe Wiki. Pride event page lists it under Featured Creator Streams and Drops.</t>
        </is>
      </c>
    </row>
    <row r="300">
      <c r="A300" t="inlineStr">
        <is>
          <t>/Lotus/Types/Items/MiscItems/NoraIntermissionSixteenCreds</t>
        </is>
      </c>
      <c r="B300" t="inlineStr">
        <is>
          <t>Amir's Shockwave Cred</t>
        </is>
      </c>
      <c r="C300" t="inlineStr">
        <is>
          <t>https://wiki.warframe.com/w/Nightwave/Amir's_Shockwave</t>
        </is>
      </c>
      <c r="D300" t="inlineStr">
        <is>
          <t>ExportResources</t>
        </is>
      </c>
      <c r="G300" t="inlineStr">
        <is>
          <t>Nightwave/Amir's Shockwave</t>
        </is>
      </c>
      <c r="H300" t="inlineStr">
        <is>
          <t>Solved: current place verified and archived 2026-10-16.</t>
        </is>
      </c>
      <c r="I300" t="inlineStr">
        <is>
          <t>Resources</t>
        </is>
      </c>
      <c r="J300" t="inlineStr">
        <is>
          <t>Resources_data</t>
        </is>
      </c>
      <c r="K300" t="inlineStr">
        <is>
          <t>Resources/data</t>
        </is>
      </c>
      <c r="L300" t="inlineStr">
        <is>
          <t>listed, no place</t>
        </is>
      </c>
      <c r="M300" t="inlineStr">
        <is>
          <t>Earned from Nightwave: Amir's Shockwave rank rewards.</t>
        </is>
      </c>
      <c r="N300" t="inlineStr">
        <is>
          <t>Nightwave/Amir's Shockwave</t>
        </is>
      </c>
      <c r="O300" t="inlineStr">
        <is>
          <t>Saved a concrete acquisition place from the official Warframe Wiki.</t>
        </is>
      </c>
    </row>
    <row r="301">
      <c r="A301" t="inlineStr">
        <is>
          <t>/Lotus/Types/Items/MiscItems/PhotoboothTileDuviriIsleSignatureAmphitheatre</t>
        </is>
      </c>
      <c r="B301" t="inlineStr">
        <is>
          <t>Amphitheater Scene</t>
        </is>
      </c>
      <c r="C301" t="inlineStr">
        <is>
          <t>https://wiki.warframe.com/w/Acrithis | https://wiki.warframe.com/w/Captura</t>
        </is>
      </c>
      <c r="D301" t="inlineStr">
        <is>
          <t>ExportResources</t>
        </is>
      </c>
      <c r="F301" t="inlineStr">
        <is>
          <t>Amphitheater Scene</t>
        </is>
      </c>
      <c r="H301" t="inlineStr">
        <is>
          <t>Solved: current place verified and archived 2026-10-16.</t>
        </is>
      </c>
      <c r="I301" t="inlineStr">
        <is>
          <t>Resources</t>
        </is>
      </c>
      <c r="L301" t="inlineStr">
        <is>
          <t>Vendors_data</t>
        </is>
      </c>
      <c r="M301" t="inlineStr">
        <is>
          <t>Purchase from Acrithis in Duviri; decorations rotate every few hours.</t>
        </is>
      </c>
      <c r="N301" t="inlineStr">
        <is>
          <t>Acrithis</t>
        </is>
      </c>
      <c r="O301" t="inlineStr">
        <is>
          <t>Saved a concrete acquisition place from the official Warframe Wiki. Acrithis page Wares section lists it among the decorations.</t>
        </is>
      </c>
    </row>
    <row r="302">
      <c r="A302" t="inlineStr">
        <is>
          <t>/Lotus/Types/Items/ShipDecos/Tau/LisetPropSTMxGrnTankTrapA</t>
        </is>
      </c>
      <c r="B302" t="inlineStr">
        <is>
          <t>Anarch Anti-tank trap</t>
        </is>
      </c>
      <c r="C302" t="inlineStr">
        <is>
          <t>https://wiki.warframe.com/w/Lyon</t>
        </is>
      </c>
      <c r="D302" t="inlineStr">
        <is>
          <t>ExportResources</t>
        </is>
      </c>
      <c r="F302" t="inlineStr">
        <is>
          <t>Anarch Anti-tank trap</t>
        </is>
      </c>
      <c r="H302" t="inlineStr">
        <is>
          <t>Solved: current place verified and archived 2026-10-16.</t>
        </is>
      </c>
      <c r="I302" t="inlineStr">
        <is>
          <t>Resources</t>
        </is>
      </c>
      <c r="M302" t="inlineStr">
        <is>
          <t>Purchase from Lyon's daily offerings (5 random decorations); costs 300-450 Agnovidisc, 120-360 Laudavi or 50-150 Servoris.</t>
        </is>
      </c>
      <c r="N302" t="inlineStr">
        <is>
          <t>Lyon</t>
        </is>
      </c>
      <c r="O302" t="inlineStr">
        <is>
          <t>Saved a concrete acquisition place from the official Warframe Wiki. Lyon page lists it in Offerings.</t>
        </is>
      </c>
    </row>
    <row r="303">
      <c r="A303" t="inlineStr">
        <is>
          <t>/Lotus/Types/Items/ShipDecos/Tau/LisetPropSTMxGrnStorageCrateC</t>
        </is>
      </c>
      <c r="B303" t="inlineStr">
        <is>
          <t>Anarch Storage Crate</t>
        </is>
      </c>
      <c r="C303" t="inlineStr">
        <is>
          <t>https://wiki.warframe.com/w/Lyon</t>
        </is>
      </c>
      <c r="D303" t="inlineStr">
        <is>
          <t>ExportResources</t>
        </is>
      </c>
      <c r="F303" t="inlineStr">
        <is>
          <t>Anarch Storage Crate</t>
        </is>
      </c>
      <c r="H303" t="inlineStr">
        <is>
          <t>Solved: current place verified and archived 2026-10-16.</t>
        </is>
      </c>
      <c r="I303" t="inlineStr">
        <is>
          <t>Resources</t>
        </is>
      </c>
      <c r="M303" t="inlineStr">
        <is>
          <t>Purchase from Lyon's daily offerings (5 random decorations); costs 300-450 Agnovidisc, 120-360 Laudavi or 50-150 Servoris.</t>
        </is>
      </c>
      <c r="N303" t="inlineStr">
        <is>
          <t>Lyon</t>
        </is>
      </c>
      <c r="O303" t="inlineStr">
        <is>
          <t>Saved a concrete acquisition place from the official Warframe Wiki. Lyon page lists it in Offerings.</t>
        </is>
      </c>
    </row>
    <row r="304">
      <c r="A304" t="inlineStr">
        <is>
          <t>/Lotus/Types/Items/ShipDecos/Tau/LisetPropSTMxGrnStorageDrumAS</t>
        </is>
      </c>
      <c r="B304" t="inlineStr">
        <is>
          <t>Anarch Storage Drum</t>
        </is>
      </c>
      <c r="C304" t="inlineStr">
        <is>
          <t>https://wiki.warframe.com/w/Lyon</t>
        </is>
      </c>
      <c r="D304" t="inlineStr">
        <is>
          <t>ExportResources</t>
        </is>
      </c>
      <c r="F304" t="inlineStr">
        <is>
          <t>Anarch Storage Drum</t>
        </is>
      </c>
      <c r="H304" t="inlineStr">
        <is>
          <t>Solved: current place verified and archived 2026-10-16.</t>
        </is>
      </c>
      <c r="I304" t="inlineStr">
        <is>
          <t>Resources</t>
        </is>
      </c>
      <c r="M304" t="inlineStr">
        <is>
          <t>Purchase from Lyon's daily offerings (5 random decorations); costs 300-450 Agnovidisc, 120-360 Laudavi or 50-150 Servoris.</t>
        </is>
      </c>
      <c r="N304" t="inlineStr">
        <is>
          <t>Lyon</t>
        </is>
      </c>
      <c r="O304" t="inlineStr">
        <is>
          <t>Saved a concrete acquisition place from the official Warframe Wiki. Lyon page lists it in Offerings.</t>
        </is>
      </c>
    </row>
    <row r="305">
      <c r="A305" t="inlineStr">
        <is>
          <t>/Lotus/Types/Items/Events/AmbulasDataFragment</t>
        </is>
      </c>
      <c r="B305" t="inlineStr">
        <is>
          <t>Animo Nav Beacon</t>
        </is>
      </c>
      <c r="C305" t="inlineStr">
        <is>
          <t>https://wiki.warframe.com/w/Ambulas</t>
        </is>
      </c>
      <c r="D305" t="inlineStr">
        <is>
          <t>ExportResources</t>
        </is>
      </c>
      <c r="G305" t="inlineStr">
        <is>
          <t>Animo Nav Beacon</t>
        </is>
      </c>
      <c r="H305" t="inlineStr">
        <is>
          <t>Solved: current place verified and archived 2026-10-16.</t>
        </is>
      </c>
      <c r="I305" t="inlineStr">
        <is>
          <t>Resources</t>
        </is>
      </c>
      <c r="J305" t="inlineStr">
        <is>
          <t>Resources_data, Vendors_data</t>
        </is>
      </c>
      <c r="K305" t="inlineStr">
        <is>
          <t>Resources/data</t>
        </is>
      </c>
      <c r="L305" t="inlineStr">
        <is>
          <t>listed, no place</t>
        </is>
      </c>
      <c r="M305" t="inlineStr">
        <is>
          <t>Hack Ambulas proxies deployed by Condor Dropships in Corpus Outpost missions on Pluto.</t>
        </is>
      </c>
      <c r="N305" t="inlineStr">
        <is>
          <t>Ambulas</t>
        </is>
      </c>
      <c r="O305" t="inlineStr">
        <is>
          <t>Saved a concrete acquisition place from the official Warframe Wiki.</t>
        </is>
      </c>
    </row>
    <row r="306">
      <c r="A306" t="inlineStr">
        <is>
          <t>/Lotus/Types/Items/SongItems/CCAnnaKiGOBSongItem</t>
        </is>
      </c>
      <c r="B306" t="inlineStr">
        <is>
          <t>Anna Ki in the G.O.B.</t>
        </is>
      </c>
      <c r="C306" t="inlineStr">
        <is>
          <t>https://wiki.warframe.com/w/Somachord/Tones</t>
        </is>
      </c>
      <c r="D306" t="inlineStr">
        <is>
          <t>ExportResources</t>
        </is>
      </c>
      <c r="F306" t="inlineStr">
        <is>
          <t>Anna Ki in the G.O.B.</t>
        </is>
      </c>
      <c r="H306" t="inlineStr">
        <is>
          <t>Solved: current place verified and archived 2026-10-16.</t>
        </is>
      </c>
      <c r="I306" t="inlineStr">
        <is>
          <t>Resources</t>
        </is>
      </c>
      <c r="M306" t="inlineStr">
        <is>
          <t>Somachord Tone from Aoi for 5,000 Standing at Rank 1 (Leftovers) with The Hex.</t>
        </is>
      </c>
      <c r="N306" t="inlineStr">
        <is>
          <t>Somachord/Tones</t>
        </is>
      </c>
      <c r="O306" t="inlineStr">
        <is>
          <t>We copied where it comes from off the wiki page. See place from wiki page.</t>
        </is>
      </c>
    </row>
    <row r="307">
      <c r="A307" t="inlineStr">
        <is>
          <t>/Lotus/Types/Items/ShipDecos/Plushies/PlushyAoi</t>
        </is>
      </c>
      <c r="B307" t="inlineStr">
        <is>
          <t>Aoi Floof</t>
        </is>
      </c>
      <c r="C307" t="inlineStr">
        <is>
          <t>https://wiki.warframe.com/w/Pride_(Event)</t>
        </is>
      </c>
      <c r="D307" t="inlineStr">
        <is>
          <t>ExportResources</t>
        </is>
      </c>
      <c r="F307" t="inlineStr">
        <is>
          <t>Aoi Floof</t>
        </is>
      </c>
      <c r="H307" t="inlineStr">
        <is>
          <t>Solved: current place verified and archived 2026-10-16.</t>
        </is>
      </c>
      <c r="I307" t="inlineStr">
        <is>
          <t>Resources</t>
        </is>
      </c>
      <c r="M307" t="inlineStr">
        <is>
          <t>Twitch drop during a Pride creator stream; Pride is held each June.</t>
        </is>
      </c>
      <c r="N307" t="inlineStr">
        <is>
          <t>Pride (Event)</t>
        </is>
      </c>
      <c r="O307" t="inlineStr">
        <is>
          <t>Saved a concrete acquisition place from the official Warframe Wiki. Pride event page lists it under Featured Creator Streams and Drops.</t>
        </is>
      </c>
    </row>
    <row r="308">
      <c r="A308" t="inlineStr">
        <is>
          <t>/Lotus/Types/Items/ShipDecos/TennoPlanterD</t>
        </is>
      </c>
      <c r="B308" t="inlineStr">
        <is>
          <t>Aranya Planter</t>
        </is>
      </c>
      <c r="C308" t="inlineStr">
        <is>
          <t>https://wiki.warframe.com/w/Decorations/Orbiter_Decorations</t>
        </is>
      </c>
      <c r="D308" t="inlineStr">
        <is>
          <t>ExportResources</t>
        </is>
      </c>
      <c r="F308" t="inlineStr">
        <is>
          <t>Aranya Planter</t>
        </is>
      </c>
      <c r="H308" t="inlineStr">
        <is>
          <t>Solved: current place verified and archived 2026-10-16.</t>
        </is>
      </c>
      <c r="I308" t="inlineStr">
        <is>
          <t>Resources</t>
        </is>
      </c>
      <c r="M308" t="inlineStr">
        <is>
          <t>In-game Market for 20 Platinum.</t>
        </is>
      </c>
      <c r="N308" t="inlineStr">
        <is>
          <t>Decorations/Orbiter Decorations</t>
        </is>
      </c>
      <c r="O308" t="inlineStr">
        <is>
          <t>Saved a concrete acquisition place from the official Warframe Wiki. Orbiter Decorations Market section: planters cost 20 Platinum (Lua Planter 50).</t>
        </is>
      </c>
    </row>
    <row r="309">
      <c r="A309" t="inlineStr">
        <is>
          <t>/Lotus/Types/Items/MiscItems/PhotoboothTileDuviriIsleSignatureLibrary</t>
        </is>
      </c>
      <c r="B309" t="inlineStr">
        <is>
          <t>Archarbor Scene</t>
        </is>
      </c>
      <c r="C309" t="inlineStr">
        <is>
          <t>https://wiki.warframe.com/w/Acrithis | https://wiki.warframe.com/w/Captura</t>
        </is>
      </c>
      <c r="D309" t="inlineStr">
        <is>
          <t>ExportResources</t>
        </is>
      </c>
      <c r="F309" t="inlineStr">
        <is>
          <t>Archarbor Scene</t>
        </is>
      </c>
      <c r="H309" t="inlineStr">
        <is>
          <t>Solved: current place verified and archived 2026-10-16.</t>
        </is>
      </c>
      <c r="I309" t="inlineStr">
        <is>
          <t>Resources</t>
        </is>
      </c>
      <c r="L309" t="inlineStr">
        <is>
          <t>Vendors_data</t>
        </is>
      </c>
      <c r="M309" t="inlineStr">
        <is>
          <t>Purchase from Acrithis' rotating Wares in Duviri.</t>
        </is>
      </c>
      <c r="N309" t="inlineStr">
        <is>
          <t>Captura</t>
        </is>
      </c>
      <c r="O309" t="inlineStr">
        <is>
          <t>Saved a concrete acquisition place from the official Warframe Wiki. Captura scene table lists this scene with its acquisition note.</t>
        </is>
      </c>
    </row>
    <row r="310">
      <c r="A310" t="inlineStr">
        <is>
          <t>/Lotus/Types/Items/ShipDecos/ResourceDecoItemArgonCrystal</t>
        </is>
      </c>
      <c r="B310" t="inlineStr">
        <is>
          <t>Argon Crystal Decoration</t>
        </is>
      </c>
      <c r="C310" t="inlineStr">
        <is>
          <t>https://wiki.warframe.com/w/Market/Equipment</t>
        </is>
      </c>
      <c r="D310" t="inlineStr">
        <is>
          <t>ExportResources</t>
        </is>
      </c>
      <c r="F310" t="inlineStr">
        <is>
          <t>Argon Crystal Decoration</t>
        </is>
      </c>
      <c r="H310" t="inlineStr">
        <is>
          <t>Solved: current place verified and archived 2026-10-16.</t>
        </is>
      </c>
      <c r="I310" t="inlineStr">
        <is>
          <t>Resources</t>
        </is>
      </c>
      <c r="M310" t="inlineStr">
        <is>
          <t>In-game Market for 5 Platinum.</t>
        </is>
      </c>
      <c r="N310" t="inlineStr">
        <is>
          <t>Market/Equipment</t>
        </is>
      </c>
      <c r="O310" t="inlineStr">
        <is>
          <t>Saved a concrete acquisition place from the official Warframe Wiki. Market/Equipment lists it with a Platinum price.</t>
        </is>
      </c>
    </row>
    <row r="311">
      <c r="A311" t="inlineStr">
        <is>
          <t>/Lotus/Types/Items/ShipDecos/ContainerDecoItemArgonPegmatite</t>
        </is>
      </c>
      <c r="B311" t="inlineStr">
        <is>
          <t>Argon Pegmatite Decoration</t>
        </is>
      </c>
      <c r="C311" t="inlineStr">
        <is>
          <t>https://wiki.warframe.com/w/Market/Equipment</t>
        </is>
      </c>
      <c r="D311" t="inlineStr">
        <is>
          <t>ExportResources</t>
        </is>
      </c>
      <c r="F311" t="inlineStr">
        <is>
          <t>Argon Pegmatite Decoration</t>
        </is>
      </c>
      <c r="H311" t="inlineStr">
        <is>
          <t>Solved: current place verified and archived 2026-10-16.</t>
        </is>
      </c>
      <c r="I311" t="inlineStr">
        <is>
          <t>Resources</t>
        </is>
      </c>
      <c r="M311" t="inlineStr">
        <is>
          <t>In-game Market for 20 Platinum.</t>
        </is>
      </c>
      <c r="N311" t="inlineStr">
        <is>
          <t>Market/Equipment</t>
        </is>
      </c>
      <c r="O311" t="inlineStr">
        <is>
          <t>Saved a concrete acquisition place from the official Warframe Wiki. Market/Equipment lists it with a Platinum price.</t>
        </is>
      </c>
    </row>
    <row r="312">
      <c r="A312" t="inlineStr">
        <is>
          <t>/Lotus/Types/Items/ShipDecos/LisetPropShawzinPrime</t>
        </is>
      </c>
      <c r="B312" t="inlineStr">
        <is>
          <t>Aristei Prime Shawzin</t>
        </is>
      </c>
      <c r="C312" t="inlineStr">
        <is>
          <t>https://wiki.warframe.com/w/Prime_Resurgence | https://wiki.warframe.com/w/Shawzin | https://wiki.warframe.com/w/Prime</t>
        </is>
      </c>
      <c r="D312" t="inlineStr">
        <is>
          <t>ExportResources</t>
        </is>
      </c>
      <c r="F312" t="inlineStr">
        <is>
          <t>Aristei Prime Shawzin</t>
        </is>
      </c>
      <c r="H312" t="inlineStr">
        <is>
          <t>Solved: current place verified and archived 2026-10-16.</t>
        </is>
      </c>
      <c r="I312" t="inlineStr">
        <is>
          <t>Resources</t>
        </is>
      </c>
      <c r="M312" t="inlineStr">
        <is>
          <t>Purchase from Varzia in Maroo's Bazaar for 1 Regal Aya while it is in the monthly Prime Resurgence rotation.</t>
        </is>
      </c>
      <c r="N312" t="inlineStr">
        <is>
          <t>Prime Resurgence</t>
        </is>
      </c>
      <c r="O312" t="inlineStr">
        <is>
          <t>Saved a concrete acquisition place from the official Warframe Wiki. Prime Resurgence Current Rewards table lists it at 1 Regal Aya.</t>
        </is>
      </c>
    </row>
    <row r="313">
      <c r="A313" t="inlineStr">
        <is>
          <t>/Lotus/Types/Items/ShipDecos/ArloHealingLamp</t>
        </is>
      </c>
      <c r="B313" t="inlineStr">
        <is>
          <t>Arlo's Flame Decoration</t>
        </is>
      </c>
      <c r="C313" t="inlineStr">
        <is>
          <t>https://wiki.warframe.com/w/Nights_of_Naberus | https://wiki.warframe.com/w/Nightwave/Intermission_II | https://wiki.warframe.com/w/Decorations/Orbiter_Decorations</t>
        </is>
      </c>
      <c r="D313" t="inlineStr">
        <is>
          <t>ExportResources</t>
        </is>
      </c>
      <c r="F313" t="inlineStr">
        <is>
          <t>Arlo's Flame Decoration</t>
        </is>
      </c>
      <c r="H313" t="inlineStr">
        <is>
          <t>Solved: current place verified and archived 2026-10-16.</t>
        </is>
      </c>
      <c r="I313" t="inlineStr">
        <is>
          <t>Resources</t>
        </is>
      </c>
      <c r="M313" t="inlineStr">
        <is>
          <t>Purchase from Daughter for 40 Mother Tokens during Nights of Naberus.</t>
        </is>
      </c>
      <c r="N313" t="inlineStr">
        <is>
          <t>Nights of Naberus | Nightwave/Intermission II | Decorations/Orbiter Decorations</t>
        </is>
      </c>
      <c r="O313" t="inlineStr">
        <is>
          <t>We copied where it comes from off the wiki page. See place from wiki page.</t>
        </is>
      </c>
    </row>
    <row r="314">
      <c r="A314" t="inlineStr">
        <is>
          <t>/Lotus/Types/Items/ShipFeatureItems/ArsenalFeatureItem</t>
        </is>
      </c>
      <c r="B314" t="inlineStr">
        <is>
          <t>Arsenal Segment</t>
        </is>
      </c>
      <c r="C314" t="inlineStr">
        <is>
          <t>https://wiki.warframe.com/w/Orbiter_Segments | https://wiki.warframe.com/w/Sentinel_Cosmetics | https://wiki.warframe.com/w/Kavat_Cosmetics | https://wiki.warframe.com/w/Kubrow_Cosmetics | https://wiki.warframe.com/w/Weapon_Cosmetics</t>
        </is>
      </c>
      <c r="D314" t="inlineStr">
        <is>
          <t>ExportResources</t>
        </is>
      </c>
      <c r="F314" t="inlineStr">
        <is>
          <t>Arsenal Segment</t>
        </is>
      </c>
      <c r="H314" t="inlineStr">
        <is>
          <t>Solved: current place verified and archived 2026-10-16.</t>
        </is>
      </c>
      <c r="I314" t="inlineStr">
        <is>
          <t>Resources</t>
        </is>
      </c>
      <c r="M314" t="inlineStr">
        <is>
          <t>Obtained during the Vor's Prize quest.</t>
        </is>
      </c>
      <c r="N314" t="inlineStr">
        <is>
          <t>Orbiter Segments</t>
        </is>
      </c>
      <c r="O314" t="inlineStr">
        <is>
          <t>Saved a concrete acquisition place from the official Warframe Wiki. Orbiter Segments page, Basic Segments.</t>
        </is>
      </c>
    </row>
    <row r="315">
      <c r="A315" t="inlineStr">
        <is>
          <t>/Lotus/Types/Items/ShipDecos/Plushies/PlushyArthur</t>
        </is>
      </c>
      <c r="B315" t="inlineStr">
        <is>
          <t>Arthur Floof</t>
        </is>
      </c>
      <c r="C315" t="inlineStr">
        <is>
          <t>https://wiki.warframe.com/w/Devstream_178 | https://wiki.warframe.com/w/Arthur | https://wiki.warframe.com/w/TennoCon/2024/Digital_Pack</t>
        </is>
      </c>
      <c r="D315" t="inlineStr">
        <is>
          <t>ExportResources</t>
        </is>
      </c>
      <c r="F315" t="inlineStr">
        <is>
          <t>Arthur Floof</t>
        </is>
      </c>
      <c r="H315" t="inlineStr">
        <is>
          <t>Solved: current place verified and archived 2026-10-16.</t>
        </is>
      </c>
      <c r="I315" t="inlineStr">
        <is>
          <t>Resources</t>
        </is>
      </c>
      <c r="M315" t="inlineStr">
        <is>
          <t>Included in the TennoCon 2024 Digital Pack.</t>
        </is>
      </c>
      <c r="N315" t="inlineStr">
        <is>
          <t>Devstream 178 | Arthur | TennoCon/2024/Digital Pack | Update 38</t>
        </is>
      </c>
      <c r="O315" t="inlineStr">
        <is>
          <t>We copied where it comes from off the wiki page. See place from wiki page.</t>
        </is>
      </c>
    </row>
    <row r="316">
      <c r="A316" t="inlineStr">
        <is>
          <t>/Lotus/Types/Items/MiscItems/PhotoboothTileCorpusShipMedCargoRoom</t>
        </is>
      </c>
      <c r="B316" t="inlineStr">
        <is>
          <t>Artillery Battery Scene</t>
        </is>
      </c>
      <c r="C316" t="inlineStr">
        <is>
          <t>https://wiki.warframe.com/w/Captura</t>
        </is>
      </c>
      <c r="D316" t="inlineStr">
        <is>
          <t>ExportResources</t>
        </is>
      </c>
      <c r="F316" t="inlineStr">
        <is>
          <t>Artillery Battery Scene</t>
        </is>
      </c>
      <c r="H316" t="inlineStr">
        <is>
          <t>Solved: current place verified and archived 2026-10-16.</t>
        </is>
      </c>
      <c r="I316" t="inlineStr">
        <is>
          <t>Resources</t>
        </is>
      </c>
      <c r="M316" t="inlineStr">
        <is>
          <t>Unlocked by default.</t>
        </is>
      </c>
      <c r="N316" t="inlineStr">
        <is>
          <t>Captura</t>
        </is>
      </c>
      <c r="O316" t="inlineStr">
        <is>
          <t>Saved a concrete acquisition place from the official Warframe Wiki. Captura scene table lists this scene with its acquisition note.</t>
        </is>
      </c>
    </row>
    <row r="317">
      <c r="A317" t="inlineStr">
        <is>
          <t>/Lotus/Types/Items/ShipDecos/TarotCardAsh</t>
        </is>
      </c>
      <c r="B317" t="inlineStr">
        <is>
          <t>Ash Prex</t>
        </is>
      </c>
      <c r="C317" t="inlineStr">
        <is>
          <t>https://wiki.warframe.com/w/Decorations/Orbiter_Decorations</t>
        </is>
      </c>
      <c r="D317" t="inlineStr">
        <is>
          <t>ExportResources</t>
        </is>
      </c>
      <c r="F317" t="inlineStr">
        <is>
          <t>Ash Prex</t>
        </is>
      </c>
      <c r="H317" t="inlineStr">
        <is>
          <t>Solved: current place verified and archived 2026-10-16.</t>
        </is>
      </c>
      <c r="I317" t="inlineStr">
        <is>
          <t>Resources</t>
        </is>
      </c>
      <c r="M317" t="inlineStr">
        <is>
          <t>Hidden pickup in the Leverian; not visible until you've mastered Ash / Ash Prime.</t>
        </is>
      </c>
      <c r="N317" t="inlineStr">
        <is>
          <t>Decorations/Orbiter Decorations</t>
        </is>
      </c>
      <c r="O317" t="inlineStr">
        <is>
          <t>Saved a concrete acquisition place from the official Warframe Wiki. Orbiter Decorations Prex table and Prex Locations list.</t>
        </is>
      </c>
    </row>
    <row r="318">
      <c r="A318" t="inlineStr">
        <is>
          <t>/Lotus/Types/Items/ShipDecos/Props/Nokko/LisetPropLASxPlanterHangingAFoliageB</t>
        </is>
      </c>
      <c r="B318" t="inlineStr">
        <is>
          <t>Assorted Flowers (Blue and White)</t>
        </is>
      </c>
      <c r="C318" t="inlineStr">
        <is>
          <t>https://wiki.warframe.com/w/Nightcap</t>
        </is>
      </c>
      <c r="D318" t="inlineStr">
        <is>
          <t>ExportResources</t>
        </is>
      </c>
      <c r="F318" t="inlineStr">
        <is>
          <t>Assorted Flowers (Blue and White)</t>
        </is>
      </c>
      <c r="H318" t="inlineStr">
        <is>
          <t>Solved: current place verified and archived 2026-10-16.</t>
        </is>
      </c>
      <c r="I318" t="inlineStr">
        <is>
          <t>Resources</t>
        </is>
      </c>
      <c r="M318" t="inlineStr">
        <is>
          <t>Purchase from Nightcap's Nursery for 10 Fergolyte.</t>
        </is>
      </c>
      <c r="N318" t="inlineStr">
        <is>
          <t>Nightcap</t>
        </is>
      </c>
      <c r="O318" t="inlineStr">
        <is>
          <t>Saved a concrete acquisition place from the official Warframe Wiki. Nightcap page lists it in Offerings &gt; Nursery.</t>
        </is>
      </c>
    </row>
    <row r="319">
      <c r="A319" t="inlineStr">
        <is>
          <t>/Lotus/Types/Items/ShipDecos/Props/Nokko/LisetPropLASxPlanterHangingAFoliageA</t>
        </is>
      </c>
      <c r="B319" t="inlineStr">
        <is>
          <t>Assorted Flowers (Red and White)</t>
        </is>
      </c>
      <c r="C319" t="inlineStr">
        <is>
          <t>https://wiki.warframe.com/w/Nightcap</t>
        </is>
      </c>
      <c r="D319" t="inlineStr">
        <is>
          <t>ExportResources</t>
        </is>
      </c>
      <c r="F319" t="inlineStr">
        <is>
          <t>Assorted Flowers (Red and White)</t>
        </is>
      </c>
      <c r="H319" t="inlineStr">
        <is>
          <t>Solved: current place verified and archived 2026-10-16.</t>
        </is>
      </c>
      <c r="I319" t="inlineStr">
        <is>
          <t>Resources</t>
        </is>
      </c>
      <c r="M319" t="inlineStr">
        <is>
          <t>Purchase from Nightcap's Nursery for 10 Fergolyte.</t>
        </is>
      </c>
      <c r="N319" t="inlineStr">
        <is>
          <t>Nightcap</t>
        </is>
      </c>
      <c r="O319" t="inlineStr">
        <is>
          <t>Saved a concrete acquisition place from the official Warframe Wiki. Nightcap page lists it in Offerings &gt; Nursery.</t>
        </is>
      </c>
    </row>
    <row r="320">
      <c r="A320" t="inlineStr">
        <is>
          <t>/Lotus/Types/Items/ShipDecos/AmazingEternals/TAExPlushAstronautRayTennoBaumToyDeco</t>
        </is>
      </c>
      <c r="B320" t="inlineStr">
        <is>
          <t>Astro Fella Toy</t>
        </is>
      </c>
      <c r="C320" t="inlineStr">
        <is>
          <t>https://wiki.warframe.com/w/Tennobaum | https://wiki.warframe.com/w/Decorations/Orbiter_Decorations</t>
        </is>
      </c>
      <c r="D320" t="inlineStr">
        <is>
          <t>ExportResources</t>
        </is>
      </c>
      <c r="F320" t="inlineStr">
        <is>
          <t>Astro Fella Toy</t>
        </is>
      </c>
      <c r="H320" t="inlineStr">
        <is>
          <t>Solved: current place verified and archived 2026-10-16.</t>
        </is>
      </c>
      <c r="I320" t="inlineStr">
        <is>
          <t>Resources</t>
        </is>
      </c>
      <c r="M320" t="inlineStr">
        <is>
          <t>Tennobaum 2024 reward.</t>
        </is>
      </c>
      <c r="N320" t="inlineStr">
        <is>
          <t>Tennobaum | Decorations/Orbiter Decorations</t>
        </is>
      </c>
      <c r="O320" t="inlineStr">
        <is>
          <t>We copied where it comes from off the wiki page. See place from wiki page.</t>
        </is>
      </c>
    </row>
    <row r="321">
      <c r="A321" t="inlineStr">
        <is>
          <t>/Lotus/Types/Recipes/Weapons/WeaponParts/AthodaiPrimeBarrel</t>
        </is>
      </c>
      <c r="B321" t="inlineStr">
        <is>
          <t>Athodai Prime Barrel</t>
        </is>
      </c>
      <c r="C321" t="inlineStr">
        <is>
          <t>https://wiki.warframe.com/w/Neo_A16 | https://wiki.warframe.com/w/Void_Relic/ByRarity | https://wiki.warframe.com/w/Void_Relic/ByRewards | https://wiki.warframe.com/w/Ducats/Prices/Neo | https://wiki.warframe.com/w/Void_Relic/ByRarity/Neo</t>
        </is>
      </c>
      <c r="D321" t="inlineStr">
        <is>
          <t>ExportResources</t>
        </is>
      </c>
      <c r="F321" t="inlineStr">
        <is>
          <t>Athodai Prime Barrel</t>
        </is>
      </c>
      <c r="H321" t="inlineStr">
        <is>
          <t>Solved: current place verified and archived 2026-10-16.</t>
        </is>
      </c>
      <c r="I321" t="inlineStr">
        <is>
          <t>Resources</t>
        </is>
      </c>
      <c r="J321" t="inlineStr">
        <is>
          <t>Neo A16 Relic (Rare)</t>
        </is>
      </c>
      <c r="K321" t="inlineStr">
        <is>
          <t>Void/data</t>
        </is>
      </c>
      <c r="L321" t="inlineStr">
        <is>
          <t>name</t>
        </is>
      </c>
      <c r="M321" t="inlineStr">
        <is>
          <t>Neo A16 relic drop.</t>
        </is>
      </c>
      <c r="N321" t="inlineStr">
        <is>
          <t>Neo A16</t>
        </is>
      </c>
      <c r="O321" t="inlineStr">
        <is>
          <t>Saved a concrete acquisition place from the official Warframe Wiki. Relic pages list this part in their reward table.</t>
        </is>
      </c>
    </row>
    <row r="322">
      <c r="A322" t="inlineStr">
        <is>
          <t>/Lotus/Types/Recipes/Weapons/WeaponParts/AthodaiPrimeReceiver</t>
        </is>
      </c>
      <c r="B322" t="inlineStr">
        <is>
          <t>Athodai Prime Receiver</t>
        </is>
      </c>
      <c r="C322" t="inlineStr">
        <is>
          <t>https://wiki.warframe.com/w/Axi_P10 | https://wiki.warframe.com/w/Void_Relic/ByRarity | https://wiki.warframe.com/w/Void_Relic/ByRarity/Axi | https://wiki.warframe.com/w/Ducats/Prices/Axi | https://wiki.warframe.com/w/Void_Relic/ByRelic</t>
        </is>
      </c>
      <c r="D322" t="inlineStr">
        <is>
          <t>ExportResources</t>
        </is>
      </c>
      <c r="F322" t="inlineStr">
        <is>
          <t>Athodai Prime Receiver</t>
        </is>
      </c>
      <c r="H322" t="inlineStr">
        <is>
          <t>Solved: current place verified and archived 2026-10-16.</t>
        </is>
      </c>
      <c r="I322" t="inlineStr">
        <is>
          <t>Resources</t>
        </is>
      </c>
      <c r="J322" t="inlineStr">
        <is>
          <t>Axi P10 Relic (Uncommon)</t>
        </is>
      </c>
      <c r="K322" t="inlineStr">
        <is>
          <t>Void/data</t>
        </is>
      </c>
      <c r="L322" t="inlineStr">
        <is>
          <t>name</t>
        </is>
      </c>
      <c r="M322" t="inlineStr">
        <is>
          <t>Axi P10 relic drop.</t>
        </is>
      </c>
      <c r="N322" t="inlineStr">
        <is>
          <t>Axi P10</t>
        </is>
      </c>
      <c r="O322" t="inlineStr">
        <is>
          <t>Saved a concrete acquisition place from the official Warframe Wiki. Relic pages list this part in their reward table.</t>
        </is>
      </c>
    </row>
    <row r="323">
      <c r="A323" t="inlineStr">
        <is>
          <t>/Lotus/Types/Items/ShipDecos/TarotCardAtlas</t>
        </is>
      </c>
      <c r="B323" t="inlineStr">
        <is>
          <t>Atlas Prex</t>
        </is>
      </c>
      <c r="C323" t="inlineStr">
        <is>
          <t>https://wiki.warframe.com/w/Decorations/Orbiter_Decorations | https://wiki.warframe.com/w/Fragments</t>
        </is>
      </c>
      <c r="D323" t="inlineStr">
        <is>
          <t>ExportResources</t>
        </is>
      </c>
      <c r="F323" t="inlineStr">
        <is>
          <t>Atlas Prex</t>
        </is>
      </c>
      <c r="H323" t="inlineStr">
        <is>
          <t>Solved: current place verified and archived 2026-10-16.</t>
        </is>
      </c>
      <c r="I323" t="inlineStr">
        <is>
          <t>Resources</t>
        </is>
      </c>
      <c r="M323" t="inlineStr">
        <is>
          <t>Hidden pickup in the Leverian; not visible until you've mastered Atlas / Atlas Prime.</t>
        </is>
      </c>
      <c r="N323" t="inlineStr">
        <is>
          <t>Decorations/Orbiter Decorations</t>
        </is>
      </c>
      <c r="O323" t="inlineStr">
        <is>
          <t>Saved a concrete acquisition place from the official Warframe Wiki. Orbiter Decorations Prex table and Prex Locations list.</t>
        </is>
      </c>
    </row>
    <row r="324">
      <c r="A324" t="inlineStr">
        <is>
          <t>/Lotus/Types/Items/ShipDecos/MasteryTrophies/Rank36Trophy</t>
        </is>
      </c>
      <c r="B324" t="inlineStr">
        <is>
          <t>Aurichalc Legendary Mastery Slate</t>
        </is>
      </c>
      <c r="C324" t="inlineStr">
        <is>
          <t>https://wiki.warframe.com/w/Mastery_Rank</t>
        </is>
      </c>
      <c r="D324" t="inlineStr">
        <is>
          <t>ExportResources</t>
        </is>
      </c>
      <c r="F324" t="inlineStr">
        <is>
          <t>Aurichalc Legendary Mastery Slate</t>
        </is>
      </c>
      <c r="H324" t="inlineStr">
        <is>
          <t>Solved: current place verified and archived 2026-10-16.</t>
        </is>
      </c>
      <c r="I324" t="inlineStr">
        <is>
          <t>Resources</t>
        </is>
      </c>
      <c r="M324" t="inlineStr">
        <is>
          <t>Reward for passing the Legendary 6 Mastery Rank Test.</t>
        </is>
      </c>
      <c r="N324" t="inlineStr">
        <is>
          <t>Mastery Rank</t>
        </is>
      </c>
      <c r="O324" t="inlineStr">
        <is>
          <t>Saved a concrete acquisition place from the official Warframe Wiki. Mastery Rank patch notes (Update 41).</t>
        </is>
      </c>
    </row>
    <row r="325">
      <c r="A325" t="inlineStr">
        <is>
          <t>/Lotus/Types/Items/ShipDecos/Plants/Nokko/LisetPropZARxTreeNaturalSapling</t>
        </is>
      </c>
      <c r="B325" t="inlineStr">
        <is>
          <t xml:space="preserve">Autumn Tuvul Sapling </t>
        </is>
      </c>
      <c r="C325" t="inlineStr">
        <is>
          <t>https://wiki.warframe.com/w/Fergolyte | https://wiki.warframe.com/w/Nightcap | https://wiki.warframe.com/w/Decorations/Orbiter_Decorations</t>
        </is>
      </c>
      <c r="D325" t="inlineStr">
        <is>
          <t>ExportResources</t>
        </is>
      </c>
      <c r="F325" t="inlineStr">
        <is>
          <t xml:space="preserve">Autumn Tuvul Sapling </t>
        </is>
      </c>
      <c r="H325" t="inlineStr">
        <is>
          <t>Solved: current place verified and archived 2026-10-16.</t>
        </is>
      </c>
      <c r="I325" t="inlineStr">
        <is>
          <t>Resources</t>
        </is>
      </c>
      <c r="M325" t="inlineStr">
        <is>
          <t>Purchase from Nightcap's Nursery for 10 Fergolyte.</t>
        </is>
      </c>
      <c r="N325" t="inlineStr">
        <is>
          <t>Nightcap</t>
        </is>
      </c>
      <c r="O325" t="inlineStr">
        <is>
          <t>Saved a concrete acquisition place from the official Warframe Wiki. Nightcap page Nursery section (name has a trailing space in the export).</t>
        </is>
      </c>
    </row>
    <row r="326">
      <c r="A326" t="inlineStr">
        <is>
          <t>/Lotus/Types/Items/ShipDecos/Plants/Nokko/LisetPropDuvxZarimanPlantA</t>
        </is>
      </c>
      <c r="B326" t="inlineStr">
        <is>
          <t>Autumnal Bonsai</t>
        </is>
      </c>
      <c r="C326" t="inlineStr">
        <is>
          <t>https://wiki.warframe.com/w/Nightcap</t>
        </is>
      </c>
      <c r="D326" t="inlineStr">
        <is>
          <t>ExportResources</t>
        </is>
      </c>
      <c r="F326" t="inlineStr">
        <is>
          <t>Autumnal Bonsai</t>
        </is>
      </c>
      <c r="H326" t="inlineStr">
        <is>
          <t>Solved: current place verified and archived 2026-10-16.</t>
        </is>
      </c>
      <c r="I326" t="inlineStr">
        <is>
          <t>Resources</t>
        </is>
      </c>
      <c r="M326" t="inlineStr">
        <is>
          <t>Purchase from Nightcap's Nursery for 10 Fergolyte.</t>
        </is>
      </c>
      <c r="N326" t="inlineStr">
        <is>
          <t>Nightcap</t>
        </is>
      </c>
      <c r="O326" t="inlineStr">
        <is>
          <t>Saved a concrete acquisition place from the official Warframe Wiki. Nightcap page lists it in Offerings &gt; Nursery.</t>
        </is>
      </c>
    </row>
    <row r="327">
      <c r="A327" t="inlineStr">
        <is>
          <t>/Lotus/Types/Game/Projections/T4VoidProjectionProteaIvaraVaultABronze</t>
        </is>
      </c>
      <c r="B327" t="inlineStr">
        <is>
          <t>Axi A23 Relic</t>
        </is>
      </c>
      <c r="C327" t="inlineStr">
        <is>
          <t>https://wiki.warframe.com/w/Axi_A23</t>
        </is>
      </c>
      <c r="D327" t="inlineStr">
        <is>
          <t>ExportResources</t>
        </is>
      </c>
      <c r="E327" t="inlineStr">
        <is>
          <t>Intact</t>
        </is>
      </c>
      <c r="H327" t="inlineStr">
        <is>
          <t>Solved: current place verified and archived 2026-10-16.</t>
        </is>
      </c>
      <c r="I327" t="inlineStr">
        <is>
          <t>RelicArcane</t>
        </is>
      </c>
      <c r="M327" t="inlineStr">
        <is>
          <t>Vaulted: obtain by trading with other players.</t>
        </is>
      </c>
      <c r="N327" t="inlineStr">
        <is>
          <t>Axi A23</t>
        </is>
      </c>
      <c r="O327" t="inlineStr">
        <is>
          <t>Saved a concrete acquisition place from the official Warframe Wiki. Axi A23 relic page: vaulted.</t>
        </is>
      </c>
    </row>
    <row r="328">
      <c r="A328" t="inlineStr">
        <is>
          <t>/Lotus/Types/Game/Projections/T4VoidProjectionProteaIvaraVaultAGold</t>
        </is>
      </c>
      <c r="B328" t="inlineStr">
        <is>
          <t>Axi A23 Relic</t>
        </is>
      </c>
      <c r="C328" t="inlineStr">
        <is>
          <t>https://wiki.warframe.com/w/Axi_A23</t>
        </is>
      </c>
      <c r="D328" t="inlineStr">
        <is>
          <t>ExportResources</t>
        </is>
      </c>
      <c r="E328" t="inlineStr">
        <is>
          <t>Flawless</t>
        </is>
      </c>
      <c r="H328" t="inlineStr">
        <is>
          <t>Solved: current place verified and archived 2026-10-16.</t>
        </is>
      </c>
      <c r="I328" t="inlineStr">
        <is>
          <t>RelicArcane</t>
        </is>
      </c>
      <c r="M328" t="inlineStr">
        <is>
          <t>Vaulted: obtain by trading with other players.</t>
        </is>
      </c>
      <c r="N328" t="inlineStr">
        <is>
          <t>Axi A23</t>
        </is>
      </c>
      <c r="O328" t="inlineStr">
        <is>
          <t>Saved a concrete acquisition place from the official Warframe Wiki. Axi A23 relic page: vaulted.</t>
        </is>
      </c>
    </row>
    <row r="329">
      <c r="A329" t="inlineStr">
        <is>
          <t>/Lotus/Types/Game/Projections/T4VoidProjectionProteaIvaraVaultAPlatinum</t>
        </is>
      </c>
      <c r="B329" t="inlineStr">
        <is>
          <t>Axi A23 Relic</t>
        </is>
      </c>
      <c r="C329" t="inlineStr">
        <is>
          <t>https://wiki.warframe.com/w/Axi_A23</t>
        </is>
      </c>
      <c r="D329" t="inlineStr">
        <is>
          <t>ExportResources</t>
        </is>
      </c>
      <c r="E329" t="inlineStr">
        <is>
          <t>Radiant</t>
        </is>
      </c>
      <c r="H329" t="inlineStr">
        <is>
          <t>Solved: current place verified and archived 2026-10-16.</t>
        </is>
      </c>
      <c r="I329" t="inlineStr">
        <is>
          <t>RelicArcane</t>
        </is>
      </c>
      <c r="M329" t="inlineStr">
        <is>
          <t>Vaulted: obtain by trading with other players.</t>
        </is>
      </c>
      <c r="N329" t="inlineStr">
        <is>
          <t>Axi A23</t>
        </is>
      </c>
      <c r="O329" t="inlineStr">
        <is>
          <t>Saved a concrete acquisition place from the official Warframe Wiki. Axi A23 relic page: vaulted.</t>
        </is>
      </c>
    </row>
    <row r="330">
      <c r="A330" t="inlineStr">
        <is>
          <t>/Lotus/Types/Game/Projections/T4VoidProjectionProteaIvaraVaultASilver</t>
        </is>
      </c>
      <c r="B330" t="inlineStr">
        <is>
          <t>Axi A23 Relic</t>
        </is>
      </c>
      <c r="C330" t="inlineStr">
        <is>
          <t>https://wiki.warframe.com/w/Axi_A23</t>
        </is>
      </c>
      <c r="D330" t="inlineStr">
        <is>
          <t>ExportResources</t>
        </is>
      </c>
      <c r="E330" t="inlineStr">
        <is>
          <t>Exceptional</t>
        </is>
      </c>
      <c r="H330" t="inlineStr">
        <is>
          <t>Solved: current place verified and archived 2026-10-16.</t>
        </is>
      </c>
      <c r="I330" t="inlineStr">
        <is>
          <t>RelicArcane</t>
        </is>
      </c>
      <c r="M330" t="inlineStr">
        <is>
          <t>Vaulted: obtain by trading with other players.</t>
        </is>
      </c>
      <c r="N330" t="inlineStr">
        <is>
          <t>Axi A23</t>
        </is>
      </c>
      <c r="O330" t="inlineStr">
        <is>
          <t>Saved a concrete acquisition place from the official Warframe Wiki. Axi A23 relic page: vaulted.</t>
        </is>
      </c>
    </row>
    <row r="331">
      <c r="A331" t="inlineStr">
        <is>
          <t>/Lotus/Types/Game/Projections/T4VoidProjection</t>
        </is>
      </c>
      <c r="B331" t="inlineStr">
        <is>
          <t>Axi Relic</t>
        </is>
      </c>
      <c r="C331" t="inlineStr">
        <is>
          <t>https://wiki.warframe.com/w/Void_Fissure</t>
        </is>
      </c>
      <c r="D331" t="inlineStr">
        <is>
          <t>ExportResources</t>
        </is>
      </c>
      <c r="F331" t="inlineStr">
        <is>
          <t>Axi Relic</t>
        </is>
      </c>
      <c r="H331" t="inlineStr">
        <is>
          <t>Solved: current place verified and archived 2026-10-16.</t>
        </is>
      </c>
      <c r="I331" t="inlineStr">
        <is>
          <t>Resources</t>
        </is>
      </c>
      <c r="M331" t="inlineStr">
        <is>
          <t>Mission reward, mainly from endless Void Fissure missions. Packs of 3 cost 20,000 Standing from syndicates, 50 Platinum in the Market or 15 Steel Essence from Teshin.</t>
        </is>
      </c>
      <c r="N331" t="inlineStr">
        <is>
          <t>Void Relic | Void Fissure</t>
        </is>
      </c>
      <c r="O331" t="inlineStr">
        <is>
          <t>Saved a concrete acquisition place from the official Warframe Wiki. Void Relic page Acquisition section (generic).</t>
        </is>
      </c>
    </row>
    <row r="332">
      <c r="A332" t="inlineStr">
        <is>
          <t>/Lotus/Types/Items/ShipDecos/BaruukPattern</t>
        </is>
      </c>
      <c r="B332" t="inlineStr">
        <is>
          <t>Baruuk Mandala</t>
        </is>
      </c>
      <c r="C332" t="inlineStr">
        <is>
          <t>https://wiki.warframe.com/w/Baruuk_Collection | https://wiki.warframe.com/w/Decorations/Orbiter_Decorations</t>
        </is>
      </c>
      <c r="D332" t="inlineStr">
        <is>
          <t>ExportResources</t>
        </is>
      </c>
      <c r="F332" t="inlineStr">
        <is>
          <t>Baruuk Mandala</t>
        </is>
      </c>
      <c r="H332" t="inlineStr">
        <is>
          <t>Solved: current place verified and archived 2026-10-16.</t>
        </is>
      </c>
      <c r="I332" t="inlineStr">
        <is>
          <t>Resources</t>
        </is>
      </c>
      <c r="M332" t="inlineStr">
        <is>
          <t>Included in the Baruuk Collection (Market).</t>
        </is>
      </c>
      <c r="N332" t="inlineStr">
        <is>
          <t>Baruuk Collection | Update 24 | Decorations/Orbiter Decorations | Baruuk/Patch History</t>
        </is>
      </c>
      <c r="O332" t="inlineStr">
        <is>
          <t>We copied where it comes from off the wiki page. See place from wiki page.</t>
        </is>
      </c>
    </row>
    <row r="333">
      <c r="A333" t="inlineStr">
        <is>
          <t>/Lotus/Types/Items/ShipDecos/BaruukPrimePattern</t>
        </is>
      </c>
      <c r="B333" t="inlineStr">
        <is>
          <t>Baruuk Prime Mandala</t>
        </is>
      </c>
      <c r="C333" t="inlineStr">
        <is>
          <t>https://wiki.warframe.com/w/Prime_Resurgence | https://wiki.warframe.com/w/Prime | https://wiki.warframe.com/w/Devstream_166 | https://wiki.warframe.com/w/Prime_Access | https://wiki.warframe.com/w/Decorations/Orbiter_Decorations</t>
        </is>
      </c>
      <c r="D333" t="inlineStr">
        <is>
          <t>ExportResources</t>
        </is>
      </c>
      <c r="F333" t="inlineStr">
        <is>
          <t>Baruuk Prime Mandala</t>
        </is>
      </c>
      <c r="H333" t="inlineStr">
        <is>
          <t>Solved: current place verified and archived 2026-10-16.</t>
        </is>
      </c>
      <c r="I333" t="inlineStr">
        <is>
          <t>Resources</t>
        </is>
      </c>
      <c r="M333" t="inlineStr">
        <is>
          <t>Purchase from Varzia in Maroo's Bazaar for 1 Regal Aya while it is in the monthly Prime Resurgence rotation.</t>
        </is>
      </c>
      <c r="N333" t="inlineStr">
        <is>
          <t>Prime Resurgence</t>
        </is>
      </c>
      <c r="O333" t="inlineStr">
        <is>
          <t>Saved a concrete acquisition place from the official Warframe Wiki. Prime Resurgence Current Rewards table lists it at 1 Regal Aya.</t>
        </is>
      </c>
    </row>
    <row r="334">
      <c r="A334" t="inlineStr">
        <is>
          <t>/Lotus/Types/Items/MiscItems/PhotoboothTileDuviriIsleCapE</t>
        </is>
      </c>
      <c r="B334" t="inlineStr">
        <is>
          <t>Basin Cay Scene</t>
        </is>
      </c>
      <c r="C334" t="inlineStr">
        <is>
          <t>https://wiki.warframe.com/w/Acrithis | https://wiki.warframe.com/w/Captura</t>
        </is>
      </c>
      <c r="D334" t="inlineStr">
        <is>
          <t>ExportResources</t>
        </is>
      </c>
      <c r="F334" t="inlineStr">
        <is>
          <t>Basin Cay Scene</t>
        </is>
      </c>
      <c r="H334" t="inlineStr">
        <is>
          <t>Solved: current place verified and archived 2026-10-16.</t>
        </is>
      </c>
      <c r="I334" t="inlineStr">
        <is>
          <t>Resources</t>
        </is>
      </c>
      <c r="M334" t="inlineStr">
        <is>
          <t>Purchase from Acrithis' rotating Wares in Duviri.</t>
        </is>
      </c>
      <c r="N334" t="inlineStr">
        <is>
          <t>Captura</t>
        </is>
      </c>
      <c r="O334" t="inlineStr">
        <is>
          <t>Saved a concrete acquisition place from the official Warframe Wiki. Captura scene table lists this scene with its acquisition note.</t>
        </is>
      </c>
    </row>
    <row r="335">
      <c r="A335" t="inlineStr">
        <is>
          <t>/Lotus/Types/Items/ShipDecos/Plushies/PlushyBeachKavat</t>
        </is>
      </c>
      <c r="B335" t="inlineStr">
        <is>
          <t>Beach Kavat Floof</t>
        </is>
      </c>
      <c r="C335" t="inlineStr">
        <is>
          <t>https://wiki.warframe.com/w/Dog_Days | https://wiki.warframe.com/w/Decorations/Orbiter_Decorations | https://wiki.warframe.com/w/Tactical_Alert/Archive</t>
        </is>
      </c>
      <c r="D335" t="inlineStr">
        <is>
          <t>ExportResources</t>
        </is>
      </c>
      <c r="F335" t="inlineStr">
        <is>
          <t>Beach Kavat Floof</t>
        </is>
      </c>
      <c r="H335" t="inlineStr">
        <is>
          <t>Solved: current place verified and archived 2026-10-16.</t>
        </is>
      </c>
      <c r="I335" t="inlineStr">
        <is>
          <t>Resources</t>
        </is>
      </c>
      <c r="M335" t="inlineStr">
        <is>
          <t>Purchase from the Dog Days event store for 195 Nakak Pearls.</t>
        </is>
      </c>
      <c r="N335" t="inlineStr">
        <is>
          <t>Dog Days | Decorations/Orbiter Decorations | Tactical Alert/Archive</t>
        </is>
      </c>
      <c r="O335" t="inlineStr">
        <is>
          <t>We copied where it comes from off the wiki page. See place from wiki page.</t>
        </is>
      </c>
    </row>
    <row r="336">
      <c r="A336" t="inlineStr">
        <is>
          <t>/Lotus/Types/Items/ShipDecos/Events/CitrineComboCrystalShipDeco</t>
        </is>
      </c>
      <c r="B336" t="inlineStr">
        <is>
          <t>Belric and Rania Reunited</t>
        </is>
      </c>
      <c r="C336" t="inlineStr">
        <is>
          <t>https://wiki.warframe.com/w/Crystal_Bastion_Collection | https://wiki.warframe.com/w/Decorations/Orbiter_Decorations</t>
        </is>
      </c>
      <c r="D336" t="inlineStr">
        <is>
          <t>ExportResources</t>
        </is>
      </c>
      <c r="F336" t="inlineStr">
        <is>
          <t>Belric and Rania Reunited</t>
        </is>
      </c>
      <c r="H336" t="inlineStr">
        <is>
          <t>Solved: current place verified and archived 2026-10-16.</t>
        </is>
      </c>
      <c r="I336" t="inlineStr">
        <is>
          <t>Resources</t>
        </is>
      </c>
      <c r="M336" t="inlineStr">
        <is>
          <t>In-game Market as part of the Crystal Bastion Collection for 740 Platinum (bundle only).</t>
        </is>
      </c>
      <c r="N336" t="inlineStr">
        <is>
          <t>Crystal Bastion Collection | Update 32 | Decorations/Orbiter Decorations</t>
        </is>
      </c>
      <c r="O336" t="inlineStr">
        <is>
          <t>We copied where it comes from off the wiki page. See place from wiki page.</t>
        </is>
      </c>
    </row>
    <row r="337">
      <c r="A337" t="inlineStr">
        <is>
          <t>/Lotus/Types/Items/MiscItems/BetaCorruptorResource</t>
        </is>
      </c>
      <c r="B337" t="inlineStr">
        <is>
          <t>Beta Corruptor</t>
        </is>
      </c>
      <c r="C337" t="inlineStr">
        <is>
          <t>https://wiki.warframe.com/w/Operation_Sling-Stone | https://wiki.warframe.com/w/Corruptor</t>
        </is>
      </c>
      <c r="D337" t="inlineStr">
        <is>
          <t>ExportResources</t>
        </is>
      </c>
      <c r="F337" t="inlineStr">
        <is>
          <t>Beta Corruptor</t>
        </is>
      </c>
      <c r="H337" t="inlineStr">
        <is>
          <t>Solved: current place verified and archived 2026-10-16.</t>
        </is>
      </c>
      <c r="I337" t="inlineStr">
        <is>
          <t>Resources</t>
        </is>
      </c>
      <c r="J337" t="inlineStr">
        <is>
          <t>Resources_data</t>
        </is>
      </c>
      <c r="K337" t="inlineStr">
        <is>
          <t>Resources/data</t>
        </is>
      </c>
      <c r="L337" t="inlineStr">
        <is>
          <t>listed, no place</t>
        </is>
      </c>
      <c r="M337" t="inlineStr">
        <is>
          <t>Dropped by Infested during Operation Sling-Stone; used at the terminal of the Fomorian defense mission.</t>
        </is>
      </c>
      <c r="N337" t="inlineStr">
        <is>
          <t>Operation Sling-Stone | Corruptor</t>
        </is>
      </c>
      <c r="O337" t="inlineStr">
        <is>
          <t>Saved a concrete acquisition place from the official Warframe Wiki. Operation Sling-Stone: Corruptors are gained by killing Infested and are consumable.</t>
        </is>
      </c>
    </row>
    <row r="338">
      <c r="A338" t="inlineStr">
        <is>
          <t>/Lotus/Types/Gameplay/JadeShadows/Resources/BioplasmaItem</t>
        </is>
      </c>
      <c r="B338" t="inlineStr">
        <is>
          <t>Bioplasma</t>
        </is>
      </c>
      <c r="C338" t="inlineStr">
        <is>
          <t>https://wiki.warframe.com/w/Jade_Shadows</t>
        </is>
      </c>
      <c r="D338" t="inlineStr">
        <is>
          <t>ExportResources</t>
        </is>
      </c>
      <c r="G338" t="inlineStr">
        <is>
          <t>Bioplasma</t>
        </is>
      </c>
      <c r="H338" t="inlineStr">
        <is>
          <t>Solved: current place verified and archived 2026-10-16.</t>
        </is>
      </c>
      <c r="I338" t="inlineStr">
        <is>
          <t>Resources</t>
        </is>
      </c>
      <c r="J338" t="inlineStr">
        <is>
          <t>Resources_data</t>
        </is>
      </c>
      <c r="K338" t="inlineStr">
        <is>
          <t>Resources/data</t>
        </is>
      </c>
      <c r="L338" t="inlineStr">
        <is>
          <t>listed, no place</t>
        </is>
      </c>
      <c r="M338" t="inlineStr">
        <is>
          <t>Obtained during Jade Shadows by raiding a Corpus ship on Phobos.</t>
        </is>
      </c>
      <c r="N338" t="inlineStr">
        <is>
          <t>Jade Shadows</t>
        </is>
      </c>
      <c r="O338" t="inlineStr">
        <is>
          <t>Saved a concrete acquisition place from the official Warframe Wiki.</t>
        </is>
      </c>
    </row>
    <row r="339">
      <c r="A339" t="inlineStr">
        <is>
          <t>/Lotus/Types/Items/ShipDecos/Plushies/BirdPlush</t>
        </is>
      </c>
      <c r="B339" t="inlineStr">
        <is>
          <t>Bird 3 Floof</t>
        </is>
      </c>
      <c r="C339" t="inlineStr">
        <is>
          <t>https://wiki.warframe.com/w/Conquera | https://wiki.warframe.com/w/Promo_Codes</t>
        </is>
      </c>
      <c r="D339" t="inlineStr">
        <is>
          <t>ExportResources</t>
        </is>
      </c>
      <c r="F339" t="inlineStr">
        <is>
          <t>Bird 3 Floof</t>
        </is>
      </c>
      <c r="H339" t="inlineStr">
        <is>
          <t>Solved: current place verified and archived 2026-10-16.</t>
        </is>
      </c>
      <c r="I339" t="inlineStr">
        <is>
          <t>Resources</t>
        </is>
      </c>
      <c r="M339" t="inlineStr">
        <is>
          <t>Reward for reaching the $10,000 donation goal in the Conquera 2025 (Quest to Conquer Cancer) campaign.</t>
        </is>
      </c>
      <c r="N339" t="inlineStr">
        <is>
          <t>Conquera</t>
        </is>
      </c>
      <c r="O339" t="inlineStr">
        <is>
          <t>Saved a concrete acquisition place from the official Warframe Wiki. Conquera page Rewards list by year.</t>
        </is>
      </c>
    </row>
    <row r="340">
      <c r="A340" t="inlineStr">
        <is>
          <t>/Lotus/Types/Items/ShipDecos/Plants/Nokko/LisetPropGftPlantBirdsNestD</t>
        </is>
      </c>
      <c r="B340" t="inlineStr">
        <is>
          <t>Bird's Nest Fern (Narrowly Opened)</t>
        </is>
      </c>
      <c r="C340" t="inlineStr">
        <is>
          <t>https://wiki.warframe.com/w/Nightcap</t>
        </is>
      </c>
      <c r="D340" t="inlineStr">
        <is>
          <t>ExportResources</t>
        </is>
      </c>
      <c r="F340" t="inlineStr">
        <is>
          <t>Bird's Nest Fern (Narrowly Opened)</t>
        </is>
      </c>
      <c r="H340" t="inlineStr">
        <is>
          <t>Solved: current place verified and archived 2026-10-16.</t>
        </is>
      </c>
      <c r="I340" t="inlineStr">
        <is>
          <t>Resources</t>
        </is>
      </c>
      <c r="M340" t="inlineStr">
        <is>
          <t>Purchase from Nightcap's Nursery for 10 Fergolyte.</t>
        </is>
      </c>
      <c r="N340" t="inlineStr">
        <is>
          <t>Nightcap</t>
        </is>
      </c>
      <c r="O340" t="inlineStr">
        <is>
          <t>Saved a concrete acquisition place from the official Warframe Wiki. Nightcap page lists it in Offerings &gt; Nursery.</t>
        </is>
      </c>
    </row>
    <row r="341">
      <c r="A341" t="inlineStr">
        <is>
          <t>/Lotus/Types/Items/ShipDecos/LisetPropCleaningDroneAshGemini</t>
        </is>
      </c>
      <c r="B341" t="inlineStr">
        <is>
          <t>Bladeswarm Domestik Drone</t>
        </is>
      </c>
      <c r="C341" t="inlineStr">
        <is>
          <t>https://wiki.warframe.com/w/Domestik_Drone | https://wiki.warframe.com/w/Pontis_Tower | https://wiki.warframe.com/w/Emerald_Talent | https://wiki.warframe.com/w/Hunhow</t>
        </is>
      </c>
      <c r="D341" t="inlineStr">
        <is>
          <t>ExportResources</t>
        </is>
      </c>
      <c r="F341" t="inlineStr">
        <is>
          <t>Bladeswarm Domestik Drone</t>
        </is>
      </c>
      <c r="H341" t="inlineStr">
        <is>
          <t>Solved: current place verified and archived 2026-10-16.</t>
        </is>
      </c>
      <c r="I341" t="inlineStr">
        <is>
          <t>Resources</t>
        </is>
      </c>
      <c r="M341" t="inlineStr">
        <is>
          <t>Purchase from Hunhow's Keepsakes in Pontis Tower for 50 Emerald Talents.</t>
        </is>
      </c>
      <c r="N341" t="inlineStr">
        <is>
          <t>Domestik Drone | Pontis Tower | Emerald Talent | Hunhow</t>
        </is>
      </c>
      <c r="O341" t="inlineStr">
        <is>
          <t>We copied where it comes from off the wiki page. See place from wiki page.</t>
        </is>
      </c>
    </row>
    <row r="342">
      <c r="A342" t="inlineStr">
        <is>
          <t>/Lotus/Types/Items/ShipDecos/LisetPropCleaningDroneGarudaGemini</t>
        </is>
      </c>
      <c r="B342" t="inlineStr">
        <is>
          <t>Bloodfrenzy Domestik Drone</t>
        </is>
      </c>
      <c r="C342" t="inlineStr">
        <is>
          <t>https://wiki.warframe.com/w/Domestik_Drone | https://wiki.warframe.com/w/Pontis_Tower | https://wiki.warframe.com/w/Crimson_Talent | https://wiki.warframe.com/w/Hunhow</t>
        </is>
      </c>
      <c r="D342" t="inlineStr">
        <is>
          <t>ExportResources</t>
        </is>
      </c>
      <c r="F342" t="inlineStr">
        <is>
          <t>Bloodfrenzy Domestik Drone</t>
        </is>
      </c>
      <c r="H342" t="inlineStr">
        <is>
          <t>Solved: current place verified and archived 2026-10-16.</t>
        </is>
      </c>
      <c r="I342" t="inlineStr">
        <is>
          <t>Resources</t>
        </is>
      </c>
      <c r="M342" t="inlineStr">
        <is>
          <t>Purchase from Hunhow's Keepsakes in Pontis Tower for 50 Crimson Talents.</t>
        </is>
      </c>
      <c r="N342" t="inlineStr">
        <is>
          <t>Domestik Drone | Pontis Tower | Crimson Talent | Hunhow</t>
        </is>
      </c>
      <c r="O342" t="inlineStr">
        <is>
          <t>We copied where it comes from off the wiki page. See place from wiki page.</t>
        </is>
      </c>
    </row>
    <row r="343">
      <c r="A343" t="inlineStr">
        <is>
          <t>/Lotus/Types/Items/ShipDecos/Plants/Nokko/LisetPropLASxBoxwoodHedgeA1x1m</t>
        </is>
      </c>
      <c r="B343" t="inlineStr">
        <is>
          <t>Boxwood Hedge (1x1m)</t>
        </is>
      </c>
      <c r="C343" t="inlineStr">
        <is>
          <t>https://wiki.warframe.com/w/Nightcap</t>
        </is>
      </c>
      <c r="D343" t="inlineStr">
        <is>
          <t>ExportResources</t>
        </is>
      </c>
      <c r="F343" t="inlineStr">
        <is>
          <t>Boxwood Hedge (1x1m)</t>
        </is>
      </c>
      <c r="H343" t="inlineStr">
        <is>
          <t>Solved: current place verified and archived 2026-10-16.</t>
        </is>
      </c>
      <c r="I343" t="inlineStr">
        <is>
          <t>Resources</t>
        </is>
      </c>
      <c r="M343" t="inlineStr">
        <is>
          <t>Purchase from Nightcap's Nursery for 10 Fergolyte.</t>
        </is>
      </c>
      <c r="N343" t="inlineStr">
        <is>
          <t>Nightcap</t>
        </is>
      </c>
      <c r="O343" t="inlineStr">
        <is>
          <t>Saved a concrete acquisition place from the official Warframe Wiki. Nightcap page lists it in Offerings &gt; Nursery.</t>
        </is>
      </c>
    </row>
    <row r="344">
      <c r="A344" t="inlineStr">
        <is>
          <t>/Lotus/Types/Items/ShipDecos/Plushies/PlushyTiger</t>
        </is>
      </c>
      <c r="B344" t="inlineStr">
        <is>
          <t>Brave Tiger Floof</t>
        </is>
      </c>
      <c r="C344" t="inlineStr">
        <is>
          <t>https://wiki.warframe.com/w/Lunar_Renewal | https://wiki.warframe.com/w/Shining_Lunar_Renewal_Collection</t>
        </is>
      </c>
      <c r="D344" t="inlineStr">
        <is>
          <t>ExportResources</t>
        </is>
      </c>
      <c r="F344" t="inlineStr">
        <is>
          <t>Brave Tiger Floof</t>
        </is>
      </c>
      <c r="H344" t="inlineStr">
        <is>
          <t>Solved: current place verified and archived 2026-10-16.</t>
        </is>
      </c>
      <c r="I344" t="inlineStr">
        <is>
          <t>Resources</t>
        </is>
      </c>
      <c r="M344" t="inlineStr">
        <is>
          <t>In-game Market for 35 Platinum.</t>
        </is>
      </c>
      <c r="N344" t="inlineStr">
        <is>
          <t>Lunar Renewal | Shining Lunar Renewal Collection | Update 31</t>
        </is>
      </c>
      <c r="O344" t="inlineStr">
        <is>
          <t>We copied where it comes from off the wiki page. See place from wiki page.</t>
        </is>
      </c>
    </row>
    <row r="345">
      <c r="A345" t="inlineStr">
        <is>
          <t>/Lotus/Types/Items/Deimos/AnimalTagInfestedMaggotCommon</t>
        </is>
      </c>
      <c r="B345" t="inlineStr">
        <is>
          <t>Burrowing Cryptilex Tag</t>
        </is>
      </c>
      <c r="C345" t="inlineStr">
        <is>
          <t>https://wiki.warframe.com/w/Conservation</t>
        </is>
      </c>
      <c r="D345" t="inlineStr">
        <is>
          <t>ExportResources</t>
        </is>
      </c>
      <c r="G345" t="inlineStr">
        <is>
          <t>Conservation#Cryptilex</t>
        </is>
      </c>
      <c r="H345" t="inlineStr">
        <is>
          <t>Solved: current place verified and archived 2026-10-16.</t>
        </is>
      </c>
      <c r="I345" t="inlineStr">
        <is>
          <t>Resources</t>
        </is>
      </c>
      <c r="J345" t="inlineStr">
        <is>
          <t>Resources_data</t>
        </is>
      </c>
      <c r="K345" t="inlineStr">
        <is>
          <t>Resources/data</t>
        </is>
      </c>
      <c r="L345" t="inlineStr">
        <is>
          <t>listed, no place</t>
        </is>
      </c>
      <c r="M345" t="inlineStr">
        <is>
          <t>Capture a Burrowing Cryptilex through Conservation in the Cambion Drift.</t>
        </is>
      </c>
      <c r="N345" t="inlineStr">
        <is>
          <t>Conservation</t>
        </is>
      </c>
      <c r="O345" t="inlineStr">
        <is>
          <t>Saved a concrete acquisition place from the official Warframe Wiki.</t>
        </is>
      </c>
    </row>
    <row r="346">
      <c r="A346" t="inlineStr">
        <is>
          <t>/Lotus/Types/Items/ShipDecos/CorpusGreedReliefI</t>
        </is>
      </c>
      <c r="B346" t="inlineStr">
        <is>
          <t>Bury The Past</t>
        </is>
      </c>
      <c r="C346" t="inlineStr">
        <is>
          <t>https://wiki.warframe.com/w/Unnamed_Warframe:_Tau_Quest/Transcript | https://wiki.warframe.com/w/Fragments/The_Tenets | https://wiki.warframe.com/w/Parvos_Granum | https://wiki.warframe.com/w/Decorations/Orbiter_Decorations</t>
        </is>
      </c>
      <c r="D346" t="inlineStr">
        <is>
          <t>ExportResources</t>
        </is>
      </c>
      <c r="F346" t="inlineStr">
        <is>
          <t>Bury The Past</t>
        </is>
      </c>
      <c r="H346" t="inlineStr">
        <is>
          <t>Solved: current place verified and archived 2026-10-16.</t>
        </is>
      </c>
      <c r="I346" t="inlineStr">
        <is>
          <t>Resources</t>
        </is>
      </c>
      <c r="M346" t="inlineStr">
        <is>
          <t>Pay tribute with a Granum Crown at the Corpus Temple Reliefs in the Corpus Ship tileset.</t>
        </is>
      </c>
      <c r="N346" t="inlineStr">
        <is>
          <t>Fragments/The Tenets</t>
        </is>
      </c>
      <c r="O346" t="inlineStr">
        <is>
          <t>Saved a concrete acquisition place from the official Warframe Wiki. Fragments/The Tenets page intro.</t>
        </is>
      </c>
    </row>
    <row r="347">
      <c r="A347" t="inlineStr">
        <is>
          <t>/Lotus/Types/Recipes/WarframeRecipes/ChromaBeaconCComponent</t>
        </is>
      </c>
      <c r="B347" t="inlineStr">
        <is>
          <t>CHROMA MARK</t>
        </is>
      </c>
      <c r="C347" t="inlineStr">
        <is>
          <t>https://wiki.warframe.com/w/The_New_Strange</t>
        </is>
      </c>
      <c r="D347" t="inlineStr">
        <is>
          <t>ExportResources</t>
        </is>
      </c>
      <c r="G347" t="inlineStr">
        <is>
          <t>The New Strange/Chroma Mark</t>
        </is>
      </c>
      <c r="H347" t="inlineStr">
        <is>
          <t>Solved: current place verified and archived 2026-10-16.</t>
        </is>
      </c>
      <c r="I347" t="inlineStr">
        <is>
          <t>Resources</t>
        </is>
      </c>
      <c r="J347" t="inlineStr">
        <is>
          <t>Resources_data</t>
        </is>
      </c>
      <c r="K347" t="inlineStr">
        <is>
          <t>Resources/data</t>
        </is>
      </c>
      <c r="L347" t="inlineStr">
        <is>
          <t>listed, no place</t>
        </is>
      </c>
      <c r="M347" t="inlineStr">
        <is>
          <t>Blueprint from synthesizing Chroma during The New Strange quest.</t>
        </is>
      </c>
      <c r="N347" t="inlineStr">
        <is>
          <t>The New Strange</t>
        </is>
      </c>
      <c r="O347" t="inlineStr">
        <is>
          <t>Saved a concrete acquisition place from the official Warframe Wiki.</t>
        </is>
      </c>
    </row>
    <row r="348">
      <c r="A348" t="inlineStr">
        <is>
          <t>/Lotus/Types/Recipes/WarframeRecipes/ChromaBeaconBComponent</t>
        </is>
      </c>
      <c r="B348" t="inlineStr">
        <is>
          <t>CHROMA SIGNAL</t>
        </is>
      </c>
      <c r="C348" t="inlineStr">
        <is>
          <t>https://wiki.warframe.com/w/The_New_Strange</t>
        </is>
      </c>
      <c r="D348" t="inlineStr">
        <is>
          <t>ExportResources</t>
        </is>
      </c>
      <c r="G348" t="inlineStr">
        <is>
          <t>The New Strange/Chroma Signal</t>
        </is>
      </c>
      <c r="H348" t="inlineStr">
        <is>
          <t>Solved: current place verified and archived 2026-10-16.</t>
        </is>
      </c>
      <c r="I348" t="inlineStr">
        <is>
          <t>Resources</t>
        </is>
      </c>
      <c r="J348" t="inlineStr">
        <is>
          <t>Resources_data</t>
        </is>
      </c>
      <c r="K348" t="inlineStr">
        <is>
          <t>Resources/data</t>
        </is>
      </c>
      <c r="L348" t="inlineStr">
        <is>
          <t>listed, no place</t>
        </is>
      </c>
      <c r="M348" t="inlineStr">
        <is>
          <t>Blueprint from the Morax, Europa Mobile Defense stage of The New Strange quest.</t>
        </is>
      </c>
      <c r="N348" t="inlineStr">
        <is>
          <t>The New Strange</t>
        </is>
      </c>
      <c r="O348" t="inlineStr">
        <is>
          <t>Saved a concrete acquisition place from the official Warframe Wiki.</t>
        </is>
      </c>
    </row>
    <row r="349">
      <c r="A349" t="inlineStr">
        <is>
          <t>/Lotus/Types/Items/ShipFeatureItems/SocialMenuFeatureItem</t>
        </is>
      </c>
      <c r="B349" t="inlineStr">
        <is>
          <t>COMMS SEGMENT</t>
        </is>
      </c>
      <c r="C349" t="inlineStr">
        <is>
          <t>https://wiki.warframe.com/w/Vor's_Prize</t>
        </is>
      </c>
      <c r="D349" t="inlineStr">
        <is>
          <t>ExportResources</t>
        </is>
      </c>
      <c r="F349" t="inlineStr">
        <is>
          <t>COMMS SEGMENT</t>
        </is>
      </c>
      <c r="H349" t="inlineStr">
        <is>
          <t>Solved: current place verified and archived 2026-10-16.</t>
        </is>
      </c>
      <c r="I349" t="inlineStr">
        <is>
          <t>Resources</t>
        </is>
      </c>
      <c r="M349" t="inlineStr">
        <is>
          <t>Obtained during the Vor's Prize quest.</t>
        </is>
      </c>
      <c r="N349" t="inlineStr">
        <is>
          <t>Orbiter Segments</t>
        </is>
      </c>
      <c r="O349" t="inlineStr">
        <is>
          <t>Saved a concrete acquisition place from the official Warframe Wiki. Orbiter Segments page, Basic Segments.</t>
        </is>
      </c>
    </row>
    <row r="350">
      <c r="A350" t="inlineStr">
        <is>
          <t>/Lotus/Types/Items/ShipDecos/LisetPropOstBirdCage</t>
        </is>
      </c>
      <c r="B350" t="inlineStr">
        <is>
          <t>Caged Condroc</t>
        </is>
      </c>
      <c r="C350" t="inlineStr">
        <is>
          <t>https://wiki.warframe.com/w/Ostron | https://wiki.warframe.com/w/Decorations/Orbiter_Decorations</t>
        </is>
      </c>
      <c r="D350" t="inlineStr">
        <is>
          <t>ExportResources</t>
        </is>
      </c>
      <c r="F350" t="inlineStr">
        <is>
          <t>Caged Condroc</t>
        </is>
      </c>
      <c r="H350" t="inlineStr">
        <is>
          <t>Solved: current place verified and archived 2026-10-16.</t>
        </is>
      </c>
      <c r="I350" t="inlineStr">
        <is>
          <t>Resources</t>
        </is>
      </c>
      <c r="M350" t="inlineStr">
        <is>
          <t>Trade Plains of Eidolon resources to Master Teasonai in Cetus; three items per day, costs change daily.</t>
        </is>
      </c>
      <c r="N350" t="inlineStr">
        <is>
          <t>Ostron | Decorations/Orbiter Decorations</t>
        </is>
      </c>
      <c r="O350" t="inlineStr">
        <is>
          <t>Saved a concrete acquisition place from the official Warframe Wiki. Ostron page, Master Teasonai section.</t>
        </is>
      </c>
    </row>
    <row r="351">
      <c r="A351" t="inlineStr">
        <is>
          <t>/Lotus/Types/Items/ShipDecos/LisetPropOstRodentCage</t>
        </is>
      </c>
      <c r="B351" t="inlineStr">
        <is>
          <t>Caged Kuaka</t>
        </is>
      </c>
      <c r="C351" t="inlineStr">
        <is>
          <t>https://wiki.warframe.com/w/Ostron | https://wiki.warframe.com/w/Decorations/Orbiter_Decorations</t>
        </is>
      </c>
      <c r="D351" t="inlineStr">
        <is>
          <t>ExportResources</t>
        </is>
      </c>
      <c r="F351" t="inlineStr">
        <is>
          <t>Caged Kuaka</t>
        </is>
      </c>
      <c r="H351" t="inlineStr">
        <is>
          <t>Solved: current place verified and archived 2026-10-16.</t>
        </is>
      </c>
      <c r="I351" t="inlineStr">
        <is>
          <t>Resources</t>
        </is>
      </c>
      <c r="M351" t="inlineStr">
        <is>
          <t>Trade Plains of Eidolon resources to Master Teasonai in Cetus; three items per day, costs change daily.</t>
        </is>
      </c>
      <c r="N351" t="inlineStr">
        <is>
          <t>Ostron | Decorations/Orbiter Decorations</t>
        </is>
      </c>
      <c r="O351" t="inlineStr">
        <is>
          <t>Saved a concrete acquisition place from the official Warframe Wiki. Ostron page, Master Teasonai section.</t>
        </is>
      </c>
    </row>
    <row r="352">
      <c r="A352" t="inlineStr">
        <is>
          <t>/Lotus/Types/Items/ShipDecos/TarotCardCaliban</t>
        </is>
      </c>
      <c r="B352" t="inlineStr">
        <is>
          <t>Caliban Prex</t>
        </is>
      </c>
      <c r="C352" t="inlineStr">
        <is>
          <t>https://wiki.warframe.com/w/Decorations/Orbiter_Decorations</t>
        </is>
      </c>
      <c r="D352" t="inlineStr">
        <is>
          <t>ExportResources</t>
        </is>
      </c>
      <c r="F352" t="inlineStr">
        <is>
          <t>Caliban Prex</t>
        </is>
      </c>
      <c r="H352" t="inlineStr">
        <is>
          <t>Solved: current place verified and archived 2026-10-16.</t>
        </is>
      </c>
      <c r="I352" t="inlineStr">
        <is>
          <t>Resources</t>
        </is>
      </c>
      <c r="M352" t="inlineStr">
        <is>
          <t>Hidden pickup in Drifter's Camp, Earth: in the Drifter's Camp, on the other side of the river on top of a rock formation next to a cave, after The New War. Not visible until you've mastered Caliban / Caliban Prime.</t>
        </is>
      </c>
      <c r="N352" t="inlineStr">
        <is>
          <t>Decorations/Orbiter Decorations</t>
        </is>
      </c>
      <c r="O352" t="inlineStr">
        <is>
          <t>Saved a concrete acquisition place from the official Warframe Wiki. Orbiter Decorations Prex table and Prex Locations list.</t>
        </is>
      </c>
    </row>
    <row r="353">
      <c r="A353" t="inlineStr">
        <is>
          <t>/Lotus/Types/Items/ShipDecos/CaliberChicksPoster</t>
        </is>
      </c>
      <c r="B353" t="inlineStr">
        <is>
          <t>Caliber Chicks 2 Poster</t>
        </is>
      </c>
      <c r="C353" t="inlineStr">
        <is>
          <t>https://wiki.warframe.com/w/Caliber_Chicks_Collection | https://wiki.warframe.com/w/Decorations/Orbiter_Decorations</t>
        </is>
      </c>
      <c r="D353" t="inlineStr">
        <is>
          <t>ExportResources</t>
        </is>
      </c>
      <c r="F353" t="inlineStr">
        <is>
          <t>Caliber Chicks 2 Poster</t>
        </is>
      </c>
      <c r="H353" t="inlineStr">
        <is>
          <t>Solved: current place verified and archived 2026-10-16.</t>
        </is>
      </c>
      <c r="I353" t="inlineStr">
        <is>
          <t>Resources</t>
        </is>
      </c>
      <c r="M353" t="inlineStr">
        <is>
          <t>In-game Market for 35 Platinum.</t>
        </is>
      </c>
      <c r="N353" t="inlineStr">
        <is>
          <t>Caliber Chicks Collection | Decorations/Orbiter Decorations | Update 38</t>
        </is>
      </c>
      <c r="O353" t="inlineStr">
        <is>
          <t>We copied where it comes from off the wiki page. See place from wiki page.</t>
        </is>
      </c>
    </row>
    <row r="354">
      <c r="A354" t="inlineStr">
        <is>
          <t>/Lotus/Types/Items/ShipDecos/Tau/LisetPropSTMxGrnMedicalStretcherA</t>
        </is>
      </c>
      <c r="B354" t="inlineStr">
        <is>
          <t>Camp Bed</t>
        </is>
      </c>
      <c r="C354" t="inlineStr">
        <is>
          <t>https://wiki.warframe.com/w/Lyon</t>
        </is>
      </c>
      <c r="D354" t="inlineStr">
        <is>
          <t>ExportResources</t>
        </is>
      </c>
      <c r="F354" t="inlineStr">
        <is>
          <t>Camp Bed</t>
        </is>
      </c>
      <c r="H354" t="inlineStr">
        <is>
          <t>Solved: current place verified and archived 2026-10-16.</t>
        </is>
      </c>
      <c r="I354" t="inlineStr">
        <is>
          <t>Resources</t>
        </is>
      </c>
      <c r="M354" t="inlineStr">
        <is>
          <t>Purchase from Lyon's daily offerings (5 random decorations); costs 300-450 Agnovidisc, 120-360 Laudavi or 50-150 Servoris.</t>
        </is>
      </c>
      <c r="N354" t="inlineStr">
        <is>
          <t>Lyon</t>
        </is>
      </c>
      <c r="O354" t="inlineStr">
        <is>
          <t>Saved a concrete acquisition place from the official Warframe Wiki. Lyon page lists it in Offerings.</t>
        </is>
      </c>
    </row>
    <row r="355">
      <c r="A355" t="inlineStr">
        <is>
          <t>/Lotus/Types/Items/ShipDecos/Plushies/PlushyCarnivalKubrow</t>
        </is>
      </c>
      <c r="B355" t="inlineStr">
        <is>
          <t>Carnival Kubrow Floof</t>
        </is>
      </c>
      <c r="C355" t="inlineStr">
        <is>
          <t>https://wiki.warframe.com/w/Dog_Days | https://wiki.warframe.com/w/Decorations/Orbiter_Decorations</t>
        </is>
      </c>
      <c r="D355" t="inlineStr">
        <is>
          <t>ExportResources</t>
        </is>
      </c>
      <c r="F355" t="inlineStr">
        <is>
          <t>Carnival Kubrow Floof</t>
        </is>
      </c>
      <c r="H355" t="inlineStr">
        <is>
          <t>Solved: current place verified and archived 2026-10-16.</t>
        </is>
      </c>
      <c r="I355" t="inlineStr">
        <is>
          <t>Resources</t>
        </is>
      </c>
      <c r="M355" t="inlineStr">
        <is>
          <t>Purchase from the Dog Days event store for 195 Nakak Pearls.</t>
        </is>
      </c>
      <c r="N355" t="inlineStr">
        <is>
          <t>Dog Days | Decorations/Orbiter Decorations</t>
        </is>
      </c>
      <c r="O355" t="inlineStr">
        <is>
          <t>We copied where it comes from off the wiki page. See place from wiki page.</t>
        </is>
      </c>
    </row>
    <row r="356">
      <c r="A356" t="inlineStr">
        <is>
          <t>/Lotus/Types/Items/MiscItems/PhotoboothTileDuviriMainlandTown</t>
        </is>
      </c>
      <c r="B356" t="inlineStr">
        <is>
          <t>Castle Town Scene</t>
        </is>
      </c>
      <c r="C356" t="inlineStr">
        <is>
          <t>https://wiki.warframe.com/w/Acrithis | https://wiki.warframe.com/w/Captura</t>
        </is>
      </c>
      <c r="D356" t="inlineStr">
        <is>
          <t>ExportResources</t>
        </is>
      </c>
      <c r="F356" t="inlineStr">
        <is>
          <t>Castle Town Scene</t>
        </is>
      </c>
      <c r="H356" t="inlineStr">
        <is>
          <t>Solved: current place verified and archived 2026-10-16.</t>
        </is>
      </c>
      <c r="I356" t="inlineStr">
        <is>
          <t>Resources</t>
        </is>
      </c>
      <c r="L356" t="inlineStr">
        <is>
          <t>Vendors_data</t>
        </is>
      </c>
      <c r="M356" t="inlineStr">
        <is>
          <t>Purchase from Acrithis' rotating Wares in Duviri.</t>
        </is>
      </c>
      <c r="N356" t="inlineStr">
        <is>
          <t>Captura</t>
        </is>
      </c>
      <c r="O356" t="inlineStr">
        <is>
          <t>Saved a concrete acquisition place from the official Warframe Wiki. Captura scene table lists this scene with its acquisition note.</t>
        </is>
      </c>
    </row>
    <row r="357">
      <c r="A357" t="inlineStr">
        <is>
          <t>/Lotus/Types/Items/Deimos/AnimalTagInfestedMaggotRare</t>
        </is>
      </c>
      <c r="B357" t="inlineStr">
        <is>
          <t>Caustic Cryptilex Tag</t>
        </is>
      </c>
      <c r="C357" t="inlineStr">
        <is>
          <t>https://wiki.warframe.com/w/Conservation</t>
        </is>
      </c>
      <c r="D357" t="inlineStr">
        <is>
          <t>ExportResources</t>
        </is>
      </c>
      <c r="G357" t="inlineStr">
        <is>
          <t>Conservation#Cryptilex</t>
        </is>
      </c>
      <c r="H357" t="inlineStr">
        <is>
          <t>Solved: current place verified and archived 2026-10-16.</t>
        </is>
      </c>
      <c r="I357" t="inlineStr">
        <is>
          <t>Resources</t>
        </is>
      </c>
      <c r="J357" t="inlineStr">
        <is>
          <t>Resources_data</t>
        </is>
      </c>
      <c r="K357" t="inlineStr">
        <is>
          <t>Resources/data</t>
        </is>
      </c>
      <c r="L357" t="inlineStr">
        <is>
          <t>listed, no place</t>
        </is>
      </c>
      <c r="M357" t="inlineStr">
        <is>
          <t>Capture a Caustic Cryptilex through Conservation in the Cambion Drift.</t>
        </is>
      </c>
      <c r="N357" t="inlineStr">
        <is>
          <t>Conservation</t>
        </is>
      </c>
      <c r="O357" t="inlineStr">
        <is>
          <t>Saved a concrete acquisition place from the official Warframe Wiki.</t>
        </is>
      </c>
    </row>
    <row r="358">
      <c r="A358" t="inlineStr">
        <is>
          <t>/Lotus/Types/Recipes/Weapons/WeaponParts/CedoPrimeBarrel</t>
        </is>
      </c>
      <c r="B358" t="inlineStr">
        <is>
          <t>Cedo Prime Barrel</t>
        </is>
      </c>
      <c r="C358" t="inlineStr">
        <is>
          <t>https://wiki.warframe.com/w/Cedo_Prime | https://wiki.warframe.com/w/Neo_C11 | https://wiki.warframe.com/w/Axi_D6 | https://wiki.warframe.com/w/Axi_A21 | https://wiki.warframe.com/w/Neo_T9</t>
        </is>
      </c>
      <c r="D358" t="inlineStr">
        <is>
          <t>ExportResources</t>
        </is>
      </c>
      <c r="F358" t="inlineStr">
        <is>
          <t>Cedo Prime Barrel</t>
        </is>
      </c>
      <c r="H358" t="inlineStr">
        <is>
          <t>Solved: current place verified and archived 2026-10-16.</t>
        </is>
      </c>
      <c r="I358" t="inlineStr">
        <is>
          <t>Resources</t>
        </is>
      </c>
      <c r="J358" t="inlineStr">
        <is>
          <t>Axi A21 Relic (Uncommon) | Axi D6 Relic (Uncommon) | Neo T9 Relic (Uncommon) | Meso Y1 Relic (Uncommon) | Neo C11 Relic (Uncommon)</t>
        </is>
      </c>
      <c r="K358" t="inlineStr">
        <is>
          <t>Void/data</t>
        </is>
      </c>
      <c r="L358" t="inlineStr">
        <is>
          <t>name</t>
        </is>
      </c>
      <c r="M358" t="inlineStr">
        <is>
          <t>Neo C11, Axi D6 and Axi A21 relic drops.</t>
        </is>
      </c>
      <c r="N358" t="inlineStr">
        <is>
          <t>Neo C11 | Axi D6 | Axi A21 | Neo T9</t>
        </is>
      </c>
      <c r="O358" t="inlineStr">
        <is>
          <t>Saved a concrete acquisition place from the official Warframe Wiki. Relic pages list this part in their reward table.</t>
        </is>
      </c>
    </row>
    <row r="359">
      <c r="A359" t="inlineStr">
        <is>
          <t>/Lotus/Types/Recipes/Weapons/WeaponParts/CedoPrimeReceiver</t>
        </is>
      </c>
      <c r="B359" t="inlineStr">
        <is>
          <t>Cedo Prime Receiver</t>
        </is>
      </c>
      <c r="C359" t="inlineStr">
        <is>
          <t>https://wiki.warframe.com/w/Cedo_Prime | https://wiki.warframe.com/w/Meso_D9 | https://wiki.warframe.com/w/Lith_Q3 | https://wiki.warframe.com/w/Lith_K12 | https://wiki.warframe.com/w/Axi_M6</t>
        </is>
      </c>
      <c r="D359" t="inlineStr">
        <is>
          <t>ExportResources</t>
        </is>
      </c>
      <c r="F359" t="inlineStr">
        <is>
          <t>Cedo Prime Receiver</t>
        </is>
      </c>
      <c r="H359" t="inlineStr">
        <is>
          <t>Solved: current place verified and archived 2026-10-16.</t>
        </is>
      </c>
      <c r="I359" t="inlineStr">
        <is>
          <t>Resources</t>
        </is>
      </c>
      <c r="J359" t="inlineStr">
        <is>
          <t>Lith K12 Relic (Uncommon) | Lith Q3 Relic (Uncommon) | Neo P10 Relic (Uncommon) | Meso D9 Relic (Uncommon) | Axi M6 Relic (Uncommon)</t>
        </is>
      </c>
      <c r="K359" t="inlineStr">
        <is>
          <t>Void/data</t>
        </is>
      </c>
      <c r="L359" t="inlineStr">
        <is>
          <t>name</t>
        </is>
      </c>
      <c r="M359" t="inlineStr">
        <is>
          <t>Meso D9 relic drop.</t>
        </is>
      </c>
      <c r="N359" t="inlineStr">
        <is>
          <t>Meso D9 | Lith Q3 | Lith K12 | Axi M6</t>
        </is>
      </c>
      <c r="O359" t="inlineStr">
        <is>
          <t>Saved a concrete acquisition place from the official Warframe Wiki. Relic pages list this part in their reward table.</t>
        </is>
      </c>
    </row>
    <row r="360">
      <c r="A360" t="inlineStr">
        <is>
          <t>/Lotus/Types/Recipes/Weapons/WeaponParts/CedoPrimeStock</t>
        </is>
      </c>
      <c r="B360" t="inlineStr">
        <is>
          <t>Cedo Prime Stock</t>
        </is>
      </c>
      <c r="C360" t="inlineStr">
        <is>
          <t>https://wiki.warframe.com/w/Cedo_Prime | https://wiki.warframe.com/w/Axi_S21 | https://wiki.warframe.com/w/Neo_C8 | https://wiki.warframe.com/w/Axi_S18 | https://wiki.warframe.com/w/Axi_A20</t>
        </is>
      </c>
      <c r="D360" t="inlineStr">
        <is>
          <t>ExportResources</t>
        </is>
      </c>
      <c r="F360" t="inlineStr">
        <is>
          <t>Cedo Prime Stock</t>
        </is>
      </c>
      <c r="H360" t="inlineStr">
        <is>
          <t>Solved: current place verified and archived 2026-10-16.</t>
        </is>
      </c>
      <c r="I360" t="inlineStr">
        <is>
          <t>Resources</t>
        </is>
      </c>
      <c r="J360" t="inlineStr">
        <is>
          <t>Axi S18 Relic (Common) | Axi S21 Relic (Common) | Lith A7 Relic (Common) | Axi A20 Relic (Common) | Meso E7 Relic (Common) | Neo C8 Relic (Common) | Neo A14 Relic (Common)</t>
        </is>
      </c>
      <c r="K360" t="inlineStr">
        <is>
          <t>Void/data</t>
        </is>
      </c>
      <c r="L360" t="inlineStr">
        <is>
          <t>name</t>
        </is>
      </c>
      <c r="M360" t="inlineStr">
        <is>
          <t>Axi S21 relic drop.</t>
        </is>
      </c>
      <c r="N360" t="inlineStr">
        <is>
          <t>Axi S21 | Neo C8 | Axi S18 | Axi A20</t>
        </is>
      </c>
      <c r="O360" t="inlineStr">
        <is>
          <t>Saved a concrete acquisition place from the official Warframe Wiki. Relic pages list this part in their reward table.</t>
        </is>
      </c>
    </row>
    <row r="361">
      <c r="A361" t="inlineStr">
        <is>
          <t>/Lotus/Types/Items/ShipDecos/Nightwave1999ArthurCharacterSheetPoster</t>
        </is>
      </c>
      <c r="B361" t="inlineStr">
        <is>
          <t>Cedric Dawnsong Character Sheet Poster</t>
        </is>
      </c>
      <c r="C361" t="inlineStr">
        <is>
          <t>https://wiki.warframe.com/w/Fables_%26_Frontiers | https://wiki.warframe.com/w/Amir</t>
        </is>
      </c>
      <c r="D361" t="inlineStr">
        <is>
          <t>ExportResources</t>
        </is>
      </c>
      <c r="F361" t="inlineStr">
        <is>
          <t>Cedric Dawnsong Character Sheet Poster</t>
        </is>
      </c>
      <c r="H361" t="inlineStr">
        <is>
          <t>Solved: current place verified and archived 2026-10-16.</t>
        </is>
      </c>
      <c r="I361" t="inlineStr">
        <is>
          <t>Resources</t>
        </is>
      </c>
      <c r="M361" t="inlineStr">
        <is>
          <t>Purchase from Amir for 5,000 Standing.</t>
        </is>
      </c>
      <c r="N361" t="inlineStr">
        <is>
          <t>Fables &amp; Frontiers | Amir</t>
        </is>
      </c>
      <c r="O361" t="inlineStr">
        <is>
          <t>We copied where it comes from off the wiki page. See place from wiki page.</t>
        </is>
      </c>
    </row>
    <row r="362">
      <c r="A362" t="inlineStr">
        <is>
          <t>/Lotus/Types/Items/ShipDecos/Nightwave1999FFArthurPoster</t>
        </is>
      </c>
      <c r="B362" t="inlineStr">
        <is>
          <t>Cedric Dawnsong Poster</t>
        </is>
      </c>
      <c r="C362" t="inlineStr">
        <is>
          <t>https://wiki.warframe.com/w/Fables_%26_Frontiers | https://wiki.warframe.com/w/Amir</t>
        </is>
      </c>
      <c r="D362" t="inlineStr">
        <is>
          <t>ExportResources</t>
        </is>
      </c>
      <c r="F362" t="inlineStr">
        <is>
          <t>Cedric Dawnsong Poster</t>
        </is>
      </c>
      <c r="H362" t="inlineStr">
        <is>
          <t>Solved: current place verified and archived 2026-10-16.</t>
        </is>
      </c>
      <c r="I362" t="inlineStr">
        <is>
          <t>Resources</t>
        </is>
      </c>
      <c r="M362" t="inlineStr">
        <is>
          <t>Purchase from Amir for 5,000 Standing.</t>
        </is>
      </c>
      <c r="N362" t="inlineStr">
        <is>
          <t>Fables &amp; Frontiers | Amir</t>
        </is>
      </c>
      <c r="O362" t="inlineStr">
        <is>
          <t>We copied where it comes from off the wiki page. See place from wiki page.</t>
        </is>
      </c>
    </row>
    <row r="363">
      <c r="A363" t="inlineStr">
        <is>
          <t>/Lotus/Types/Items/ShipDecos/AmazingEternals/TAExArmyManWinterTennoBaumToyDeco</t>
        </is>
      </c>
      <c r="B363" t="inlineStr">
        <is>
          <t>Centurion Commando Toy</t>
        </is>
      </c>
      <c r="C363" t="inlineStr">
        <is>
          <t>https://wiki.warframe.com/w/Tennobaum | https://wiki.warframe.com/w/Decorations/Orbiter_Decorations</t>
        </is>
      </c>
      <c r="D363" t="inlineStr">
        <is>
          <t>ExportResources</t>
        </is>
      </c>
      <c r="F363" t="inlineStr">
        <is>
          <t>Centurion Commando Toy</t>
        </is>
      </c>
      <c r="H363" t="inlineStr">
        <is>
          <t>Solved: current place verified and archived 2026-10-16.</t>
        </is>
      </c>
      <c r="I363" t="inlineStr">
        <is>
          <t>Resources</t>
        </is>
      </c>
      <c r="M363" t="inlineStr">
        <is>
          <t>Tennobaum 2024 reward.</t>
        </is>
      </c>
      <c r="N363" t="inlineStr">
        <is>
          <t>Tennobaum | Decorations/Orbiter Decorations</t>
        </is>
      </c>
      <c r="O363" t="inlineStr">
        <is>
          <t>We copied where it comes from off the wiki page. See place from wiki page.</t>
        </is>
      </c>
    </row>
    <row r="364">
      <c r="A364" t="inlineStr">
        <is>
          <t>/Lotus/Types/PickUps/Nightwave/CephalonFissureTimePointItem</t>
        </is>
      </c>
      <c r="B364" t="inlineStr">
        <is>
          <t>Cephalite Resonance</t>
        </is>
      </c>
      <c r="C364" t="inlineStr">
        <is>
          <t>https://wiki.warframe.com/w/Cephalite_Resonance</t>
        </is>
      </c>
      <c r="D364" t="inlineStr">
        <is>
          <t>ExportResources</t>
        </is>
      </c>
      <c r="G364" t="inlineStr">
        <is>
          <t>Cephalite Resonance</t>
        </is>
      </c>
      <c r="H364" t="inlineStr">
        <is>
          <t>Solved: current place verified and archived 2026-10-16.</t>
        </is>
      </c>
      <c r="I364" t="inlineStr">
        <is>
          <t>Resources</t>
        </is>
      </c>
      <c r="J364" t="inlineStr">
        <is>
          <t>Resources_data</t>
        </is>
      </c>
      <c r="K364" t="inlineStr">
        <is>
          <t>Resources/data</t>
        </is>
      </c>
      <c r="L364" t="inlineStr">
        <is>
          <t>listed, no place</t>
        </is>
      </c>
      <c r="M364" t="inlineStr">
        <is>
          <t>Not currently obtainable.</t>
        </is>
      </c>
      <c r="N364" t="inlineStr">
        <is>
          <t>Cephalite Resonance</t>
        </is>
      </c>
      <c r="O364" t="inlineStr">
        <is>
          <t>Saved a concrete acquisition place from the official Warframe Wiki.</t>
        </is>
      </c>
    </row>
    <row r="365">
      <c r="A365" t="inlineStr">
        <is>
          <t>/Lotus/Types/Items/ShipDecos/KubrowToyB</t>
        </is>
      </c>
      <c r="B365" t="inlineStr">
        <is>
          <t>Cephalon Pet Toy</t>
        </is>
      </c>
      <c r="C365" t="inlineStr">
        <is>
          <t>https://wiki.warframe.com/w/Devstream_138 | https://wiki.warframe.com/w/Decorations/Orbiter_Decorations</t>
        </is>
      </c>
      <c r="D365" t="inlineStr">
        <is>
          <t>ExportResources</t>
        </is>
      </c>
      <c r="F365" t="inlineStr">
        <is>
          <t>Cephalon Pet Toy</t>
        </is>
      </c>
      <c r="H365" t="inlineStr">
        <is>
          <t>Solved: current place verified and archived 2026-10-16.</t>
        </is>
      </c>
      <c r="I365" t="inlineStr">
        <is>
          <t>Resources</t>
        </is>
      </c>
      <c r="M365" t="inlineStr">
        <is>
          <t>In-game Market for 20 Platinum.</t>
        </is>
      </c>
      <c r="N365" t="inlineStr">
        <is>
          <t>Devstream 138 | Decorations/Orbiter Decorations</t>
        </is>
      </c>
      <c r="O365" t="inlineStr">
        <is>
          <t>We copied where it comes from off the wiki page. See place from wiki page.</t>
        </is>
      </c>
    </row>
    <row r="366">
      <c r="A366" t="inlineStr">
        <is>
          <t>/Lotus/Types/Items/ShipDecos/Plushies/PlushySnake</t>
        </is>
      </c>
      <c r="B366" t="inlineStr">
        <is>
          <t>Charming Snake Floof</t>
        </is>
      </c>
      <c r="C366" t="inlineStr">
        <is>
          <t>https://wiki.warframe.com/w/Lunar_Renewal</t>
        </is>
      </c>
      <c r="D366" t="inlineStr">
        <is>
          <t>ExportResources</t>
        </is>
      </c>
      <c r="F366" t="inlineStr">
        <is>
          <t>Charming Snake Floof</t>
        </is>
      </c>
      <c r="H366" t="inlineStr">
        <is>
          <t>Solved: current place verified and archived 2026-10-16.</t>
        </is>
      </c>
      <c r="I366" t="inlineStr">
        <is>
          <t>Resources</t>
        </is>
      </c>
      <c r="M366" t="inlineStr">
        <is>
          <t>In-game Market for 35 Platinum.</t>
        </is>
      </c>
      <c r="N366" t="inlineStr">
        <is>
          <t>Lunar Renewal</t>
        </is>
      </c>
      <c r="O366" t="inlineStr">
        <is>
          <t>We copied where it comes from off the wiki page. See place from wiki page.</t>
        </is>
      </c>
    </row>
    <row r="367">
      <c r="A367" t="inlineStr">
        <is>
          <t>/Lotus/Types/Items/ShipDecos/StyanaxDeluxeSpearDeco</t>
        </is>
      </c>
      <c r="B367" t="inlineStr">
        <is>
          <t>Chimalli &amp; Tequihua Decoration</t>
        </is>
      </c>
      <c r="C367" t="inlineStr">
        <is>
          <t>https://wiki.warframe.com/w/Styanax_Tonatiuh_Collection | https://wiki.warframe.com/w/Styanax_Tonatiuh_Skin | https://wiki.warframe.com/w/Tequihua_Polearm_Skin | https://wiki.warframe.com/w/Decorations/Orbiter_Decorations</t>
        </is>
      </c>
      <c r="D367" t="inlineStr">
        <is>
          <t>ExportResources</t>
        </is>
      </c>
      <c r="F367" t="inlineStr">
        <is>
          <t>Chimalli &amp; Tequihua Decoration</t>
        </is>
      </c>
      <c r="H367" t="inlineStr">
        <is>
          <t>Solved: current place verified and archived 2026-10-16.</t>
        </is>
      </c>
      <c r="I367" t="inlineStr">
        <is>
          <t>Resources</t>
        </is>
      </c>
      <c r="M367" t="inlineStr">
        <is>
          <t>In-game Market for 40 Platinum, or in the Styanax Tonatiuh Collection.</t>
        </is>
      </c>
      <c r="N367" t="inlineStr">
        <is>
          <t>Styanax Tonatiuh Collection | Styanax Tonatiuh Skin | Styanax/Patch History | Tequihua Polearm Skin | Decorations/Orbiter Decorations</t>
        </is>
      </c>
      <c r="O367" t="inlineStr">
        <is>
          <t>We found more than one answer for where it comes from. Look at place from wiki page — the answers are separated by | — and pick the right one.</t>
        </is>
      </c>
    </row>
    <row r="368">
      <c r="A368" t="inlineStr">
        <is>
          <t>/Lotus/Types/Items/ShipDecos/Plushies/PlushyLNY2024Dragon</t>
        </is>
      </c>
      <c r="B368" t="inlineStr">
        <is>
          <t>Chroma Zunlong Floof</t>
        </is>
      </c>
      <c r="C368" t="inlineStr">
        <is>
          <t>https://wiki.warframe.com/w/Lunar_Renewal</t>
        </is>
      </c>
      <c r="D368" t="inlineStr">
        <is>
          <t>ExportResources</t>
        </is>
      </c>
      <c r="F368" t="inlineStr">
        <is>
          <t>Chroma Zunlong Floof</t>
        </is>
      </c>
      <c r="H368" t="inlineStr">
        <is>
          <t>Solved: current place verified and archived 2026-10-16.</t>
        </is>
      </c>
      <c r="I368" t="inlineStr">
        <is>
          <t>Resources</t>
        </is>
      </c>
      <c r="M368" t="inlineStr">
        <is>
          <t>In-game Market for 35 Platinum.</t>
        </is>
      </c>
      <c r="N368" t="inlineStr">
        <is>
          <t>Lunar Renewal</t>
        </is>
      </c>
      <c r="O368" t="inlineStr">
        <is>
          <t>We copied where it comes from off the wiki page. See place from wiki page.</t>
        </is>
      </c>
    </row>
    <row r="369">
      <c r="A369" t="inlineStr">
        <is>
          <t>/Lotus/Types/Recipes/Weapons/WeaponParts/DaxDuviriAsymmetricalLongBowGrip</t>
        </is>
      </c>
      <c r="B369" t="inlineStr">
        <is>
          <t>Cinta Grip</t>
        </is>
      </c>
      <c r="C369" t="inlineStr">
        <is>
          <t>https://wiki.warframe.com/w/Lamentus | https://wiki.warframe.com/w/Aggristone | https://wiki.warframe.com/w/Maw_Fang | https://wiki.warframe.com/w/Kovnik</t>
        </is>
      </c>
      <c r="D369" t="inlineStr">
        <is>
          <t>ExportResources</t>
        </is>
      </c>
      <c r="F369" t="inlineStr">
        <is>
          <t>Cinta Grip</t>
        </is>
      </c>
      <c r="H369" t="inlineStr">
        <is>
          <t>Solved: current place verified and archived 2026-10-16.</t>
        </is>
      </c>
      <c r="I369" t="inlineStr">
        <is>
          <t>Resources</t>
        </is>
      </c>
      <c r="M369" t="inlineStr">
        <is>
          <t>Blueprint from solving Enigma puzzles in Duviri (30% chance of one part per puzzle).</t>
        </is>
      </c>
      <c r="N369" t="inlineStr">
        <is>
          <t>Cinta</t>
        </is>
      </c>
      <c r="O369" t="inlineStr">
        <is>
          <t>Saved a concrete acquisition place from the official Warframe Wiki. Cinta page Acquisition.</t>
        </is>
      </c>
    </row>
    <row r="370">
      <c r="A370" t="inlineStr">
        <is>
          <t>/Lotus/Types/Recipes/Weapons/WeaponParts/DaxDuviriAsymmetricalLongBowLowerLimb</t>
        </is>
      </c>
      <c r="B370" t="inlineStr">
        <is>
          <t>Cinta Lower Limb</t>
        </is>
      </c>
      <c r="C370" t="inlineStr">
        <is>
          <t>https://wiki.warframe.com/w/Lamentus | https://wiki.warframe.com/w/Eevani | https://wiki.warframe.com/w/Ariette_Scale | https://wiki.warframe.com/w/Silphsela</t>
        </is>
      </c>
      <c r="D370" t="inlineStr">
        <is>
          <t>ExportResources</t>
        </is>
      </c>
      <c r="F370" t="inlineStr">
        <is>
          <t>Cinta Lower Limb</t>
        </is>
      </c>
      <c r="H370" t="inlineStr">
        <is>
          <t>Solved: current place verified and archived 2026-10-16.</t>
        </is>
      </c>
      <c r="I370" t="inlineStr">
        <is>
          <t>Resources</t>
        </is>
      </c>
      <c r="L370" t="inlineStr">
        <is>
          <t>DropTables_data, drop_reverse_index_v2</t>
        </is>
      </c>
      <c r="M370" t="inlineStr">
        <is>
          <t>Blueprint from solving Enigma puzzles in Duviri (30% chance of one part per puzzle).</t>
        </is>
      </c>
      <c r="N370" t="inlineStr">
        <is>
          <t>Cinta</t>
        </is>
      </c>
      <c r="O370" t="inlineStr">
        <is>
          <t>Saved a concrete acquisition place from the official Warframe Wiki. Cinta page Acquisition.</t>
        </is>
      </c>
    </row>
    <row r="371">
      <c r="A371" t="inlineStr">
        <is>
          <t>/Lotus/Types/Recipes/Weapons/WeaponParts/DaxDuviriAsymmetricalLongBowString</t>
        </is>
      </c>
      <c r="B371" t="inlineStr">
        <is>
          <t>Cinta String</t>
        </is>
      </c>
      <c r="C371" t="inlineStr">
        <is>
          <t>https://wiki.warframe.com/w/Lamentus | https://wiki.warframe.com/w/Saggen_Pearl | https://wiki.warframe.com/w/Connla_Sprout | https://wiki.warframe.com/w/Tasoma_Extract</t>
        </is>
      </c>
      <c r="D371" t="inlineStr">
        <is>
          <t>ExportResources</t>
        </is>
      </c>
      <c r="F371" t="inlineStr">
        <is>
          <t>Cinta String</t>
        </is>
      </c>
      <c r="H371" t="inlineStr">
        <is>
          <t>Solved: current place verified and archived 2026-10-16.</t>
        </is>
      </c>
      <c r="I371" t="inlineStr">
        <is>
          <t>Resources</t>
        </is>
      </c>
      <c r="L371" t="inlineStr">
        <is>
          <t>DropTables_data, drop_reverse_index_v2</t>
        </is>
      </c>
      <c r="M371" t="inlineStr">
        <is>
          <t>Blueprint from solving Enigma puzzles in Duviri (30% chance of one part per puzzle).</t>
        </is>
      </c>
      <c r="N371" t="inlineStr">
        <is>
          <t>Cinta</t>
        </is>
      </c>
      <c r="O371" t="inlineStr">
        <is>
          <t>Saved a concrete acquisition place from the official Warframe Wiki. Cinta page Acquisition.</t>
        </is>
      </c>
    </row>
    <row r="372">
      <c r="A372" t="inlineStr">
        <is>
          <t>/Lotus/Types/Recipes/Weapons/WeaponParts/DaxDuviriAsymmetricalLongBowUpperLimb</t>
        </is>
      </c>
      <c r="B372" t="inlineStr">
        <is>
          <t>Cinta Upper Limb</t>
        </is>
      </c>
      <c r="C372" t="inlineStr">
        <is>
          <t>https://wiki.warframe.com/w/Lamentus | https://wiki.warframe.com/w/Aggristone | https://wiki.warframe.com/w/Dracroot | https://wiki.warframe.com/w/Yao_Shrub | https://wiki.warframe.com/w/Blueprints/Primary_Weapon</t>
        </is>
      </c>
      <c r="D372" t="inlineStr">
        <is>
          <t>ExportResources</t>
        </is>
      </c>
      <c r="F372" t="inlineStr">
        <is>
          <t>Cinta Upper Limb</t>
        </is>
      </c>
      <c r="H372" t="inlineStr">
        <is>
          <t>Solved: current place verified and archived 2026-10-16.</t>
        </is>
      </c>
      <c r="I372" t="inlineStr">
        <is>
          <t>Resources</t>
        </is>
      </c>
      <c r="L372" t="inlineStr">
        <is>
          <t>DropTables_data, drop_reverse_index_v2</t>
        </is>
      </c>
      <c r="M372" t="inlineStr">
        <is>
          <t>Blueprint from solving Enigma puzzles in Duviri (30% chance of one part per puzzle).</t>
        </is>
      </c>
      <c r="N372" t="inlineStr">
        <is>
          <t>Cinta</t>
        </is>
      </c>
      <c r="O372" t="inlineStr">
        <is>
          <t>Saved a concrete acquisition place from the official Warframe Wiki. Cinta page Acquisition.</t>
        </is>
      </c>
    </row>
    <row r="373">
      <c r="A373" t="inlineStr">
        <is>
          <t>/Lotus/Types/Items/ShipDecos/ContainerDecoItemCircuitryLockbox</t>
        </is>
      </c>
      <c r="B373" t="inlineStr">
        <is>
          <t>Circuitry Lockbox Decoration</t>
        </is>
      </c>
      <c r="C373" t="inlineStr">
        <is>
          <t>https://wiki.warframe.com/w/Market/Equipment</t>
        </is>
      </c>
      <c r="D373" t="inlineStr">
        <is>
          <t>ExportResources</t>
        </is>
      </c>
      <c r="F373" t="inlineStr">
        <is>
          <t>Circuitry Lockbox Decoration</t>
        </is>
      </c>
      <c r="H373" t="inlineStr">
        <is>
          <t>Solved: current place verified and archived 2026-10-16.</t>
        </is>
      </c>
      <c r="I373" t="inlineStr">
        <is>
          <t>Resources</t>
        </is>
      </c>
      <c r="M373" t="inlineStr">
        <is>
          <t>In-game Market for 20 Platinum.</t>
        </is>
      </c>
      <c r="N373" t="inlineStr">
        <is>
          <t>Market/Equipment</t>
        </is>
      </c>
      <c r="O373" t="inlineStr">
        <is>
          <t>Saved a concrete acquisition place from the official Warframe Wiki. Market/Equipment lists it with a Platinum price.</t>
        </is>
      </c>
    </row>
    <row r="374">
      <c r="A374" t="inlineStr">
        <is>
          <t>/Lotus/Types/Items/ShipDecos/ResourceDecoItemCircuits</t>
        </is>
      </c>
      <c r="B374" t="inlineStr">
        <is>
          <t>Circuits Decoration</t>
        </is>
      </c>
      <c r="C374" t="inlineStr">
        <is>
          <t>https://wiki.warframe.com/w/Orbiter | https://wiki.warframe.com/w/Market/Equipment</t>
        </is>
      </c>
      <c r="D374" t="inlineStr">
        <is>
          <t>ExportResources</t>
        </is>
      </c>
      <c r="F374" t="inlineStr">
        <is>
          <t>Circuits Decoration</t>
        </is>
      </c>
      <c r="H374" t="inlineStr">
        <is>
          <t>Solved: current place verified and archived 2026-10-16.</t>
        </is>
      </c>
      <c r="I374" t="inlineStr">
        <is>
          <t>Resources</t>
        </is>
      </c>
      <c r="M374" t="inlineStr">
        <is>
          <t>In-game Market for 5 Platinum.</t>
        </is>
      </c>
      <c r="N374" t="inlineStr">
        <is>
          <t>Market/Equipment</t>
        </is>
      </c>
      <c r="O374" t="inlineStr">
        <is>
          <t>Saved a concrete acquisition place from the official Warframe Wiki. Market/Equipment lists it with a Platinum price.</t>
        </is>
      </c>
    </row>
    <row r="375">
      <c r="A375" t="inlineStr">
        <is>
          <t>/Lotus/Types/Items/ShipDecos/BoredTennoPoster</t>
        </is>
      </c>
      <c r="B375" t="inlineStr">
        <is>
          <t>Class Of Ten Zero Poster</t>
        </is>
      </c>
      <c r="C375" t="inlineStr">
        <is>
          <t>https://wiki.warframe.com/w/Baro_Ki'Teer/TennoCon_Items | https://wiki.warframe.com/w/Decorations/Orbiter_Decorations</t>
        </is>
      </c>
      <c r="D375" t="inlineStr">
        <is>
          <t>ExportResources</t>
        </is>
      </c>
      <c r="F375" t="inlineStr">
        <is>
          <t>Class Of Ten Zero Poster</t>
        </is>
      </c>
      <c r="H375" t="inlineStr">
        <is>
          <t>Solved: current place verified and archived 2026-10-16.</t>
        </is>
      </c>
      <c r="I375" t="inlineStr">
        <is>
          <t>Resources</t>
        </is>
      </c>
      <c r="J375" t="inlineStr">
        <is>
          <t>Baro Ki'Teer (90 ducats, 120,000 credits)</t>
        </is>
      </c>
      <c r="K375" t="inlineStr">
        <is>
          <t>Baro/data</t>
        </is>
      </c>
      <c r="L375" t="inlineStr">
        <is>
          <t>case</t>
        </is>
      </c>
      <c r="M375" t="inlineStr">
        <is>
          <t>Purchase from Baro Ki'Teer for 120,000 Credits and 90 Ducats.</t>
        </is>
      </c>
      <c r="N375" t="inlineStr">
        <is>
          <t>Baro Ki'Teer/TennoCon Items | Decorations/Orbiter Decorations</t>
        </is>
      </c>
      <c r="O375" t="inlineStr">
        <is>
          <t>We copied where it comes from off the wiki page. See place from wiki page.</t>
        </is>
      </c>
    </row>
    <row r="376">
      <c r="A376" t="inlineStr">
        <is>
          <t>/Lotus/Types/Items/ShipDecos/JS2MAshPoster</t>
        </is>
      </c>
      <c r="B376" t="inlineStr">
        <is>
          <t>Cloning 101 Poster</t>
        </is>
      </c>
      <c r="C376" t="inlineStr">
        <is>
          <t>https://wiki.warframe.com/w/Pontis_Tower | https://wiki.warframe.com/w/Emerald_Talent | https://wiki.warframe.com/w/Hunhow | https://wiki.warframe.com/w/Major_Neci_Rusalka</t>
        </is>
      </c>
      <c r="D376" t="inlineStr">
        <is>
          <t>ExportResources</t>
        </is>
      </c>
      <c r="F376" t="inlineStr">
        <is>
          <t>Cloning 101 Poster</t>
        </is>
      </c>
      <c r="H376" t="inlineStr">
        <is>
          <t>Solved: current place verified and archived 2026-10-16.</t>
        </is>
      </c>
      <c r="I376" t="inlineStr">
        <is>
          <t>Resources</t>
        </is>
      </c>
      <c r="M376" t="inlineStr">
        <is>
          <t>Purchase from Hunhow's Keepsakes in Pontis Tower for 20 Emerald Talents.</t>
        </is>
      </c>
      <c r="N376" t="inlineStr">
        <is>
          <t>Pontis Tower | Emerald Talent | Hunhow | Major Neci Rusalka</t>
        </is>
      </c>
      <c r="O376" t="inlineStr">
        <is>
          <t>We copied where it comes from off the wiki page. See place from wiki page.</t>
        </is>
      </c>
    </row>
    <row r="377">
      <c r="A377" t="inlineStr">
        <is>
          <t>/Lotus/Types/Items/Deimos/AnimalTagInfestedMergooCommon</t>
        </is>
      </c>
      <c r="B377" t="inlineStr">
        <is>
          <t>Common Avichaea Tag</t>
        </is>
      </c>
      <c r="C377" t="inlineStr">
        <is>
          <t>https://wiki.warframe.com/w/Conservation</t>
        </is>
      </c>
      <c r="D377" t="inlineStr">
        <is>
          <t>ExportResources</t>
        </is>
      </c>
      <c r="G377" t="inlineStr">
        <is>
          <t>Conservation#Avichaea</t>
        </is>
      </c>
      <c r="H377" t="inlineStr">
        <is>
          <t>Solved: current place verified and archived 2026-10-16.</t>
        </is>
      </c>
      <c r="I377" t="inlineStr">
        <is>
          <t>Resources</t>
        </is>
      </c>
      <c r="J377" t="inlineStr">
        <is>
          <t>Resources_data</t>
        </is>
      </c>
      <c r="K377" t="inlineStr">
        <is>
          <t>Resources/data</t>
        </is>
      </c>
      <c r="L377" t="inlineStr">
        <is>
          <t>listed, no place</t>
        </is>
      </c>
      <c r="M377" t="inlineStr">
        <is>
          <t>Capture a Common Avichaea through Conservation in the Cambion Drift.</t>
        </is>
      </c>
      <c r="N377" t="inlineStr">
        <is>
          <t>Conservation</t>
        </is>
      </c>
      <c r="O377" t="inlineStr">
        <is>
          <t>Saved a concrete acquisition place from the official Warframe Wiki.</t>
        </is>
      </c>
    </row>
    <row r="378">
      <c r="A378" t="inlineStr">
        <is>
          <t>/Lotus/Types/Items/ShipDecos/ContainerDecoItemSalvage</t>
        </is>
      </c>
      <c r="B378" t="inlineStr">
        <is>
          <t>Compacted Salvage Decoration</t>
        </is>
      </c>
      <c r="C378" t="inlineStr">
        <is>
          <t>https://wiki.warframe.com/w/Market/Equipment</t>
        </is>
      </c>
      <c r="D378" t="inlineStr">
        <is>
          <t>ExportResources</t>
        </is>
      </c>
      <c r="F378" t="inlineStr">
        <is>
          <t>Compacted Salvage Decoration</t>
        </is>
      </c>
      <c r="H378" t="inlineStr">
        <is>
          <t>Solved: current place verified and archived 2026-10-16.</t>
        </is>
      </c>
      <c r="I378" t="inlineStr">
        <is>
          <t>Resources</t>
        </is>
      </c>
      <c r="M378" t="inlineStr">
        <is>
          <t>In-game Market for 20 Platinum.</t>
        </is>
      </c>
      <c r="N378" t="inlineStr">
        <is>
          <t>Market/Equipment</t>
        </is>
      </c>
      <c r="O378" t="inlineStr">
        <is>
          <t>Saved a concrete acquisition place from the official Warframe Wiki. Market/Equipment lists it with a Platinum price.</t>
        </is>
      </c>
    </row>
    <row r="379">
      <c r="A379" t="inlineStr">
        <is>
          <t>/Lotus/Types/Items/ShipDecos/ConclaveConsolePlayerShipItem</t>
        </is>
      </c>
      <c r="B379" t="inlineStr">
        <is>
          <t>Conclave Console</t>
        </is>
      </c>
      <c r="C379" t="inlineStr">
        <is>
          <t>https://wiki.warframe.com/w/Decorations | https://wiki.warframe.com/w/Orbiter | https://wiki.warframe.com/w/Arsenal | https://wiki.warframe.com/w/Conclave | https://wiki.warframe.com/w/Lunaro</t>
        </is>
      </c>
      <c r="D379" t="inlineStr">
        <is>
          <t>ExportResources</t>
        </is>
      </c>
      <c r="F379" t="inlineStr">
        <is>
          <t>Conclave Console</t>
        </is>
      </c>
      <c r="H379" t="inlineStr">
        <is>
          <t>Solved: current place verified and archived 2026-10-16.</t>
        </is>
      </c>
      <c r="I379" t="inlineStr">
        <is>
          <t>Resources</t>
        </is>
      </c>
      <c r="M379" t="inlineStr">
        <is>
          <t>Purchase from Teshin for 35,000 Standing.</t>
        </is>
      </c>
      <c r="N379" t="inlineStr">
        <is>
          <t>Decorations | Orbiter | Arsenal | Conclave | Lunaro</t>
        </is>
      </c>
      <c r="O379" t="inlineStr">
        <is>
          <t>We copied where it comes from off the wiki page. See place from wiki page.</t>
        </is>
      </c>
    </row>
    <row r="380">
      <c r="A380" t="inlineStr">
        <is>
          <t>/Lotus/Types/Items/ShipDecos/Venus/Conquera2023CommunityDisplay</t>
        </is>
      </c>
      <c r="B380" t="inlineStr">
        <is>
          <t>Conquera 2023 Community Display</t>
        </is>
      </c>
      <c r="C380" t="inlineStr">
        <is>
          <t>https://wiki.warframe.com/w/Conquera | https://wiki.warframe.com/w/Decorations/Orbiter_Decorations</t>
        </is>
      </c>
      <c r="D380" t="inlineStr">
        <is>
          <t>ExportResources</t>
        </is>
      </c>
      <c r="F380" t="inlineStr">
        <is>
          <t>Conquera 2023 Community Display</t>
        </is>
      </c>
      <c r="H380" t="inlineStr">
        <is>
          <t>Solved: current place verified and archived 2026-10-16.</t>
        </is>
      </c>
      <c r="I380" t="inlineStr">
        <is>
          <t>Resources</t>
        </is>
      </c>
      <c r="M380" t="inlineStr">
        <is>
          <t>Reward for reaching the $30,000 donation goal in the Conquera 2023 (Quest to Conquer Cancer) campaign.</t>
        </is>
      </c>
      <c r="N380" t="inlineStr">
        <is>
          <t>Conquera</t>
        </is>
      </c>
      <c r="O380" t="inlineStr">
        <is>
          <t>Saved a concrete acquisition place from the official Warframe Wiki. Conquera page Rewards list by year.</t>
        </is>
      </c>
    </row>
    <row r="381">
      <c r="A381" t="inlineStr">
        <is>
          <t>/Lotus/Types/Items/ShipDecos/Conquera2024Display</t>
        </is>
      </c>
      <c r="B381" t="inlineStr">
        <is>
          <t>Conquera 2024 Community Display</t>
        </is>
      </c>
      <c r="C381" t="inlineStr">
        <is>
          <t>https://wiki.warframe.com/w/Conquera | https://wiki.warframe.com/w/Decorations/Orbiter_Decorations</t>
        </is>
      </c>
      <c r="D381" t="inlineStr">
        <is>
          <t>ExportResources</t>
        </is>
      </c>
      <c r="F381" t="inlineStr">
        <is>
          <t>Conquera 2024 Community Display</t>
        </is>
      </c>
      <c r="H381" t="inlineStr">
        <is>
          <t>Solved: current place verified and archived 2026-10-16.</t>
        </is>
      </c>
      <c r="I381" t="inlineStr">
        <is>
          <t>Resources</t>
        </is>
      </c>
      <c r="M381" t="inlineStr">
        <is>
          <t>Reward for reaching the $10,000 donation goal in the Conquera 2024 (Quest to Conquer Cancer) campaign.</t>
        </is>
      </c>
      <c r="N381" t="inlineStr">
        <is>
          <t>Conquera</t>
        </is>
      </c>
      <c r="O381" t="inlineStr">
        <is>
          <t>Saved a concrete acquisition place from the official Warframe Wiki. Conquera page Rewards list by year.</t>
        </is>
      </c>
    </row>
    <row r="382">
      <c r="A382" t="inlineStr">
        <is>
          <t>/Lotus/Types/Items/ShipDecos/QTCC2in1Display</t>
        </is>
      </c>
      <c r="B382" t="inlineStr">
        <is>
          <t>Conquera 2025 Community Fusion Display</t>
        </is>
      </c>
      <c r="C382" t="inlineStr">
        <is>
          <t>https://wiki.warframe.com/w/Conquera | https://wiki.warframe.com/w/Decorations/Orbiter_Decorations</t>
        </is>
      </c>
      <c r="D382" t="inlineStr">
        <is>
          <t>ExportResources</t>
        </is>
      </c>
      <c r="F382" t="inlineStr">
        <is>
          <t>Conquera 2025 Community Fusion Display</t>
        </is>
      </c>
      <c r="H382" t="inlineStr">
        <is>
          <t>Solved: current place verified and archived 2026-10-16.</t>
        </is>
      </c>
      <c r="I382" t="inlineStr">
        <is>
          <t>Resources</t>
        </is>
      </c>
      <c r="M382" t="inlineStr">
        <is>
          <t>Reward for reaching the $20,000 donation goal in the Conquera 2025 (Quest to Conquer Cancer) campaign.</t>
        </is>
      </c>
      <c r="N382" t="inlineStr">
        <is>
          <t>Conquera</t>
        </is>
      </c>
      <c r="O382" t="inlineStr">
        <is>
          <t>Saved a concrete acquisition place from the official Warframe Wiki. Conquera page Rewards list by year.</t>
        </is>
      </c>
    </row>
    <row r="383">
      <c r="A383" t="inlineStr">
        <is>
          <t>/Lotus/Types/Items/ShipDecos/Props/Seasonal/QTCC2026CatEarFrame</t>
        </is>
      </c>
      <c r="B383" t="inlineStr">
        <is>
          <t>Conquera Cateura Frame Display</t>
        </is>
      </c>
      <c r="C383" t="inlineStr">
        <is>
          <t>https://wiki.warframe.com/w/Conquera | https://wiki.warframe.com/w/Decorations/Orbiter_Decorations</t>
        </is>
      </c>
      <c r="D383" t="inlineStr">
        <is>
          <t>ExportResources</t>
        </is>
      </c>
      <c r="F383" t="inlineStr">
        <is>
          <t>Conquera Cateura Frame Display</t>
        </is>
      </c>
      <c r="H383" t="inlineStr">
        <is>
          <t>Solved: current place verified and archived 2026-10-16.</t>
        </is>
      </c>
      <c r="I383" t="inlineStr">
        <is>
          <t>Resources</t>
        </is>
      </c>
      <c r="M383" t="inlineStr">
        <is>
          <t>Reward for reaching the $10,000 donation goal in the Conquera 2026 (Quest to Conquer Cancer) campaign.</t>
        </is>
      </c>
      <c r="N383" t="inlineStr">
        <is>
          <t>Conquera</t>
        </is>
      </c>
      <c r="O383" t="inlineStr">
        <is>
          <t>Saved a concrete acquisition place from the official Warframe Wiki. Conquera page Rewards list by year.</t>
        </is>
      </c>
    </row>
    <row r="384">
      <c r="A384" t="inlineStr">
        <is>
          <t>/Lotus/Types/Items/ShipDecos/Conquera2021Deco</t>
        </is>
      </c>
      <c r="B384" t="inlineStr">
        <is>
          <t>Conquera Decoration</t>
        </is>
      </c>
      <c r="C384" t="inlineStr">
        <is>
          <t>https://wiki.warframe.com/w/Conquera | https://wiki.warframe.com/w/Decorations/Orbiter_Decorations</t>
        </is>
      </c>
      <c r="D384" t="inlineStr">
        <is>
          <t>ExportResources</t>
        </is>
      </c>
      <c r="F384" t="inlineStr">
        <is>
          <t>Conquera Decoration</t>
        </is>
      </c>
      <c r="H384" t="inlineStr">
        <is>
          <t>Solved: current place verified and archived 2026-10-16.</t>
        </is>
      </c>
      <c r="I384" t="inlineStr">
        <is>
          <t>Resources</t>
        </is>
      </c>
      <c r="M384" t="inlineStr">
        <is>
          <t>Reward for reaching the $30,000 donation goal in the Conquera 2021 (Quest to Conquer Cancer) campaign.</t>
        </is>
      </c>
      <c r="N384" t="inlineStr">
        <is>
          <t>Conquera | Decorations/Orbiter Decorations</t>
        </is>
      </c>
      <c r="O384" t="inlineStr">
        <is>
          <t>We copied where it comes from off the wiki page. See place from wiki page.</t>
        </is>
      </c>
    </row>
    <row r="385">
      <c r="A385" t="inlineStr">
        <is>
          <t>/Lotus/Types/Items/ShipDecos/Plushies/Plushy2021QTCC</t>
        </is>
      </c>
      <c r="B385" t="inlineStr">
        <is>
          <t>Conquera Kuaka Floof</t>
        </is>
      </c>
      <c r="C385" t="inlineStr">
        <is>
          <t>https://wiki.warframe.com/w/Devstream_157</t>
        </is>
      </c>
      <c r="D385" t="inlineStr">
        <is>
          <t>ExportResources</t>
        </is>
      </c>
      <c r="F385" t="inlineStr">
        <is>
          <t>Conquera Kuaka Floof</t>
        </is>
      </c>
      <c r="H385" t="inlineStr">
        <is>
          <t>Solved: current place verified and archived 2026-10-16.</t>
        </is>
      </c>
      <c r="I385" t="inlineStr">
        <is>
          <t>Resources</t>
        </is>
      </c>
      <c r="M385" t="inlineStr">
        <is>
          <t>Comes with buying the Kuaka Floof from the Quest to Conquer Cancer 2021 merchandise store.</t>
        </is>
      </c>
      <c r="N385" t="inlineStr">
        <is>
          <t>Devstream 157</t>
        </is>
      </c>
      <c r="O385" t="inlineStr">
        <is>
          <t>Saved a concrete acquisition place from the official Warframe Wiki. Devstream 157 notes.</t>
        </is>
      </c>
    </row>
    <row r="386">
      <c r="A386" t="inlineStr">
        <is>
          <t>/Lotus/Types/Items/ShipDecos/ConqueraValkyrDisplay</t>
        </is>
      </c>
      <c r="B386" t="inlineStr">
        <is>
          <t>Conquera Valkyr Community Display</t>
        </is>
      </c>
      <c r="C386" t="inlineStr">
        <is>
          <t>https://wiki.warframe.com/w/Conquera | https://wiki.warframe.com/w/Decorations/Orbiter_Decorations</t>
        </is>
      </c>
      <c r="D386" t="inlineStr">
        <is>
          <t>ExportResources</t>
        </is>
      </c>
      <c r="F386" t="inlineStr">
        <is>
          <t>Conquera Valkyr Community Display</t>
        </is>
      </c>
      <c r="H386" t="inlineStr">
        <is>
          <t>Solved: current place verified and archived 2026-10-16.</t>
        </is>
      </c>
      <c r="I386" t="inlineStr">
        <is>
          <t>Resources</t>
        </is>
      </c>
      <c r="M386" t="inlineStr">
        <is>
          <t>Reward for reaching the $20,000 donation goal in the Conquera 2026 (Quest to Conquer Cancer) campaign.</t>
        </is>
      </c>
      <c r="N386" t="inlineStr">
        <is>
          <t>Conquera</t>
        </is>
      </c>
      <c r="O386" t="inlineStr">
        <is>
          <t>Saved a concrete acquisition place from the official Warframe Wiki. Conquera page Rewards list by year.</t>
        </is>
      </c>
    </row>
    <row r="387">
      <c r="A387" t="inlineStr">
        <is>
          <t>/Lotus/Types/Items/ShipDecos/ConqueraVorunaDisplay</t>
        </is>
      </c>
      <c r="B387" t="inlineStr">
        <is>
          <t>Conquera Voruna Community Display</t>
        </is>
      </c>
      <c r="C387" t="inlineStr">
        <is>
          <t>https://wiki.warframe.com/w/Conquera | https://wiki.warframe.com/w/Decorations/Orbiter_Decorations</t>
        </is>
      </c>
      <c r="D387" t="inlineStr">
        <is>
          <t>ExportResources</t>
        </is>
      </c>
      <c r="F387" t="inlineStr">
        <is>
          <t>Conquera Voruna Community Display</t>
        </is>
      </c>
      <c r="H387" t="inlineStr">
        <is>
          <t>Solved: current place verified and archived 2026-10-16.</t>
        </is>
      </c>
      <c r="I387" t="inlineStr">
        <is>
          <t>Resources</t>
        </is>
      </c>
      <c r="M387" t="inlineStr">
        <is>
          <t>Reward for reaching the $20,000 donation goal in the Conquera 2026 (Quest to Conquer Cancer) campaign.</t>
        </is>
      </c>
      <c r="N387" t="inlineStr">
        <is>
          <t>Conquera</t>
        </is>
      </c>
      <c r="O387" t="inlineStr">
        <is>
          <t>Saved a concrete acquisition place from the official Warframe Wiki. Conquera page Rewards list by year.</t>
        </is>
      </c>
    </row>
    <row r="388">
      <c r="A388" t="inlineStr">
        <is>
          <t>/Lotus/Types/Items/ShipDecos/JS2HunhowStare2in1Display</t>
        </is>
      </c>
      <c r="B388" t="inlineStr">
        <is>
          <t>Constellations Fusion Display</t>
        </is>
      </c>
      <c r="C388" t="inlineStr">
        <is>
          <t>https://wiki.warframe.com/w/Constellations_Sirius_%26_Orion_Bundle | https://wiki.warframe.com/w/Decorations/Orbiter_Decorations</t>
        </is>
      </c>
      <c r="D388" t="inlineStr">
        <is>
          <t>ExportResources</t>
        </is>
      </c>
      <c r="F388" t="inlineStr">
        <is>
          <t>Constellations Fusion Display</t>
        </is>
      </c>
      <c r="H388" t="inlineStr">
        <is>
          <t>Solved: current place verified and archived 2026-10-16.</t>
        </is>
      </c>
      <c r="I388" t="inlineStr">
        <is>
          <t>Resources</t>
        </is>
      </c>
      <c r="M388" t="inlineStr">
        <is>
          <t>In-game Market for 40 Platinum.</t>
        </is>
      </c>
      <c r="N388" t="inlineStr">
        <is>
          <t>Constellations Sirius &amp; Orion Bundle | Decorations/Orbiter Decorations</t>
        </is>
      </c>
      <c r="O388" t="inlineStr">
        <is>
          <t>We copied where it comes from off the wiki page. See place from wiki page.</t>
        </is>
      </c>
    </row>
    <row r="389">
      <c r="A389" t="inlineStr">
        <is>
          <t>/Lotus/Types/Items/ShipDecos/ResourceDecoItemControlModule</t>
        </is>
      </c>
      <c r="B389" t="inlineStr">
        <is>
          <t>Control Module Decoration</t>
        </is>
      </c>
      <c r="C389" t="inlineStr">
        <is>
          <t>https://wiki.warframe.com/w/Market/Equipment</t>
        </is>
      </c>
      <c r="D389" t="inlineStr">
        <is>
          <t>ExportResources</t>
        </is>
      </c>
      <c r="F389" t="inlineStr">
        <is>
          <t>Control Module Decoration</t>
        </is>
      </c>
      <c r="H389" t="inlineStr">
        <is>
          <t>Solved: current place verified and archived 2026-10-16.</t>
        </is>
      </c>
      <c r="I389" t="inlineStr">
        <is>
          <t>Resources</t>
        </is>
      </c>
      <c r="M389" t="inlineStr">
        <is>
          <t>In-game Market for 5 Platinum.</t>
        </is>
      </c>
      <c r="N389" t="inlineStr">
        <is>
          <t>Market/Equipment</t>
        </is>
      </c>
      <c r="O389" t="inlineStr">
        <is>
          <t>Saved a concrete acquisition place from the official Warframe Wiki. Market/Equipment lists it with a Platinum price.</t>
        </is>
      </c>
    </row>
    <row r="390">
      <c r="A390" t="inlineStr">
        <is>
          <t>/Lotus/Types/Items/ShipDecos/LisetPropMandolinGrineer</t>
        </is>
      </c>
      <c r="B390" t="inlineStr">
        <is>
          <t>Corbu Shawzin</t>
        </is>
      </c>
      <c r="C390" t="inlineStr">
        <is>
          <t>https://wiki.warframe.com/w/Shawzin | https://wiki.warframe.com/w/Pride_(Event) | https://wiki.warframe.com/w/Decorations/Orbiter_Decorations</t>
        </is>
      </c>
      <c r="D390" t="inlineStr">
        <is>
          <t>ExportResources</t>
        </is>
      </c>
      <c r="F390" t="inlineStr">
        <is>
          <t>Corbu Shawzin</t>
        </is>
      </c>
      <c r="H390" t="inlineStr">
        <is>
          <t>Solved: current place verified and archived 2026-10-16.</t>
        </is>
      </c>
      <c r="I390" t="inlineStr">
        <is>
          <t>Resources</t>
        </is>
      </c>
      <c r="M390" t="inlineStr">
        <is>
          <t>In-game Market for 40 Platinum.</t>
        </is>
      </c>
      <c r="N390" t="inlineStr">
        <is>
          <t>Shawzin | Pride (Event) | Decorations/Orbiter Decorations | Update 27</t>
        </is>
      </c>
      <c r="O390" t="inlineStr">
        <is>
          <t>We copied where it comes from off the wiki page. See place from wiki page.</t>
        </is>
      </c>
    </row>
    <row r="391">
      <c r="A391" t="inlineStr">
        <is>
          <t>/Lotus/Types/Items/ShipDecos/Vignettes/Enemies/CrewmanAFItem</t>
        </is>
      </c>
      <c r="B391" t="inlineStr">
        <is>
          <t>Corpus Articula</t>
        </is>
      </c>
      <c r="C391" t="inlineStr">
        <is>
          <t>https://wiki.warframe.com/w/Comba | https://wiki.warframe.com/w/Decorations/Orbiter_Decorations</t>
        </is>
      </c>
      <c r="D391" t="inlineStr">
        <is>
          <t>ExportResources</t>
        </is>
      </c>
      <c r="F391" t="inlineStr">
        <is>
          <t>Corpus Articula</t>
        </is>
      </c>
      <c r="H391" t="inlineStr">
        <is>
          <t>Solved: current place verified and archived 2026-10-16.</t>
        </is>
      </c>
      <c r="I391" t="inlineStr">
        <is>
          <t>Resources</t>
        </is>
      </c>
      <c r="M391" t="inlineStr">
        <is>
          <t>In-game Market for 35 Platinum.</t>
        </is>
      </c>
      <c r="N391" t="inlineStr">
        <is>
          <t>Comba | Decorations/Orbiter Decorations | Update 22</t>
        </is>
      </c>
      <c r="O391" t="inlineStr">
        <is>
          <t>We copied where it comes from off the wiki page. See place from wiki page.</t>
        </is>
      </c>
    </row>
    <row r="392">
      <c r="A392" t="inlineStr">
        <is>
          <t>/Lotus/Types/Items/MiscItems/PhotoboothTileSyndicateCephalonWreckage</t>
        </is>
      </c>
      <c r="B392" t="inlineStr">
        <is>
          <t>Corpus Ice Planet Wreckage Scene</t>
        </is>
      </c>
      <c r="C392" t="inlineStr">
        <is>
          <t>https://wiki.warframe.com/w/Cephalon_Suda | https://wiki.warframe.com/w/Captura</t>
        </is>
      </c>
      <c r="D392" t="inlineStr">
        <is>
          <t>ExportResources</t>
        </is>
      </c>
      <c r="F392" t="inlineStr">
        <is>
          <t>Corpus Ice Planet Wreckage Scene</t>
        </is>
      </c>
      <c r="H392" t="inlineStr">
        <is>
          <t>Solved: current place verified and archived 2026-10-16.</t>
        </is>
      </c>
      <c r="I392" t="inlineStr">
        <is>
          <t>Resources</t>
        </is>
      </c>
      <c r="M392" t="inlineStr">
        <is>
          <t>Purchase from Cephalon Suda for 100,000 Standing (Rank 5: Genius).</t>
        </is>
      </c>
      <c r="N392" t="inlineStr">
        <is>
          <t>Cephalon Suda | Captura | Update 22</t>
        </is>
      </c>
      <c r="O392" t="inlineStr">
        <is>
          <t>We found more than one answer for where it comes from. Look at place from wiki page — the answers are separated by | — and pick the right one.</t>
        </is>
      </c>
    </row>
    <row r="393">
      <c r="A393" t="inlineStr">
        <is>
          <t>/Lotus/Types/Gameplay/JadeShadows/Resources/JuggernautBehemothItem</t>
        </is>
      </c>
      <c r="B393" t="inlineStr">
        <is>
          <t>Cortichrome</t>
        </is>
      </c>
      <c r="C393" t="inlineStr">
        <is>
          <t>https://wiki.warframe.com/w/Jade_Shadows</t>
        </is>
      </c>
      <c r="D393" t="inlineStr">
        <is>
          <t>ExportResources</t>
        </is>
      </c>
      <c r="G393" t="inlineStr">
        <is>
          <t>Cortichrome</t>
        </is>
      </c>
      <c r="H393" t="inlineStr">
        <is>
          <t>Solved: current place verified and archived 2026-10-16.</t>
        </is>
      </c>
      <c r="I393" t="inlineStr">
        <is>
          <t>Resources</t>
        </is>
      </c>
      <c r="J393" t="inlineStr">
        <is>
          <t>Resources_data</t>
        </is>
      </c>
      <c r="K393" t="inlineStr">
        <is>
          <t>Resources/data</t>
        </is>
      </c>
      <c r="L393" t="inlineStr">
        <is>
          <t>listed, no place</t>
        </is>
      </c>
      <c r="M393" t="inlineStr">
        <is>
          <t>Obtained from a Juggernaut Behemoth on an abandoned ship on Eris during Jade Shadows.</t>
        </is>
      </c>
      <c r="N393" t="inlineStr">
        <is>
          <t>Jade Shadows</t>
        </is>
      </c>
      <c r="O393" t="inlineStr">
        <is>
          <t>Saved a concrete acquisition place from the official Warframe Wiki.</t>
        </is>
      </c>
    </row>
    <row r="394">
      <c r="A394" t="inlineStr">
        <is>
          <t>/Lotus/Types/Recipes/Weapons/WeaponParts/CorufellPrimeHandle</t>
        </is>
      </c>
      <c r="B394" t="inlineStr">
        <is>
          <t>Corufell Prime Handle</t>
        </is>
      </c>
      <c r="C394" t="inlineStr">
        <is>
          <t>https://wiki.warframe.com/w/Axi_C12 | https://wiki.warframe.com/w/Void_Relic/ByRarity | https://wiki.warframe.com/w/Void_Relic/ByRarity/Axi | https://wiki.warframe.com/w/Ducats/Prices/Axi | https://wiki.warframe.com/w/Void_Relic/ByRelic</t>
        </is>
      </c>
      <c r="D394" t="inlineStr">
        <is>
          <t>ExportResources</t>
        </is>
      </c>
      <c r="F394" t="inlineStr">
        <is>
          <t>Corufell Prime Handle</t>
        </is>
      </c>
      <c r="H394" t="inlineStr">
        <is>
          <t>Solved: current place verified and archived 2026-10-16.</t>
        </is>
      </c>
      <c r="I394" t="inlineStr">
        <is>
          <t>Resources</t>
        </is>
      </c>
      <c r="J394" t="inlineStr">
        <is>
          <t>Axi C12 Relic (Uncommon)</t>
        </is>
      </c>
      <c r="K394" t="inlineStr">
        <is>
          <t>Void/data</t>
        </is>
      </c>
      <c r="L394" t="inlineStr">
        <is>
          <t>name</t>
        </is>
      </c>
      <c r="M394" t="inlineStr">
        <is>
          <t>Axi C12 relic drop.</t>
        </is>
      </c>
      <c r="N394" t="inlineStr">
        <is>
          <t>Axi C12</t>
        </is>
      </c>
      <c r="O394" t="inlineStr">
        <is>
          <t>Saved a concrete acquisition place from the official Warframe Wiki. Relic pages list this part in their reward table.</t>
        </is>
      </c>
    </row>
    <row r="395">
      <c r="A395" t="inlineStr">
        <is>
          <t>/Lotus/Types/Recipes/Weapons/WeaponParts/CorufellPrimeReceiver</t>
        </is>
      </c>
      <c r="B395" t="inlineStr">
        <is>
          <t>Corufell Prime Receiver</t>
        </is>
      </c>
      <c r="C395" t="inlineStr">
        <is>
          <t>https://wiki.warframe.com/w/Neo_C10 | https://wiki.warframe.com/w/Void_Relic/ByRarity | https://wiki.warframe.com/w/Ducats/Prices/Neo | https://wiki.warframe.com/w/Void_Relic/ByRarity/Neo | https://wiki.warframe.com/w/Void_Relic/ByRelic</t>
        </is>
      </c>
      <c r="D395" t="inlineStr">
        <is>
          <t>ExportResources</t>
        </is>
      </c>
      <c r="F395" t="inlineStr">
        <is>
          <t>Corufell Prime Receiver</t>
        </is>
      </c>
      <c r="H395" t="inlineStr">
        <is>
          <t>Solved: current place verified and archived 2026-10-16.</t>
        </is>
      </c>
      <c r="I395" t="inlineStr">
        <is>
          <t>Resources</t>
        </is>
      </c>
      <c r="J395" t="inlineStr">
        <is>
          <t>Neo C10 Relic (Rare)</t>
        </is>
      </c>
      <c r="K395" t="inlineStr">
        <is>
          <t>Void/data</t>
        </is>
      </c>
      <c r="L395" t="inlineStr">
        <is>
          <t>name</t>
        </is>
      </c>
      <c r="M395" t="inlineStr">
        <is>
          <t>Neo C10 relic drop.</t>
        </is>
      </c>
      <c r="N395" t="inlineStr">
        <is>
          <t>Neo C10</t>
        </is>
      </c>
      <c r="O395" t="inlineStr">
        <is>
          <t>Saved a concrete acquisition place from the official Warframe Wiki. Relic pages list this part in their reward table.</t>
        </is>
      </c>
    </row>
    <row r="396">
      <c r="A396" t="inlineStr">
        <is>
          <t>/Lotus/Types/Recipes/Weapons/WeaponParts/CorufellPrimeBarrel</t>
        </is>
      </c>
      <c r="B396" t="inlineStr">
        <is>
          <t>Corufell Prime Stock</t>
        </is>
      </c>
      <c r="C396" t="inlineStr">
        <is>
          <t>https://wiki.warframe.com/w/Lith_C15 | https://wiki.warframe.com/w/Void_Relic/ByRarity | https://wiki.warframe.com/w/Void_Relic/ByRarity/Lith | https://wiki.warframe.com/w/Ducats/Prices/Lith | https://wiki.warframe.com/w/Void_Relic/ByRelic</t>
        </is>
      </c>
      <c r="D396" t="inlineStr">
        <is>
          <t>ExportResources</t>
        </is>
      </c>
      <c r="F396" t="inlineStr">
        <is>
          <t>Corufell Prime Stock</t>
        </is>
      </c>
      <c r="H396" t="inlineStr">
        <is>
          <t>Solved: current place verified and archived 2026-10-16.</t>
        </is>
      </c>
      <c r="I396" t="inlineStr">
        <is>
          <t>Resources</t>
        </is>
      </c>
      <c r="J396" t="inlineStr">
        <is>
          <t>Lith C15 Relic (Common)</t>
        </is>
      </c>
      <c r="K396" t="inlineStr">
        <is>
          <t>Void/data</t>
        </is>
      </c>
      <c r="L396" t="inlineStr">
        <is>
          <t>name</t>
        </is>
      </c>
      <c r="M396" t="inlineStr">
        <is>
          <t>Lith C15 relic drop.</t>
        </is>
      </c>
      <c r="N396" t="inlineStr">
        <is>
          <t>Lith C15</t>
        </is>
      </c>
      <c r="O396" t="inlineStr">
        <is>
          <t>Saved a concrete acquisition place from the official Warframe Wiki. Relic pages list this part in their reward table.</t>
        </is>
      </c>
    </row>
    <row r="397">
      <c r="A397" t="inlineStr">
        <is>
          <t>/Lotus/Types/Items/ShipDecos/LisetPropShawzinDuviri</t>
        </is>
      </c>
      <c r="B397" t="inlineStr">
        <is>
          <t>Courtly Shawzin</t>
        </is>
      </c>
      <c r="C397" t="inlineStr">
        <is>
          <t>https://wiki.warframe.com/w/Shawzin | https://wiki.warframe.com/w/Pip | https://wiki.warframe.com/w/Archarbor</t>
        </is>
      </c>
      <c r="D397" t="inlineStr">
        <is>
          <t>ExportResources</t>
        </is>
      </c>
      <c r="F397" t="inlineStr">
        <is>
          <t>Courtly Shawzin</t>
        </is>
      </c>
      <c r="H397" t="inlineStr">
        <is>
          <t>Solved: current place verified and archived 2026-10-16.</t>
        </is>
      </c>
      <c r="I397" t="inlineStr">
        <is>
          <t>Resources</t>
        </is>
      </c>
      <c r="M397" t="inlineStr">
        <is>
          <t>Awarded for clearing all 12 Shawzin Songs on Virtuoso difficulty in The Duviri Experience.</t>
        </is>
      </c>
      <c r="N397" t="inlineStr">
        <is>
          <t>Shawzin</t>
        </is>
      </c>
      <c r="O397" t="inlineStr">
        <is>
          <t>Saved a concrete acquisition place from the official Warframe Wiki. Shawzin page Acquisition.</t>
        </is>
      </c>
    </row>
    <row r="398">
      <c r="A398" t="inlineStr">
        <is>
          <t>/Lotus/Types/Items/MiscItems/PhotoboothTileDuviriIsleCapA</t>
        </is>
      </c>
      <c r="B398" t="inlineStr">
        <is>
          <t>Crater Cay Scene</t>
        </is>
      </c>
      <c r="C398" t="inlineStr">
        <is>
          <t>https://wiki.warframe.com/w/Acrithis | https://wiki.warframe.com/w/Captura</t>
        </is>
      </c>
      <c r="D398" t="inlineStr">
        <is>
          <t>ExportResources</t>
        </is>
      </c>
      <c r="F398" t="inlineStr">
        <is>
          <t>Crater Cay Scene</t>
        </is>
      </c>
      <c r="H398" t="inlineStr">
        <is>
          <t>Solved: current place verified and archived 2026-10-16.</t>
        </is>
      </c>
      <c r="I398" t="inlineStr">
        <is>
          <t>Resources</t>
        </is>
      </c>
      <c r="M398" t="inlineStr">
        <is>
          <t>Purchase from Acrithis' rotating Wares in Duviri.</t>
        </is>
      </c>
      <c r="N398" t="inlineStr">
        <is>
          <t>Captura</t>
        </is>
      </c>
      <c r="O398" t="inlineStr">
        <is>
          <t>Saved a concrete acquisition place from the official Warframe Wiki. Captura scene table lists this scene with its acquisition note.</t>
        </is>
      </c>
    </row>
    <row r="399">
      <c r="A399" t="inlineStr">
        <is>
          <t>/Lotus/Types/Items/ShipDecos/CorpusGreedReliefE</t>
        </is>
      </c>
      <c r="B399" t="inlineStr">
        <is>
          <t>Crawling Back</t>
        </is>
      </c>
      <c r="C399" t="inlineStr">
        <is>
          <t>https://wiki.warframe.com/w/Fragments/The_Tenets | https://wiki.warframe.com/w/Parvos_Granum | https://wiki.warframe.com/w/The_Glast_Gambit/Transcript | https://wiki.warframe.com/w/Decorations/Orbiter_Decorations | https://wiki.warframe.com/w/Kinemantik_Instant_Messenger/Flare</t>
        </is>
      </c>
      <c r="D399" t="inlineStr">
        <is>
          <t>ExportResources</t>
        </is>
      </c>
      <c r="F399" t="inlineStr">
        <is>
          <t>Crawling Back</t>
        </is>
      </c>
      <c r="H399" t="inlineStr">
        <is>
          <t>Solved: current place verified and archived 2026-10-16.</t>
        </is>
      </c>
      <c r="I399" t="inlineStr">
        <is>
          <t>Resources</t>
        </is>
      </c>
      <c r="M399" t="inlineStr">
        <is>
          <t>Pay tribute with a Granum Crown at the Corpus Temple Reliefs in the Corpus Ship tileset.</t>
        </is>
      </c>
      <c r="N399" t="inlineStr">
        <is>
          <t>Fragments/The Tenets</t>
        </is>
      </c>
      <c r="O399" t="inlineStr">
        <is>
          <t>Saved a concrete acquisition place from the official Warframe Wiki. Fragments/The Tenets page intro.</t>
        </is>
      </c>
    </row>
    <row r="400">
      <c r="A400" t="inlineStr">
        <is>
          <t>/Lotus/Types/Items/Deimos/AnimalTagInfestedCritterUncommon</t>
        </is>
      </c>
      <c r="B400" t="inlineStr">
        <is>
          <t>Crescent Vulpaphyla Tag</t>
        </is>
      </c>
      <c r="C400" t="inlineStr">
        <is>
          <t>https://wiki.warframe.com/w/Conservation</t>
        </is>
      </c>
      <c r="D400" t="inlineStr">
        <is>
          <t>ExportResources</t>
        </is>
      </c>
      <c r="G400" t="inlineStr">
        <is>
          <t>Vulpaphyla</t>
        </is>
      </c>
      <c r="H400" t="inlineStr">
        <is>
          <t>Solved: current place verified and archived 2026-10-16.</t>
        </is>
      </c>
      <c r="I400" t="inlineStr">
        <is>
          <t>Resources</t>
        </is>
      </c>
      <c r="J400" t="inlineStr">
        <is>
          <t>Companions_data, Conservation_data, Cosmetics_data, Mods_data, Resources_data</t>
        </is>
      </c>
      <c r="K400" t="inlineStr">
        <is>
          <t>Resources/data</t>
        </is>
      </c>
      <c r="L400" t="inlineStr">
        <is>
          <t>listed, no place</t>
        </is>
      </c>
      <c r="M400" t="inlineStr">
        <is>
          <t>Capture a Crescent Vulpaphyla through Conservation in the Cambion Drift.</t>
        </is>
      </c>
      <c r="N400" t="inlineStr">
        <is>
          <t>Conservation</t>
        </is>
      </c>
      <c r="O400" t="inlineStr">
        <is>
          <t>Saved a concrete acquisition place from the official Warframe Wiki.</t>
        </is>
      </c>
    </row>
    <row r="401">
      <c r="A401" t="inlineStr">
        <is>
          <t>/Lotus/Types/Items/ShipDecos/Plants/Nokko/LisetPropLASxIntFoliageCrotonB</t>
        </is>
      </c>
      <c r="B401" t="inlineStr">
        <is>
          <t>Croton Plant (Green, Cluster)</t>
        </is>
      </c>
      <c r="C401" t="inlineStr">
        <is>
          <t>https://wiki.warframe.com/w/Nightcap</t>
        </is>
      </c>
      <c r="D401" t="inlineStr">
        <is>
          <t>ExportResources</t>
        </is>
      </c>
      <c r="F401" t="inlineStr">
        <is>
          <t>Croton Plant (Green, Cluster)</t>
        </is>
      </c>
      <c r="H401" t="inlineStr">
        <is>
          <t>Solved: current place verified and archived 2026-10-16.</t>
        </is>
      </c>
      <c r="I401" t="inlineStr">
        <is>
          <t>Resources</t>
        </is>
      </c>
      <c r="M401" t="inlineStr">
        <is>
          <t>Purchase from Nightcap's Nursery for 10 Fergolyte.</t>
        </is>
      </c>
      <c r="N401" t="inlineStr">
        <is>
          <t>Nightcap</t>
        </is>
      </c>
      <c r="O401" t="inlineStr">
        <is>
          <t>Saved a concrete acquisition place from the official Warframe Wiki. Nightcap page lists it in Offerings &gt; Nursery.</t>
        </is>
      </c>
    </row>
    <row r="402">
      <c r="A402" t="inlineStr">
        <is>
          <t>/Lotus/Types/Items/ShipDecos/Plants/Nokko/LisetPropLASxIntFoliageCrotonA</t>
        </is>
      </c>
      <c r="B402" t="inlineStr">
        <is>
          <t>Croton Plant (Green, Single)</t>
        </is>
      </c>
      <c r="C402" t="inlineStr">
        <is>
          <t>https://wiki.warframe.com/w/Nightcap</t>
        </is>
      </c>
      <c r="D402" t="inlineStr">
        <is>
          <t>ExportResources</t>
        </is>
      </c>
      <c r="F402" t="inlineStr">
        <is>
          <t>Croton Plant (Green, Single)</t>
        </is>
      </c>
      <c r="H402" t="inlineStr">
        <is>
          <t>Solved: current place verified and archived 2026-10-16.</t>
        </is>
      </c>
      <c r="I402" t="inlineStr">
        <is>
          <t>Resources</t>
        </is>
      </c>
      <c r="M402" t="inlineStr">
        <is>
          <t>Purchase from Nightcap's Nursery for 10 Fergolyte.</t>
        </is>
      </c>
      <c r="N402" t="inlineStr">
        <is>
          <t>Nightcap</t>
        </is>
      </c>
      <c r="O402" t="inlineStr">
        <is>
          <t>Saved a concrete acquisition place from the official Warframe Wiki. Nightcap page lists it in Offerings &gt; Nursery.</t>
        </is>
      </c>
    </row>
    <row r="403">
      <c r="A403" t="inlineStr">
        <is>
          <t>/Lotus/Types/Items/ShipDecos/Plants/Nokko/LisetPropLASxIntFoliageCrotonD</t>
        </is>
      </c>
      <c r="B403" t="inlineStr">
        <is>
          <t>Croton Plant (Yellow, Cluster)</t>
        </is>
      </c>
      <c r="C403" t="inlineStr">
        <is>
          <t>https://wiki.warframe.com/w/Nightcap</t>
        </is>
      </c>
      <c r="D403" t="inlineStr">
        <is>
          <t>ExportResources</t>
        </is>
      </c>
      <c r="F403" t="inlineStr">
        <is>
          <t>Croton Plant (Yellow, Cluster)</t>
        </is>
      </c>
      <c r="H403" t="inlineStr">
        <is>
          <t>Solved: current place verified and archived 2026-10-16.</t>
        </is>
      </c>
      <c r="I403" t="inlineStr">
        <is>
          <t>Resources</t>
        </is>
      </c>
      <c r="M403" t="inlineStr">
        <is>
          <t>Purchase from Nightcap's Nursery for 10 Fergolyte.</t>
        </is>
      </c>
      <c r="N403" t="inlineStr">
        <is>
          <t>Nightcap</t>
        </is>
      </c>
      <c r="O403" t="inlineStr">
        <is>
          <t>Saved a concrete acquisition place from the official Warframe Wiki. Nightcap page lists it in Offerings &gt; Nursery.</t>
        </is>
      </c>
    </row>
    <row r="404">
      <c r="A404" t="inlineStr">
        <is>
          <t>/Lotus/Types/Items/ShipDecos/Plants/Nokko/LisetPropLASxIntFoliageCrotonC</t>
        </is>
      </c>
      <c r="B404" t="inlineStr">
        <is>
          <t>Croton Plant (Yellow, Single)</t>
        </is>
      </c>
      <c r="C404" t="inlineStr">
        <is>
          <t>https://wiki.warframe.com/w/Nightcap</t>
        </is>
      </c>
      <c r="D404" t="inlineStr">
        <is>
          <t>ExportResources</t>
        </is>
      </c>
      <c r="F404" t="inlineStr">
        <is>
          <t>Croton Plant (Yellow, Single)</t>
        </is>
      </c>
      <c r="H404" t="inlineStr">
        <is>
          <t>Solved: current place verified and archived 2026-10-16.</t>
        </is>
      </c>
      <c r="I404" t="inlineStr">
        <is>
          <t>Resources</t>
        </is>
      </c>
      <c r="M404" t="inlineStr">
        <is>
          <t>Purchase from Nightcap's Nursery for 10 Fergolyte.</t>
        </is>
      </c>
      <c r="N404" t="inlineStr">
        <is>
          <t>Nightcap</t>
        </is>
      </c>
      <c r="O404" t="inlineStr">
        <is>
          <t>Saved a concrete acquisition place from the official Warframe Wiki. Nightcap page lists it in Offerings &gt; Nursery.</t>
        </is>
      </c>
    </row>
    <row r="405">
      <c r="A405" t="inlineStr">
        <is>
          <t>/Lotus/Types/Items/MiscItems/NoraSeasonThreeCreds</t>
        </is>
      </c>
      <c r="B405" t="inlineStr">
        <is>
          <t>Crystal Cred</t>
        </is>
      </c>
      <c r="C405" t="inlineStr">
        <is>
          <t>https://wiki.warframe.com/w/Nightwave/Series_3</t>
        </is>
      </c>
      <c r="D405" t="inlineStr">
        <is>
          <t>ExportResources</t>
        </is>
      </c>
      <c r="G405" t="inlineStr">
        <is>
          <t>Nightwave/Series 3</t>
        </is>
      </c>
      <c r="H405" t="inlineStr">
        <is>
          <t>Solved: current place verified and archived 2026-10-16.</t>
        </is>
      </c>
      <c r="I405" t="inlineStr">
        <is>
          <t>Resources</t>
        </is>
      </c>
      <c r="J405" t="inlineStr">
        <is>
          <t>Resources_data</t>
        </is>
      </c>
      <c r="K405" t="inlineStr">
        <is>
          <t>Resources/data</t>
        </is>
      </c>
      <c r="L405" t="inlineStr">
        <is>
          <t>listed, no place</t>
        </is>
      </c>
      <c r="M405" t="inlineStr">
        <is>
          <t>Not currently obtainable.</t>
        </is>
      </c>
      <c r="N405" t="inlineStr">
        <is>
          <t>Nightwave/Series 3</t>
        </is>
      </c>
      <c r="O405" t="inlineStr">
        <is>
          <t>Saved a concrete acquisition place from the official Warframe Wiki.</t>
        </is>
      </c>
    </row>
    <row r="406">
      <c r="A406" t="inlineStr">
        <is>
          <t>/Lotus/Types/Items/ShipDecos/Plushies/PlushyDJRomHuman</t>
        </is>
      </c>
      <c r="B406" t="inlineStr">
        <is>
          <t>DJ RoM Floof</t>
        </is>
      </c>
      <c r="C406" t="inlineStr">
        <is>
          <t>https://wiki.warframe.com/w/Technocyte_Coda/Rewards | https://wiki.warframe.com/w/Adversary_System | https://wiki.warframe.com/w/Decorations/Orbiter_Decorations</t>
        </is>
      </c>
      <c r="D406" t="inlineStr">
        <is>
          <t>ExportResources</t>
        </is>
      </c>
      <c r="F406" t="inlineStr">
        <is>
          <t>DJ RoM Floof</t>
        </is>
      </c>
      <c r="H406" t="inlineStr">
        <is>
          <t>Solved: current place verified and archived 2026-10-16.</t>
        </is>
      </c>
      <c r="I406" t="inlineStr">
        <is>
          <t>Resources</t>
        </is>
      </c>
      <c r="M406" t="inlineStr">
        <is>
          <t>Reward from vanquishing a Technocyte Coda (each Coda drops one Floof or Poster).</t>
        </is>
      </c>
      <c r="N406" t="inlineStr">
        <is>
          <t>Technocyte Coda/Rewards</t>
        </is>
      </c>
      <c r="O406" t="inlineStr">
        <is>
          <t>Saved a concrete acquisition place from the official Warframe Wiki. Rewards page: Coda pulls its second cosmetic drop from a Floof or Poster pool.</t>
        </is>
      </c>
    </row>
    <row r="407">
      <c r="A407" t="inlineStr">
        <is>
          <t>/Lotus/Types/Items/ShipDecos/TennoPlanterA</t>
        </is>
      </c>
      <c r="B407" t="inlineStr">
        <is>
          <t>Daaru Planter</t>
        </is>
      </c>
      <c r="C407" t="inlineStr">
        <is>
          <t>https://wiki.warframe.com/w/Decorations/Orbiter_Decorations</t>
        </is>
      </c>
      <c r="D407" t="inlineStr">
        <is>
          <t>ExportResources</t>
        </is>
      </c>
      <c r="F407" t="inlineStr">
        <is>
          <t>Daaru Planter</t>
        </is>
      </c>
      <c r="H407" t="inlineStr">
        <is>
          <t>Solved: current place verified and archived 2026-10-16.</t>
        </is>
      </c>
      <c r="I407" t="inlineStr">
        <is>
          <t>Resources</t>
        </is>
      </c>
      <c r="M407" t="inlineStr">
        <is>
          <t>In-game Market for 20 Platinum.</t>
        </is>
      </c>
      <c r="N407" t="inlineStr">
        <is>
          <t>Decorations/Orbiter Decorations</t>
        </is>
      </c>
      <c r="O407" t="inlineStr">
        <is>
          <t>Saved a concrete acquisition place from the official Warframe Wiki. Orbiter Decorations Market section: planters cost 20 Platinum (Lua Planter 50).</t>
        </is>
      </c>
    </row>
    <row r="408">
      <c r="A408" t="inlineStr">
        <is>
          <t>/Lotus/Types/Items/ShipDecos/TarotCardDagath</t>
        </is>
      </c>
      <c r="B408" t="inlineStr">
        <is>
          <t>Dagath Prex</t>
        </is>
      </c>
      <c r="C408" t="inlineStr">
        <is>
          <t>https://wiki.warframe.com/w/Decorations | https://wiki.warframe.com/w/Clan_Dojo</t>
        </is>
      </c>
      <c r="D408" t="inlineStr">
        <is>
          <t>ExportResources</t>
        </is>
      </c>
      <c r="F408" t="inlineStr">
        <is>
          <t>Dagath Prex</t>
        </is>
      </c>
      <c r="H408" t="inlineStr">
        <is>
          <t>Solved: current place verified and archived 2026-10-16.</t>
        </is>
      </c>
      <c r="I408" t="inlineStr">
        <is>
          <t>Resources</t>
        </is>
      </c>
      <c r="M408" t="inlineStr">
        <is>
          <t>Hidden pickup in Dagath's Hollow, Clan Dojo: inside the Dagath's Hollow room, on a ledge atop a column near the hanging fire pot.</t>
        </is>
      </c>
      <c r="N408" t="inlineStr">
        <is>
          <t>Decorations/Orbiter Decorations</t>
        </is>
      </c>
      <c r="O408" t="inlineStr">
        <is>
          <t>Saved a concrete acquisition place from the official Warframe Wiki. Orbiter Decorations Prex table and Prex Locations list.</t>
        </is>
      </c>
    </row>
    <row r="409">
      <c r="A409" t="inlineStr">
        <is>
          <t>/Lotus/Types/Recipes/Weapons/WeaponParts/PrimeDaikyuGrip</t>
        </is>
      </c>
      <c r="B409" t="inlineStr">
        <is>
          <t>Daikyu Prime Grip</t>
        </is>
      </c>
      <c r="C409" t="inlineStr">
        <is>
          <t>https://wiki.warframe.com/w/Daikyu_Prime | https://wiki.warframe.com/w/Meso_D8 | https://wiki.warframe.com/w/Neo_D10 | https://wiki.warframe.com/w/Lith_D7 | https://wiki.warframe.com/w/Void_Relic/ByRarity</t>
        </is>
      </c>
      <c r="D409" t="inlineStr">
        <is>
          <t>ExportResources</t>
        </is>
      </c>
      <c r="F409" t="inlineStr">
        <is>
          <t>Daikyu Prime Grip</t>
        </is>
      </c>
      <c r="H409" t="inlineStr">
        <is>
          <t>Solved: current place verified and archived 2026-10-16.</t>
        </is>
      </c>
      <c r="I409" t="inlineStr">
        <is>
          <t>Resources</t>
        </is>
      </c>
      <c r="J409" t="inlineStr">
        <is>
          <t>Lith D7 Relic (Rare) | Meso D8 Relic (Rare) | Neo D10 Relic (Rare)</t>
        </is>
      </c>
      <c r="K409" t="inlineStr">
        <is>
          <t>Void/data</t>
        </is>
      </c>
      <c r="L409" t="inlineStr">
        <is>
          <t>name</t>
        </is>
      </c>
      <c r="M409" t="inlineStr">
        <is>
          <t>Meso D8 relic drop.</t>
        </is>
      </c>
      <c r="N409" t="inlineStr">
        <is>
          <t>Meso D8 | Neo D10 | Lith D7</t>
        </is>
      </c>
      <c r="O409" t="inlineStr">
        <is>
          <t>Saved a concrete acquisition place from the official Warframe Wiki. Relic pages list this part in their reward table.</t>
        </is>
      </c>
    </row>
    <row r="410">
      <c r="A410" t="inlineStr">
        <is>
          <t>/Lotus/Types/Recipes/Weapons/WeaponParts/PrimeDaikyuLowerLimb</t>
        </is>
      </c>
      <c r="B410" t="inlineStr">
        <is>
          <t>Daikyu Prime Lower Limb</t>
        </is>
      </c>
      <c r="C410" t="inlineStr">
        <is>
          <t>https://wiki.warframe.com/w/Daikyu_Prime | https://wiki.warframe.com/w/Neo_K10 | https://wiki.warframe.com/w/Lith_A12 | https://wiki.warframe.com/w/Axi_C10 | https://wiki.warframe.com/w/Axi_C11</t>
        </is>
      </c>
      <c r="D410" t="inlineStr">
        <is>
          <t>ExportResources</t>
        </is>
      </c>
      <c r="F410" t="inlineStr">
        <is>
          <t>Daikyu Prime Lower Limb</t>
        </is>
      </c>
      <c r="H410" t="inlineStr">
        <is>
          <t>Solved: current place verified and archived 2026-10-16.</t>
        </is>
      </c>
      <c r="I410" t="inlineStr">
        <is>
          <t>Resources</t>
        </is>
      </c>
      <c r="J410" t="inlineStr">
        <is>
          <t>Lith A8 Relic (Uncommon) | Lith A12 Relic (Uncommon) | Meso A9 Relic (Uncommon) | Neo K10 Relic (Uncommon) | Axi C10 Relic (Uncommon) | Axi C11 Relic (Uncommon)</t>
        </is>
      </c>
      <c r="K410" t="inlineStr">
        <is>
          <t>Void/data</t>
        </is>
      </c>
      <c r="L410" t="inlineStr">
        <is>
          <t>name</t>
        </is>
      </c>
      <c r="M410" t="inlineStr">
        <is>
          <t>Neo K10 relic drop.</t>
        </is>
      </c>
      <c r="N410" t="inlineStr">
        <is>
          <t>Neo K10 | Lith A12 | Axi C10 | Axi C11</t>
        </is>
      </c>
      <c r="O410" t="inlineStr">
        <is>
          <t>Saved a concrete acquisition place from the official Warframe Wiki. Relic pages list this part in their reward table.</t>
        </is>
      </c>
    </row>
    <row r="411">
      <c r="A411" t="inlineStr">
        <is>
          <t>/Lotus/Types/Recipes/Weapons/WeaponParts/PrimeDaikyuString</t>
        </is>
      </c>
      <c r="B411" t="inlineStr">
        <is>
          <t>Daikyu Prime String</t>
        </is>
      </c>
      <c r="C411" t="inlineStr">
        <is>
          <t>https://wiki.warframe.com/w/Daikyu_Prime | https://wiki.warframe.com/w/Lith_C15 | https://wiki.warframe.com/w/Lith_S18 | https://wiki.warframe.com/w/Axi_A20 | https://wiki.warframe.com/w/Neo_A15</t>
        </is>
      </c>
      <c r="D411" t="inlineStr">
        <is>
          <t>ExportResources</t>
        </is>
      </c>
      <c r="F411" t="inlineStr">
        <is>
          <t>Daikyu Prime String</t>
        </is>
      </c>
      <c r="H411" t="inlineStr">
        <is>
          <t>Solved: current place verified and archived 2026-10-16.</t>
        </is>
      </c>
      <c r="I411" t="inlineStr">
        <is>
          <t>Resources</t>
        </is>
      </c>
      <c r="J411" t="inlineStr">
        <is>
          <t>Axi V12 Relic (Common) | Lith C15 Relic (Common) | Lith N19 Relic (Common) | Lith S18 Relic (Common) | Axi A20 Relic (Common) | Neo A15 Relic (Common)</t>
        </is>
      </c>
      <c r="K411" t="inlineStr">
        <is>
          <t>Void/data</t>
        </is>
      </c>
      <c r="L411" t="inlineStr">
        <is>
          <t>name</t>
        </is>
      </c>
      <c r="M411" t="inlineStr">
        <is>
          <t>Lith C15 and Lith S18 relic drops.</t>
        </is>
      </c>
      <c r="N411" t="inlineStr">
        <is>
          <t>Lith C15 | Lith S18 | Axi A20 | Neo A15</t>
        </is>
      </c>
      <c r="O411" t="inlineStr">
        <is>
          <t>Saved a concrete acquisition place from the official Warframe Wiki. Relic pages list this part in their reward table.</t>
        </is>
      </c>
    </row>
    <row r="412">
      <c r="A412" t="inlineStr">
        <is>
          <t>/Lotus/Types/Recipes/Weapons/WeaponParts/PrimeDaikyuUpperLimb</t>
        </is>
      </c>
      <c r="B412" t="inlineStr">
        <is>
          <t>Daikyu Prime Upper Limb</t>
        </is>
      </c>
      <c r="C412" t="inlineStr">
        <is>
          <t>https://wiki.warframe.com/w/Meso_C11 | https://wiki.warframe.com/w/Meso_Y2 | https://wiki.warframe.com/w/Neo_C7 | https://wiki.warframe.com/w/Meso_P16 | https://wiki.warframe.com/w/Meso_E7</t>
        </is>
      </c>
      <c r="D412" t="inlineStr">
        <is>
          <t>ExportResources</t>
        </is>
      </c>
      <c r="F412" t="inlineStr">
        <is>
          <t>Daikyu Prime Upper Limb</t>
        </is>
      </c>
      <c r="H412" t="inlineStr">
        <is>
          <t>Solved: current place verified and archived 2026-10-16.</t>
        </is>
      </c>
      <c r="I412" t="inlineStr">
        <is>
          <t>Resources</t>
        </is>
      </c>
      <c r="J412" t="inlineStr">
        <is>
          <t>Meso C11 Relic (Uncommon) | Meso E7 Relic (Uncommon) | Meso P16 Relic (Uncommon) | Meso Y2 Relic (Uncommon) | Neo C7 Relic (Uncommon)</t>
        </is>
      </c>
      <c r="K412" t="inlineStr">
        <is>
          <t>Void/data</t>
        </is>
      </c>
      <c r="L412" t="inlineStr">
        <is>
          <t>name</t>
        </is>
      </c>
      <c r="M412" t="inlineStr">
        <is>
          <t>Meso C11, Meso Y2 and Neo C7 relic drops.</t>
        </is>
      </c>
      <c r="N412" t="inlineStr">
        <is>
          <t>Meso C11 | Meso Y2 | Neo C7 | Meso P16 | Meso E7</t>
        </is>
      </c>
      <c r="O412" t="inlineStr">
        <is>
          <t>Saved a concrete acquisition place from the official Warframe Wiki. Relic pages list this part in their reward table.</t>
        </is>
      </c>
    </row>
    <row r="413">
      <c r="A413" t="inlineStr">
        <is>
          <t>/Lotus/Types/Items/MiscItems/PhotoboothTileDuviriIsleCapB</t>
        </is>
      </c>
      <c r="B413" t="inlineStr">
        <is>
          <t>Dais Cay Scene</t>
        </is>
      </c>
      <c r="C413" t="inlineStr">
        <is>
          <t>https://wiki.warframe.com/w/Acrithis | https://wiki.warframe.com/w/Captura</t>
        </is>
      </c>
      <c r="D413" t="inlineStr">
        <is>
          <t>ExportResources</t>
        </is>
      </c>
      <c r="F413" t="inlineStr">
        <is>
          <t>Dais Cay Scene</t>
        </is>
      </c>
      <c r="H413" t="inlineStr">
        <is>
          <t>Solved: current place verified and archived 2026-10-16.</t>
        </is>
      </c>
      <c r="I413" t="inlineStr">
        <is>
          <t>Resources</t>
        </is>
      </c>
      <c r="M413" t="inlineStr">
        <is>
          <t>Purchase from Acrithis' rotating Wares in Duviri.</t>
        </is>
      </c>
      <c r="N413" t="inlineStr">
        <is>
          <t>Captura</t>
        </is>
      </c>
      <c r="O413" t="inlineStr">
        <is>
          <t>Saved a concrete acquisition place from the official Warframe Wiki. Captura scene table lists this scene with its acquisition note.</t>
        </is>
      </c>
    </row>
    <row r="414">
      <c r="A414" t="inlineStr">
        <is>
          <t>/Lotus/Types/Items/ShipDecos/TarotCardDante</t>
        </is>
      </c>
      <c r="B414" t="inlineStr">
        <is>
          <t>Dante Prex</t>
        </is>
      </c>
      <c r="C414" t="inlineStr">
        <is>
          <t>https://wiki.warframe.com/w/Decorations | https://wiki.warframe.com/w/Leverian</t>
        </is>
      </c>
      <c r="D414" t="inlineStr">
        <is>
          <t>ExportResources</t>
        </is>
      </c>
      <c r="F414" t="inlineStr">
        <is>
          <t>Dante Prex</t>
        </is>
      </c>
      <c r="H414" t="inlineStr">
        <is>
          <t>Solved: current place verified and archived 2026-10-16.</t>
        </is>
      </c>
      <c r="I414" t="inlineStr">
        <is>
          <t>Resources</t>
        </is>
      </c>
      <c r="M414" t="inlineStr">
        <is>
          <t>Hidden pickup in the Leverian; not visible until you've mastered Dante.</t>
        </is>
      </c>
      <c r="N414" t="inlineStr">
        <is>
          <t>Decorations/Orbiter Decorations</t>
        </is>
      </c>
      <c r="O414" t="inlineStr">
        <is>
          <t>Saved a concrete acquisition place from the official Warframe Wiki. Orbiter Decorations Prex table and Prex Locations list.</t>
        </is>
      </c>
    </row>
    <row r="415">
      <c r="A415" t="inlineStr">
        <is>
          <t>/Lotus/Types/Items/ShipDecos/Venus/ClemTennobaumDisplay</t>
        </is>
      </c>
      <c r="B415" t="inlineStr">
        <is>
          <t>Dashing Through the Vallis Display</t>
        </is>
      </c>
      <c r="C415" t="inlineStr">
        <is>
          <t>https://wiki.warframe.com/w/Tennobaum | https://wiki.warframe.com/w/Decorations/Orbiter_Decorations</t>
        </is>
      </c>
      <c r="D415" t="inlineStr">
        <is>
          <t>ExportResources</t>
        </is>
      </c>
      <c r="F415" t="inlineStr">
        <is>
          <t>Dashing Through the Vallis Display</t>
        </is>
      </c>
      <c r="H415" t="inlineStr">
        <is>
          <t>Solved: current place verified and archived 2026-10-16.</t>
        </is>
      </c>
      <c r="I415" t="inlineStr">
        <is>
          <t>Resources</t>
        </is>
      </c>
      <c r="M415" t="inlineStr">
        <is>
          <t>Tennobaum 2022 reward for reaching the 65,000 gift goal.</t>
        </is>
      </c>
      <c r="N415" t="inlineStr">
        <is>
          <t>Tennobaum | Decorations/Orbiter Decorations</t>
        </is>
      </c>
      <c r="O415" t="inlineStr">
        <is>
          <t>We found more than one answer for where it comes from. Look at place from wiki page — the answers are separated by | — and pick the right one.</t>
        </is>
      </c>
    </row>
    <row r="416">
      <c r="A416" t="inlineStr">
        <is>
          <t>/Lotus/Types/Items/ShipDecos/KubrowToyD</t>
        </is>
      </c>
      <c r="B416" t="inlineStr">
        <is>
          <t>Data Cube Pet Toy</t>
        </is>
      </c>
      <c r="C416" t="inlineStr">
        <is>
          <t>https://wiki.warframe.com/w/Decorations/Orbiter_Decorations</t>
        </is>
      </c>
      <c r="D416" t="inlineStr">
        <is>
          <t>ExportResources</t>
        </is>
      </c>
      <c r="F416" t="inlineStr">
        <is>
          <t>Data Cube Pet Toy</t>
        </is>
      </c>
      <c r="H416" t="inlineStr">
        <is>
          <t>Solved: current place verified and archived 2026-10-16.</t>
        </is>
      </c>
      <c r="I416" t="inlineStr">
        <is>
          <t>Resources</t>
        </is>
      </c>
      <c r="M416" t="inlineStr">
        <is>
          <t>In-game Market for 20 Platinum.</t>
        </is>
      </c>
      <c r="N416" t="inlineStr">
        <is>
          <t>Decorations/Orbiter Decorations</t>
        </is>
      </c>
      <c r="O416" t="inlineStr">
        <is>
          <t>We copied where it comes from off the wiki page. See place from wiki page.</t>
        </is>
      </c>
    </row>
    <row r="417">
      <c r="A417" t="inlineStr">
        <is>
          <t>/Lotus/Types/Items/ShipDecos/LisetPropGradientMandolin</t>
        </is>
      </c>
      <c r="B417" t="inlineStr">
        <is>
          <t>Dawn Shawzin</t>
        </is>
      </c>
      <c r="C417" t="inlineStr">
        <is>
          <t>https://wiki.warframe.com/w/Shawzin | https://wiki.warframe.com/w/Decorations/Orbiter_Decorations | https://wiki.warframe.com/w/Emotes</t>
        </is>
      </c>
      <c r="D417" t="inlineStr">
        <is>
          <t>ExportResources</t>
        </is>
      </c>
      <c r="F417" t="inlineStr">
        <is>
          <t>Dawn Shawzin</t>
        </is>
      </c>
      <c r="H417" t="inlineStr">
        <is>
          <t>Solved: current place verified and archived 2026-10-16.</t>
        </is>
      </c>
      <c r="I417" t="inlineStr">
        <is>
          <t>Resources</t>
        </is>
      </c>
      <c r="M417" t="inlineStr">
        <is>
          <t>In-game Market for 40 Platinum.</t>
        </is>
      </c>
      <c r="N417" t="inlineStr">
        <is>
          <t>Shawzin | Decorations/Orbiter Decorations | Emotes | Update 25 | Market/Patch History</t>
        </is>
      </c>
      <c r="O417" t="inlineStr">
        <is>
          <t>We copied where it comes from off the wiki page. See place from wiki page.</t>
        </is>
      </c>
    </row>
    <row r="418">
      <c r="A418" t="inlineStr">
        <is>
          <t>/Lotus/Types/Items/ShipDecos/UmbraDaxPortrait</t>
        </is>
      </c>
      <c r="B418" t="inlineStr">
        <is>
          <t>Dax Portrait</t>
        </is>
      </c>
      <c r="C418" t="inlineStr">
        <is>
          <t>https://wiki.warframe.com/w/The_Sacrifice_Collection</t>
        </is>
      </c>
      <c r="D418" t="inlineStr">
        <is>
          <t>ExportResources</t>
        </is>
      </c>
      <c r="F418" t="inlineStr">
        <is>
          <t>Dax Portrait</t>
        </is>
      </c>
      <c r="H418" t="inlineStr">
        <is>
          <t>Solved: current place verified and archived 2026-10-16.</t>
        </is>
      </c>
      <c r="I418" t="inlineStr">
        <is>
          <t>Resources</t>
        </is>
      </c>
      <c r="M418" t="inlineStr">
        <is>
          <t>In-game Market for 35 Platinum.</t>
        </is>
      </c>
      <c r="N418" t="inlineStr">
        <is>
          <t>The Sacrifice Collection | Update 23</t>
        </is>
      </c>
      <c r="O418" t="inlineStr">
        <is>
          <t>We copied where it comes from off the wiki page. See place from wiki page.</t>
        </is>
      </c>
    </row>
    <row r="419">
      <c r="A419" t="inlineStr">
        <is>
          <t>/Lotus/Types/Items/ShipDecos/LisetPropMandolin</t>
        </is>
      </c>
      <c r="B419" t="inlineStr">
        <is>
          <t>Dax's Shawzin</t>
        </is>
      </c>
      <c r="C419" t="inlineStr">
        <is>
          <t>https://wiki.warframe.com/w/Decorations/Orbiter_Decorations | https://wiki.warframe.com/w/Shawzin</t>
        </is>
      </c>
      <c r="D419" t="inlineStr">
        <is>
          <t>ExportResources</t>
        </is>
      </c>
      <c r="F419" t="inlineStr">
        <is>
          <t>Dax's Shawzin</t>
        </is>
      </c>
      <c r="H419" t="inlineStr">
        <is>
          <t>Solved: current place verified and archived 2026-10-16.</t>
        </is>
      </c>
      <c r="I419" t="inlineStr">
        <is>
          <t>Resources</t>
        </is>
      </c>
      <c r="M419" t="inlineStr">
        <is>
          <t>In-game Market for 40 Platinum.</t>
        </is>
      </c>
      <c r="N419" t="inlineStr">
        <is>
          <t>Decorations/Orbiter Decorations | Shawzin</t>
        </is>
      </c>
      <c r="O419" t="inlineStr">
        <is>
          <t>We copied where it comes from off the wiki page. See place from wiki page.</t>
        </is>
      </c>
    </row>
    <row r="420">
      <c r="A420" t="inlineStr">
        <is>
          <t>/Lotus/Types/Items/ShipDecos/LisetPropDotDMandolin</t>
        </is>
      </c>
      <c r="B420" t="inlineStr">
        <is>
          <t>Day of the Dead Shawzin</t>
        </is>
      </c>
      <c r="C420" t="inlineStr">
        <is>
          <t>https://wiki.warframe.com/w/Decorations/Orbiter_Decorations | https://wiki.warframe.com/w/Shawzin</t>
        </is>
      </c>
      <c r="D420" t="inlineStr">
        <is>
          <t>ExportResources</t>
        </is>
      </c>
      <c r="F420" t="inlineStr">
        <is>
          <t>Day of the Dead Shawzin</t>
        </is>
      </c>
      <c r="H420" t="inlineStr">
        <is>
          <t>Solved: current place verified and archived 2026-10-16.</t>
        </is>
      </c>
      <c r="I420" t="inlineStr">
        <is>
          <t>Resources</t>
        </is>
      </c>
      <c r="M420" t="inlineStr">
        <is>
          <t>In-game Market for 40 Platinum.</t>
        </is>
      </c>
      <c r="N420" t="inlineStr">
        <is>
          <t>Decorations/Orbiter Decorations | Shawzin</t>
        </is>
      </c>
      <c r="O420" t="inlineStr">
        <is>
          <t>We copied where it comes from off the wiki page. See place from wiki page.</t>
        </is>
      </c>
    </row>
    <row r="421">
      <c r="A421" t="inlineStr">
        <is>
          <t>/Lotus/Types/Items/MiscItems/PhotoboothTileDeckTwelve</t>
        </is>
      </c>
      <c r="B421" t="inlineStr">
        <is>
          <t>Deck 12 Scene</t>
        </is>
      </c>
      <c r="C421" t="inlineStr">
        <is>
          <t>https://wiki.warframe.com/w/Exploiter_Orb | https://wiki.warframe.com/w/Captura</t>
        </is>
      </c>
      <c r="D421" t="inlineStr">
        <is>
          <t>ExportResources</t>
        </is>
      </c>
      <c r="F421" t="inlineStr">
        <is>
          <t>Deck 12 Scene</t>
        </is>
      </c>
      <c r="H421" t="inlineStr">
        <is>
          <t>Solved: current place verified and archived 2026-10-16.</t>
        </is>
      </c>
      <c r="I421" t="inlineStr">
        <is>
          <t>Resources</t>
        </is>
      </c>
      <c r="M421" t="inlineStr">
        <is>
          <t>Dropped by the Exploiter Orb in Orb Vallis.</t>
        </is>
      </c>
      <c r="N421" t="inlineStr">
        <is>
          <t>Captura</t>
        </is>
      </c>
      <c r="O421" t="inlineStr">
        <is>
          <t>Saved a concrete acquisition place from the official Warframe Wiki. Captura scene table lists this scene with its acquisition note.</t>
        </is>
      </c>
    </row>
    <row r="422">
      <c r="A422" t="inlineStr">
        <is>
          <t>/Lotus/Types/Items/ShipDecos/NokkoMushroomScrawlPosterA</t>
        </is>
      </c>
      <c r="B422" t="inlineStr">
        <is>
          <t>Deep Roots Cave Art</t>
        </is>
      </c>
      <c r="C422" t="inlineStr">
        <is>
          <t>https://wiki.warframe.com/w/Deepmines | https://wiki.warframe.com/w/Winter_Spear | https://wiki.warframe.com/w/Ferrofungus | https://wiki.warframe.com/w/Reeking_Puffball | https://wiki.warframe.com/w/Decorations/Orbiter_Decorations</t>
        </is>
      </c>
      <c r="D422" t="inlineStr">
        <is>
          <t>ExportResources</t>
        </is>
      </c>
      <c r="F422" t="inlineStr">
        <is>
          <t>Deep Roots Cave Art</t>
        </is>
      </c>
      <c r="H422" t="inlineStr">
        <is>
          <t>Solved: current place verified and archived 2026-10-16.</t>
        </is>
      </c>
      <c r="I422" t="inlineStr">
        <is>
          <t>Resources</t>
        </is>
      </c>
      <c r="M422" t="inlineStr">
        <is>
          <t>Interact with the Sprodling in the hidden cave in the Deepmines Entrance tile (Orb Vallis) to get the blueprint.</t>
        </is>
      </c>
      <c r="N422" t="inlineStr">
        <is>
          <t>Deepmines</t>
        </is>
      </c>
      <c r="O422" t="inlineStr">
        <is>
          <t>Saved a concrete acquisition place from the official Warframe Wiki. Deepmines page Cave Art and Somachords table gives the location and Foundry cost.</t>
        </is>
      </c>
    </row>
    <row r="423">
      <c r="A423" t="inlineStr">
        <is>
          <t>/Lotus/Types/Items/MiscItems/PhotoboothTileDeimosCenote</t>
        </is>
      </c>
      <c r="B423" t="inlineStr">
        <is>
          <t>Deimos Cenote Scene</t>
        </is>
      </c>
      <c r="C423" t="inlineStr">
        <is>
          <t>https://wiki.warframe.com/w/Captura</t>
        </is>
      </c>
      <c r="D423" t="inlineStr">
        <is>
          <t>ExportResources</t>
        </is>
      </c>
      <c r="F423" t="inlineStr">
        <is>
          <t>Deimos Cenote Scene</t>
        </is>
      </c>
      <c r="H423" t="inlineStr">
        <is>
          <t>Solved: current place verified and archived 2026-10-16.</t>
        </is>
      </c>
      <c r="I423" t="inlineStr">
        <is>
          <t>Resources</t>
        </is>
      </c>
      <c r="M423" t="inlineStr">
        <is>
          <t>Earn from the Deimos Captura Container in Isolation Vaults.</t>
        </is>
      </c>
      <c r="N423" t="inlineStr">
        <is>
          <t>Captura</t>
        </is>
      </c>
      <c r="O423" t="inlineStr">
        <is>
          <t>Saved a concrete acquisition place from the official Warframe Wiki. Captura scene table lists this scene with its acquisition note.</t>
        </is>
      </c>
    </row>
    <row r="424">
      <c r="A424" t="inlineStr">
        <is>
          <t>/Lotus/Types/Items/MiscItems/PhotoboothTileDeimosBurialChamber</t>
        </is>
      </c>
      <c r="B424" t="inlineStr">
        <is>
          <t>Deimos Crypt Scene</t>
        </is>
      </c>
      <c r="C424" t="inlineStr">
        <is>
          <t>https://wiki.warframe.com/w/Captura</t>
        </is>
      </c>
      <c r="D424" t="inlineStr">
        <is>
          <t>ExportResources</t>
        </is>
      </c>
      <c r="F424" t="inlineStr">
        <is>
          <t>Deimos Crypt Scene</t>
        </is>
      </c>
      <c r="H424" t="inlineStr">
        <is>
          <t>Solved: current place verified and archived 2026-10-16.</t>
        </is>
      </c>
      <c r="I424" t="inlineStr">
        <is>
          <t>Resources</t>
        </is>
      </c>
      <c r="M424" t="inlineStr">
        <is>
          <t>Earn from the Deimos Captura Container in Isolation Vaults.</t>
        </is>
      </c>
      <c r="N424" t="inlineStr">
        <is>
          <t>Captura</t>
        </is>
      </c>
      <c r="O424" t="inlineStr">
        <is>
          <t>Saved a concrete acquisition place from the official Warframe Wiki. Captura scene table lists this scene with its acquisition note.</t>
        </is>
      </c>
    </row>
    <row r="425">
      <c r="A425" t="inlineStr">
        <is>
          <t>/Lotus/Types/Items/MiscItems/PhotoboothTileDeimosCalamity</t>
        </is>
      </c>
      <c r="B425" t="inlineStr">
        <is>
          <t>Deimos Depths Scene</t>
        </is>
      </c>
      <c r="C425" t="inlineStr">
        <is>
          <t>https://wiki.warframe.com/w/Captura</t>
        </is>
      </c>
      <c r="D425" t="inlineStr">
        <is>
          <t>ExportResources</t>
        </is>
      </c>
      <c r="F425" t="inlineStr">
        <is>
          <t>Deimos Depths Scene</t>
        </is>
      </c>
      <c r="H425" t="inlineStr">
        <is>
          <t>Solved: current place verified and archived 2026-10-16.</t>
        </is>
      </c>
      <c r="I425" t="inlineStr">
        <is>
          <t>Resources</t>
        </is>
      </c>
      <c r="M425" t="inlineStr">
        <is>
          <t>Earn from the Deimos Captura Container in Isolation Vaults.</t>
        </is>
      </c>
      <c r="N425" t="inlineStr">
        <is>
          <t>Captura</t>
        </is>
      </c>
      <c r="O425" t="inlineStr">
        <is>
          <t>Saved a concrete acquisition place from the official Warframe Wiki. Captura scene table lists this scene with its acquisition note.</t>
        </is>
      </c>
    </row>
    <row r="426">
      <c r="A426" t="inlineStr">
        <is>
          <t>/Lotus/Types/Items/MiscItems/PhotoboothTileDeimosForsaken</t>
        </is>
      </c>
      <c r="B426" t="inlineStr">
        <is>
          <t>Deimos Forsaken Scene</t>
        </is>
      </c>
      <c r="C426" t="inlineStr">
        <is>
          <t>https://wiki.warframe.com/w/Captura</t>
        </is>
      </c>
      <c r="D426" t="inlineStr">
        <is>
          <t>ExportResources</t>
        </is>
      </c>
      <c r="F426" t="inlineStr">
        <is>
          <t>Deimos Forsaken Scene</t>
        </is>
      </c>
      <c r="H426" t="inlineStr">
        <is>
          <t>Solved: current place verified and archived 2026-10-16.</t>
        </is>
      </c>
      <c r="I426" t="inlineStr">
        <is>
          <t>Resources</t>
        </is>
      </c>
      <c r="M426" t="inlineStr">
        <is>
          <t>Earn from the Deimos Captura Container in Isolation Vaults.</t>
        </is>
      </c>
      <c r="N426" t="inlineStr">
        <is>
          <t>Captura</t>
        </is>
      </c>
      <c r="O426" t="inlineStr">
        <is>
          <t>Saved a concrete acquisition place from the official Warframe Wiki. Captura scene table lists this scene with its acquisition note.</t>
        </is>
      </c>
    </row>
    <row r="427">
      <c r="A427" t="inlineStr">
        <is>
          <t>/Lotus/Types/Items/MiscItems/PhotoboothTileDeimosHeart</t>
        </is>
      </c>
      <c r="B427" t="inlineStr">
        <is>
          <t>Deimos Heart Scene</t>
        </is>
      </c>
      <c r="C427" t="inlineStr">
        <is>
          <t>https://wiki.warframe.com/w/Captura</t>
        </is>
      </c>
      <c r="D427" t="inlineStr">
        <is>
          <t>ExportResources</t>
        </is>
      </c>
      <c r="F427" t="inlineStr">
        <is>
          <t>Deimos Heart Scene</t>
        </is>
      </c>
      <c r="H427" t="inlineStr">
        <is>
          <t>Solved: current place verified and archived 2026-10-16.</t>
        </is>
      </c>
      <c r="I427" t="inlineStr">
        <is>
          <t>Resources</t>
        </is>
      </c>
      <c r="M427" t="inlineStr">
        <is>
          <t>Earn from the Deimos Captura Container in Isolation Vaults.</t>
        </is>
      </c>
      <c r="N427" t="inlineStr">
        <is>
          <t>Captura</t>
        </is>
      </c>
      <c r="O427" t="inlineStr">
        <is>
          <t>Saved a concrete acquisition place from the official Warframe Wiki. Captura scene table lists this scene with its acquisition note.</t>
        </is>
      </c>
    </row>
    <row r="428">
      <c r="A428" t="inlineStr">
        <is>
          <t>/Lotus/Types/Items/MiscItems/PhotoboothTileDeimosSchism</t>
        </is>
      </c>
      <c r="B428" t="inlineStr">
        <is>
          <t>Deimos Membrane Scene</t>
        </is>
      </c>
      <c r="C428" t="inlineStr">
        <is>
          <t>https://wiki.warframe.com/w/Captura</t>
        </is>
      </c>
      <c r="D428" t="inlineStr">
        <is>
          <t>ExportResources</t>
        </is>
      </c>
      <c r="F428" t="inlineStr">
        <is>
          <t>Deimos Membrane Scene</t>
        </is>
      </c>
      <c r="H428" t="inlineStr">
        <is>
          <t>Solved: current place verified and archived 2026-10-16.</t>
        </is>
      </c>
      <c r="I428" t="inlineStr">
        <is>
          <t>Resources</t>
        </is>
      </c>
      <c r="M428" t="inlineStr">
        <is>
          <t>Earn from the Deimos Captura Container in Isolation Vaults.</t>
        </is>
      </c>
      <c r="N428" t="inlineStr">
        <is>
          <t>Captura</t>
        </is>
      </c>
      <c r="O428" t="inlineStr">
        <is>
          <t>Saved a concrete acquisition place from the official Warframe Wiki. Captura scene table lists this scene with its acquisition note.</t>
        </is>
      </c>
    </row>
    <row r="429">
      <c r="A429" t="inlineStr">
        <is>
          <t>/Lotus/Types/Items/MiscItems/PhotoboothTileDeimosHub</t>
        </is>
      </c>
      <c r="B429" t="inlineStr">
        <is>
          <t>Deimos Necralisk Scene</t>
        </is>
      </c>
      <c r="C429" t="inlineStr">
        <is>
          <t>https://wiki.warframe.com/w/Captura</t>
        </is>
      </c>
      <c r="D429" t="inlineStr">
        <is>
          <t>ExportResources</t>
        </is>
      </c>
      <c r="F429" t="inlineStr">
        <is>
          <t>Deimos Necralisk Scene</t>
        </is>
      </c>
      <c r="H429" t="inlineStr">
        <is>
          <t>Solved: current place verified and archived 2026-10-16.</t>
        </is>
      </c>
      <c r="I429" t="inlineStr">
        <is>
          <t>Resources</t>
        </is>
      </c>
      <c r="M429" t="inlineStr">
        <is>
          <t>Unlocked by completing the Heart of Deimos quest.</t>
        </is>
      </c>
      <c r="N429" t="inlineStr">
        <is>
          <t>Captura</t>
        </is>
      </c>
      <c r="O429" t="inlineStr">
        <is>
          <t>Saved a concrete acquisition place from the official Warframe Wiki. Captura scene table lists this scene with its acquisition note.</t>
        </is>
      </c>
    </row>
    <row r="430">
      <c r="A430" t="inlineStr">
        <is>
          <t>/Lotus/Types/Items/MiscItems/PhotoboothTileDeimosSpawn</t>
        </is>
      </c>
      <c r="B430" t="inlineStr">
        <is>
          <t>Deimos Verge Scene</t>
        </is>
      </c>
      <c r="C430" t="inlineStr">
        <is>
          <t>https://wiki.warframe.com/w/Captura</t>
        </is>
      </c>
      <c r="D430" t="inlineStr">
        <is>
          <t>ExportResources</t>
        </is>
      </c>
      <c r="F430" t="inlineStr">
        <is>
          <t>Deimos Verge Scene</t>
        </is>
      </c>
      <c r="H430" t="inlineStr">
        <is>
          <t>Solved: current place verified and archived 2026-10-16.</t>
        </is>
      </c>
      <c r="I430" t="inlineStr">
        <is>
          <t>Resources</t>
        </is>
      </c>
      <c r="M430" t="inlineStr">
        <is>
          <t>Earn from the Deimos Captura Container in Isolation Vaults.</t>
        </is>
      </c>
      <c r="N430" t="inlineStr">
        <is>
          <t>Captura</t>
        </is>
      </c>
      <c r="O430" t="inlineStr">
        <is>
          <t>Saved a concrete acquisition place from the official Warframe Wiki. Captura scene table lists this scene with its acquisition note.</t>
        </is>
      </c>
    </row>
    <row r="431">
      <c r="A431" t="inlineStr">
        <is>
          <t>/Lotus/Types/Items/MiscItems/VayHekCoordinateFragmentA</t>
        </is>
      </c>
      <c r="B431" t="inlineStr">
        <is>
          <t>Delta Beacon</t>
        </is>
      </c>
      <c r="C431" t="inlineStr">
        <is>
          <t>https://wiki.warframe.com/w/Beacons_(Prosecutor)</t>
        </is>
      </c>
      <c r="D431" t="inlineStr">
        <is>
          <t>ExportResources</t>
        </is>
      </c>
      <c r="G431" t="inlineStr">
        <is>
          <t>Delta Beacon</t>
        </is>
      </c>
      <c r="H431" t="inlineStr">
        <is>
          <t>Solved: current place verified and archived 2026-10-16.</t>
        </is>
      </c>
      <c r="I431" t="inlineStr">
        <is>
          <t>Resources</t>
        </is>
      </c>
      <c r="J431" t="inlineStr">
        <is>
          <t>Resources_data</t>
        </is>
      </c>
      <c r="K431" t="inlineStr">
        <is>
          <t>Resources/data</t>
        </is>
      </c>
      <c r="L431" t="inlineStr">
        <is>
          <t>listed, no place</t>
        </is>
      </c>
      <c r="M431" t="inlineStr">
        <is>
          <t>Not currently obtainable.</t>
        </is>
      </c>
      <c r="N431" t="inlineStr">
        <is>
          <t>Beacons (Prosecutor)</t>
        </is>
      </c>
      <c r="O431" t="inlineStr">
        <is>
          <t>Saved a concrete acquisition place from the official Warframe Wiki.</t>
        </is>
      </c>
    </row>
    <row r="432">
      <c r="A432" t="inlineStr">
        <is>
          <t>/Lotus/Types/Items/ShipDecos/TennoCon2023SoundtrackADisplay</t>
        </is>
      </c>
      <c r="B432" t="inlineStr">
        <is>
          <t>Display - 2023 Soundtrack</t>
        </is>
      </c>
      <c r="C432" t="inlineStr">
        <is>
          <t>https://wiki.warframe.com/w/Decorations/Orbiter_Decorations</t>
        </is>
      </c>
      <c r="D432" t="inlineStr">
        <is>
          <t>ExportResources</t>
        </is>
      </c>
      <c r="F432" t="inlineStr">
        <is>
          <t>Display - 2023 Soundtrack</t>
        </is>
      </c>
      <c r="H432" t="inlineStr">
        <is>
          <t>Solved: current place verified and archived 2026-10-16.</t>
        </is>
      </c>
      <c r="I432" t="inlineStr">
        <is>
          <t>Resources</t>
        </is>
      </c>
      <c r="M432" t="inlineStr">
        <is>
          <t>Included in the TennoCon 2023 Merch Pack.</t>
        </is>
      </c>
      <c r="N432" t="inlineStr">
        <is>
          <t>Decorations/Orbiter Decorations</t>
        </is>
      </c>
      <c r="O432" t="inlineStr">
        <is>
          <t>We copied where it comes from off the wiki page. See place from wiki page.</t>
        </is>
      </c>
    </row>
    <row r="433">
      <c r="A433" t="inlineStr">
        <is>
          <t>/Lotus/Types/Items/ShipDecos/Tennocon2023SoundtrackBDisplay</t>
        </is>
      </c>
      <c r="B433" t="inlineStr">
        <is>
          <t>Display - 2023 Soundtrack</t>
        </is>
      </c>
      <c r="C433" t="inlineStr">
        <is>
          <t>https://wiki.warframe.com/w/Decorations/Orbiter_Decorations</t>
        </is>
      </c>
      <c r="D433" t="inlineStr">
        <is>
          <t>ExportResources</t>
        </is>
      </c>
      <c r="F433" t="inlineStr">
        <is>
          <t>Display - 2023 Soundtrack</t>
        </is>
      </c>
      <c r="H433" t="inlineStr">
        <is>
          <t>Solved: current place verified and archived 2026-10-16.</t>
        </is>
      </c>
      <c r="I433" t="inlineStr">
        <is>
          <t>Resources</t>
        </is>
      </c>
      <c r="M433" t="inlineStr">
        <is>
          <t>Included in the TennoCon 2023 Merch Pack.</t>
        </is>
      </c>
      <c r="N433" t="inlineStr">
        <is>
          <t>Decorations/Orbiter Decorations</t>
        </is>
      </c>
      <c r="O433" t="inlineStr">
        <is>
          <t>We copied where it comes from off the wiki page. See place from wiki page.</t>
        </is>
      </c>
    </row>
    <row r="434">
      <c r="A434" t="inlineStr">
        <is>
          <t>/Lotus/Types/Items/ShipDecos/OrbiterPictureFrame</t>
        </is>
      </c>
      <c r="B434" t="inlineStr">
        <is>
          <t>Display - Arc</t>
        </is>
      </c>
      <c r="C434" t="inlineStr">
        <is>
          <t>https://wiki.warframe.com/w/Market/Equipment</t>
        </is>
      </c>
      <c r="D434" t="inlineStr">
        <is>
          <t>ExportResources</t>
        </is>
      </c>
      <c r="F434" t="inlineStr">
        <is>
          <t>Display - Arc</t>
        </is>
      </c>
      <c r="H434" t="inlineStr">
        <is>
          <t>Solved: current place verified and archived 2026-10-16.</t>
        </is>
      </c>
      <c r="I434" t="inlineStr">
        <is>
          <t>Resources</t>
        </is>
      </c>
      <c r="M434" t="inlineStr">
        <is>
          <t>In-game Market for 15 Platinum.</t>
        </is>
      </c>
      <c r="N434" t="inlineStr">
        <is>
          <t>Market/Equipment</t>
        </is>
      </c>
      <c r="O434" t="inlineStr">
        <is>
          <t>Saved a concrete acquisition place from the official Warframe Wiki. Market/Equipment lists it with a Platinum price.</t>
        </is>
      </c>
    </row>
    <row r="435">
      <c r="A435" t="inlineStr">
        <is>
          <t>/Lotus/Types/Items/ShipDecos/OrbiterPictureFrameE</t>
        </is>
      </c>
      <c r="B435" t="inlineStr">
        <is>
          <t>Display - Concave</t>
        </is>
      </c>
      <c r="C435" t="inlineStr">
        <is>
          <t>https://wiki.warframe.com/w/Market/Equipment</t>
        </is>
      </c>
      <c r="D435" t="inlineStr">
        <is>
          <t>ExportResources</t>
        </is>
      </c>
      <c r="F435" t="inlineStr">
        <is>
          <t>Display - Concave</t>
        </is>
      </c>
      <c r="H435" t="inlineStr">
        <is>
          <t>Solved: current place verified and archived 2026-10-16.</t>
        </is>
      </c>
      <c r="I435" t="inlineStr">
        <is>
          <t>Resources</t>
        </is>
      </c>
      <c r="M435" t="inlineStr">
        <is>
          <t>In-game Market for 15 Platinum.</t>
        </is>
      </c>
      <c r="N435" t="inlineStr">
        <is>
          <t>Market/Equipment</t>
        </is>
      </c>
      <c r="O435" t="inlineStr">
        <is>
          <t>Saved a concrete acquisition place from the official Warframe Wiki. Market/Equipment lists it with a Platinum price.</t>
        </is>
      </c>
    </row>
    <row r="436">
      <c r="A436" t="inlineStr">
        <is>
          <t>/Lotus/Types/Items/ShipDecos/OrbiterPictureFrameF</t>
        </is>
      </c>
      <c r="B436" t="inlineStr">
        <is>
          <t>Display - Convex</t>
        </is>
      </c>
      <c r="C436" t="inlineStr">
        <is>
          <t>https://wiki.warframe.com/w/Market/Equipment</t>
        </is>
      </c>
      <c r="D436" t="inlineStr">
        <is>
          <t>ExportResources</t>
        </is>
      </c>
      <c r="F436" t="inlineStr">
        <is>
          <t>Display - Convex</t>
        </is>
      </c>
      <c r="H436" t="inlineStr">
        <is>
          <t>Solved: current place verified and archived 2026-10-16.</t>
        </is>
      </c>
      <c r="I436" t="inlineStr">
        <is>
          <t>Resources</t>
        </is>
      </c>
      <c r="M436" t="inlineStr">
        <is>
          <t>In-game Market for 15 Platinum.</t>
        </is>
      </c>
      <c r="N436" t="inlineStr">
        <is>
          <t>Market/Equipment</t>
        </is>
      </c>
      <c r="O436" t="inlineStr">
        <is>
          <t>Saved a concrete acquisition place from the official Warframe Wiki. Market/Equipment lists it with a Platinum price.</t>
        </is>
      </c>
    </row>
    <row r="437">
      <c r="A437" t="inlineStr">
        <is>
          <t>/Lotus/Types/Items/ShipDecos/GlyphPictureFrame</t>
        </is>
      </c>
      <c r="B437" t="inlineStr">
        <is>
          <t>Display - Glyph</t>
        </is>
      </c>
      <c r="C437" t="inlineStr">
        <is>
          <t>https://wiki.warframe.com/w/The_Great_Eidolon_Hunt | https://wiki.warframe.com/w/Market/Equipment</t>
        </is>
      </c>
      <c r="D437" t="inlineStr">
        <is>
          <t>ExportResources</t>
        </is>
      </c>
      <c r="F437" t="inlineStr">
        <is>
          <t>Display - Glyph</t>
        </is>
      </c>
      <c r="H437" t="inlineStr">
        <is>
          <t>Solved: current place verified and archived 2026-10-16.</t>
        </is>
      </c>
      <c r="I437" t="inlineStr">
        <is>
          <t>Resources</t>
        </is>
      </c>
      <c r="M437" t="inlineStr">
        <is>
          <t>In-game Market for 20 Platinum.</t>
        </is>
      </c>
      <c r="N437" t="inlineStr">
        <is>
          <t>Market/Equipment</t>
        </is>
      </c>
      <c r="O437" t="inlineStr">
        <is>
          <t>Saved a concrete acquisition place from the official Warframe Wiki. Market/Equipment lists it with a Platinum price.</t>
        </is>
      </c>
    </row>
    <row r="438">
      <c r="A438" t="inlineStr">
        <is>
          <t>/Lotus/Types/Items/ShipDecos/OrbiterPictureFrameB</t>
        </is>
      </c>
      <c r="B438" t="inlineStr">
        <is>
          <t>Display - Landscape</t>
        </is>
      </c>
      <c r="C438" t="inlineStr">
        <is>
          <t>https://wiki.warframe.com/w/Market/Equipment</t>
        </is>
      </c>
      <c r="D438" t="inlineStr">
        <is>
          <t>ExportResources</t>
        </is>
      </c>
      <c r="F438" t="inlineStr">
        <is>
          <t>Display - Landscape</t>
        </is>
      </c>
      <c r="H438" t="inlineStr">
        <is>
          <t>Solved: current place verified and archived 2026-10-16.</t>
        </is>
      </c>
      <c r="I438" t="inlineStr">
        <is>
          <t>Resources</t>
        </is>
      </c>
      <c r="M438" t="inlineStr">
        <is>
          <t>In-game Market for 15 Platinum.</t>
        </is>
      </c>
      <c r="N438" t="inlineStr">
        <is>
          <t>Market/Equipment</t>
        </is>
      </c>
      <c r="O438" t="inlineStr">
        <is>
          <t>Saved a concrete acquisition place from the official Warframe Wiki. Market/Equipment lists it with a Platinum price.</t>
        </is>
      </c>
    </row>
    <row r="439">
      <c r="A439" t="inlineStr">
        <is>
          <t>/Lotus/Types/Items/ShipDecos/OrbiterPictureFrameI</t>
        </is>
      </c>
      <c r="B439" t="inlineStr">
        <is>
          <t>Display - Panoramic</t>
        </is>
      </c>
      <c r="C439" t="inlineStr">
        <is>
          <t>https://wiki.warframe.com/w/Market/Equipment</t>
        </is>
      </c>
      <c r="D439" t="inlineStr">
        <is>
          <t>ExportResources</t>
        </is>
      </c>
      <c r="F439" t="inlineStr">
        <is>
          <t>Display - Panoramic</t>
        </is>
      </c>
      <c r="H439" t="inlineStr">
        <is>
          <t>Solved: current place verified and archived 2026-10-16.</t>
        </is>
      </c>
      <c r="I439" t="inlineStr">
        <is>
          <t>Resources</t>
        </is>
      </c>
      <c r="M439" t="inlineStr">
        <is>
          <t>In-game Market for 15 Platinum.</t>
        </is>
      </c>
      <c r="N439" t="inlineStr">
        <is>
          <t>Market/Equipment</t>
        </is>
      </c>
      <c r="O439" t="inlineStr">
        <is>
          <t>Saved a concrete acquisition place from the official Warframe Wiki. Market/Equipment lists it with a Platinum price.</t>
        </is>
      </c>
    </row>
    <row r="440">
      <c r="A440" t="inlineStr">
        <is>
          <t>/Lotus/Types/Items/ShipDecos/OrbiterPictureFrameD</t>
        </is>
      </c>
      <c r="B440" t="inlineStr">
        <is>
          <t>Display - Poster</t>
        </is>
      </c>
      <c r="C440" t="inlineStr">
        <is>
          <t>https://wiki.warframe.com/w/Market/Equipment</t>
        </is>
      </c>
      <c r="D440" t="inlineStr">
        <is>
          <t>ExportResources</t>
        </is>
      </c>
      <c r="F440" t="inlineStr">
        <is>
          <t>Display - Poster</t>
        </is>
      </c>
      <c r="H440" t="inlineStr">
        <is>
          <t>Solved: current place verified and archived 2026-10-16.</t>
        </is>
      </c>
      <c r="I440" t="inlineStr">
        <is>
          <t>Resources</t>
        </is>
      </c>
      <c r="M440" t="inlineStr">
        <is>
          <t>In-game Market for 15 Platinum.</t>
        </is>
      </c>
      <c r="N440" t="inlineStr">
        <is>
          <t>Market/Equipment</t>
        </is>
      </c>
      <c r="O440" t="inlineStr">
        <is>
          <t>Saved a concrete acquisition place from the official Warframe Wiki. Market/Equipment lists it with a Platinum price.</t>
        </is>
      </c>
    </row>
    <row r="441">
      <c r="A441" t="inlineStr">
        <is>
          <t>/Lotus/Types/Items/ShipDecos/OrbiterPictureFrameH</t>
        </is>
      </c>
      <c r="B441" t="inlineStr">
        <is>
          <t>Display - Squared</t>
        </is>
      </c>
      <c r="C441" t="inlineStr">
        <is>
          <t>https://wiki.warframe.com/w/Market/Equipment</t>
        </is>
      </c>
      <c r="D441" t="inlineStr">
        <is>
          <t>ExportResources</t>
        </is>
      </c>
      <c r="F441" t="inlineStr">
        <is>
          <t>Display - Squared</t>
        </is>
      </c>
      <c r="H441" t="inlineStr">
        <is>
          <t>Solved: current place verified and archived 2026-10-16.</t>
        </is>
      </c>
      <c r="I441" t="inlineStr">
        <is>
          <t>Resources</t>
        </is>
      </c>
      <c r="M441" t="inlineStr">
        <is>
          <t>In-game Market for 15 Platinum.</t>
        </is>
      </c>
      <c r="N441" t="inlineStr">
        <is>
          <t>Market/Equipment</t>
        </is>
      </c>
      <c r="O441" t="inlineStr">
        <is>
          <t>Saved a concrete acquisition place from the official Warframe Wiki. Market/Equipment lists it with a Platinum price.</t>
        </is>
      </c>
    </row>
    <row r="442">
      <c r="A442" t="inlineStr">
        <is>
          <t>/Lotus/Types/Items/ShipDecos/TennoCon2021BallasPortrait</t>
        </is>
      </c>
      <c r="B442" t="inlineStr">
        <is>
          <t>Display - TennoCon 2021</t>
        </is>
      </c>
      <c r="C442" t="inlineStr">
        <is>
          <t>https://wiki.warframe.com/w/Decorations/Orbiter_Decorations</t>
        </is>
      </c>
      <c r="D442" t="inlineStr">
        <is>
          <t>ExportResources</t>
        </is>
      </c>
      <c r="F442" t="inlineStr">
        <is>
          <t>Display - TennoCon 2021</t>
        </is>
      </c>
      <c r="H442" t="inlineStr">
        <is>
          <t>Solved: current place verified and archived 2026-10-16.</t>
        </is>
      </c>
      <c r="I442" t="inlineStr">
        <is>
          <t>Resources</t>
        </is>
      </c>
      <c r="M442" t="inlineStr">
        <is>
          <t>Part of the TennoCon 2021 Merch Pack.</t>
        </is>
      </c>
      <c r="N442" t="inlineStr">
        <is>
          <t>Decorations/Orbiter Decorations</t>
        </is>
      </c>
      <c r="O442" t="inlineStr">
        <is>
          <t>We copied where it comes from off the wiki page. See place from wiki page.</t>
        </is>
      </c>
    </row>
    <row r="443">
      <c r="A443" t="inlineStr">
        <is>
          <t>/Lotus/Types/Items/ShipDecos/TennoCon2021MerchDisplay</t>
        </is>
      </c>
      <c r="B443" t="inlineStr">
        <is>
          <t>Display - TennoCon 2021 Merch</t>
        </is>
      </c>
      <c r="C443" t="inlineStr">
        <is>
          <t>https://wiki.warframe.com/w/Decorations/Orbiter_Decorations</t>
        </is>
      </c>
      <c r="D443" t="inlineStr">
        <is>
          <t>ExportResources</t>
        </is>
      </c>
      <c r="F443" t="inlineStr">
        <is>
          <t>Display - TennoCon 2021 Merch</t>
        </is>
      </c>
      <c r="H443" t="inlineStr">
        <is>
          <t>Solved: current place verified and archived 2026-10-16.</t>
        </is>
      </c>
      <c r="I443" t="inlineStr">
        <is>
          <t>Resources</t>
        </is>
      </c>
      <c r="M443" t="inlineStr">
        <is>
          <t>Included in the TennoCon 2021 Merch Pack.</t>
        </is>
      </c>
      <c r="N443" t="inlineStr">
        <is>
          <t>Decorations/Orbiter Decorations</t>
        </is>
      </c>
      <c r="O443" t="inlineStr">
        <is>
          <t>We copied where it comes from off the wiki page. See place from wiki page.</t>
        </is>
      </c>
    </row>
    <row r="444">
      <c r="A444" t="inlineStr">
        <is>
          <t>/Lotus/Types/Items/ShipDecos/TennoCon2022MerchDisplay</t>
        </is>
      </c>
      <c r="B444" t="inlineStr">
        <is>
          <t>Display - TennoCon 2022 Merch</t>
        </is>
      </c>
      <c r="C444" t="inlineStr">
        <is>
          <t>https://wiki.warframe.com/w/Decorations/Orbiter_Decorations</t>
        </is>
      </c>
      <c r="D444" t="inlineStr">
        <is>
          <t>ExportResources</t>
        </is>
      </c>
      <c r="F444" t="inlineStr">
        <is>
          <t>Display - TennoCon 2022 Merch</t>
        </is>
      </c>
      <c r="H444" t="inlineStr">
        <is>
          <t>Solved: current place verified and archived 2026-10-16.</t>
        </is>
      </c>
      <c r="I444" t="inlineStr">
        <is>
          <t>Resources</t>
        </is>
      </c>
      <c r="M444" t="inlineStr">
        <is>
          <t>Included in the TennoCon 2022 Merch Pack.</t>
        </is>
      </c>
      <c r="N444" t="inlineStr">
        <is>
          <t>Decorations/Orbiter Decorations</t>
        </is>
      </c>
      <c r="O444" t="inlineStr">
        <is>
          <t>We copied where it comes from off the wiki page. See place from wiki page.</t>
        </is>
      </c>
    </row>
    <row r="445">
      <c r="A445" t="inlineStr">
        <is>
          <t>/Lotus/Types/Items/ShipDecos/OrbiterPictureFrameC</t>
        </is>
      </c>
      <c r="B445" t="inlineStr">
        <is>
          <t>Display - Tondo</t>
        </is>
      </c>
      <c r="C445" t="inlineStr">
        <is>
          <t>https://wiki.warframe.com/w/Market/Equipment</t>
        </is>
      </c>
      <c r="D445" t="inlineStr">
        <is>
          <t>ExportResources</t>
        </is>
      </c>
      <c r="F445" t="inlineStr">
        <is>
          <t>Display - Tondo</t>
        </is>
      </c>
      <c r="H445" t="inlineStr">
        <is>
          <t>Solved: current place verified and archived 2026-10-16.</t>
        </is>
      </c>
      <c r="I445" t="inlineStr">
        <is>
          <t>Resources</t>
        </is>
      </c>
      <c r="M445" t="inlineStr">
        <is>
          <t>In-game Market for 15 Platinum.</t>
        </is>
      </c>
      <c r="N445" t="inlineStr">
        <is>
          <t>Market/Equipment</t>
        </is>
      </c>
      <c r="O445" t="inlineStr">
        <is>
          <t>Saved a concrete acquisition place from the official Warframe Wiki. Market/Equipment lists it with a Platinum price.</t>
        </is>
      </c>
    </row>
    <row r="446">
      <c r="A446" t="inlineStr">
        <is>
          <t>/Lotus/Types/Items/ShipDecos/OrbiterPictureFrameG</t>
        </is>
      </c>
      <c r="B446" t="inlineStr">
        <is>
          <t>Display - Wrap</t>
        </is>
      </c>
      <c r="C446" t="inlineStr">
        <is>
          <t>https://wiki.warframe.com/w/Market/Equipment</t>
        </is>
      </c>
      <c r="D446" t="inlineStr">
        <is>
          <t>ExportResources</t>
        </is>
      </c>
      <c r="F446" t="inlineStr">
        <is>
          <t>Display - Wrap</t>
        </is>
      </c>
      <c r="H446" t="inlineStr">
        <is>
          <t>Solved: current place verified and archived 2026-10-16.</t>
        </is>
      </c>
      <c r="I446" t="inlineStr">
        <is>
          <t>Resources</t>
        </is>
      </c>
      <c r="M446" t="inlineStr">
        <is>
          <t>In-game Market for 15 Platinum.</t>
        </is>
      </c>
      <c r="N446" t="inlineStr">
        <is>
          <t>Market/Equipment</t>
        </is>
      </c>
      <c r="O446" t="inlineStr">
        <is>
          <t>Saved a concrete acquisition place from the official Warframe Wiki. Market/Equipment lists it with a Platinum price.</t>
        </is>
      </c>
    </row>
    <row r="447">
      <c r="A447" t="inlineStr">
        <is>
          <t>/Lotus/Types/Items/ShipDecos/DogDays2025Poster</t>
        </is>
      </c>
      <c r="B447" t="inlineStr">
        <is>
          <t>Dog Days "Hang Loose" Poster</t>
        </is>
      </c>
      <c r="C447" t="inlineStr">
        <is>
          <t>https://wiki.warframe.com/w/Dog_Days | https://wiki.warframe.com/w/Decorations/Orbiter_Decorations</t>
        </is>
      </c>
      <c r="D447" t="inlineStr">
        <is>
          <t>ExportResources</t>
        </is>
      </c>
      <c r="F447" t="inlineStr">
        <is>
          <t>Dog Days "Hang Loose" Poster</t>
        </is>
      </c>
      <c r="H447" t="inlineStr">
        <is>
          <t>Solved: current place verified and archived 2026-10-16.</t>
        </is>
      </c>
      <c r="I447" t="inlineStr">
        <is>
          <t>Resources</t>
        </is>
      </c>
      <c r="M447" t="inlineStr">
        <is>
          <t>Purchase from the Dog Days event store for 175 Nakak Pearls.</t>
        </is>
      </c>
      <c r="N447" t="inlineStr">
        <is>
          <t>Dog Days | Decorations/Orbiter Decorations</t>
        </is>
      </c>
      <c r="O447" t="inlineStr">
        <is>
          <t>We copied where it comes from off the wiki page. See place from wiki page.</t>
        </is>
      </c>
    </row>
    <row r="448">
      <c r="A448" t="inlineStr">
        <is>
          <t>/Lotus/Types/Items/MiscItems/PhotoboothTileBeachNight</t>
        </is>
      </c>
      <c r="B448" t="inlineStr">
        <is>
          <t>Dog Days Night Scene</t>
        </is>
      </c>
      <c r="C448" t="inlineStr">
        <is>
          <t>https://wiki.warframe.com/w/Dog_Days | https://wiki.warframe.com/w/Captura</t>
        </is>
      </c>
      <c r="D448" t="inlineStr">
        <is>
          <t>ExportResources</t>
        </is>
      </c>
      <c r="F448" t="inlineStr">
        <is>
          <t>Dog Days Night Scene</t>
        </is>
      </c>
      <c r="H448" t="inlineStr">
        <is>
          <t>Solved: current place verified and archived 2026-10-16.</t>
        </is>
      </c>
      <c r="I448" t="inlineStr">
        <is>
          <t>Resources</t>
        </is>
      </c>
      <c r="M448" t="inlineStr">
        <is>
          <t>Purchase from the Dog Days event store for 490 Nakak Pearls.</t>
        </is>
      </c>
      <c r="N448" t="inlineStr">
        <is>
          <t>Dog Days | Captura | Update 31</t>
        </is>
      </c>
      <c r="O448" t="inlineStr">
        <is>
          <t>We copied where it comes from off the wiki page. See place from wiki page.</t>
        </is>
      </c>
    </row>
    <row r="449">
      <c r="A449" t="inlineStr">
        <is>
          <t>/Lotus/Types/Items/ShipDecos/DogDays2024Poster</t>
        </is>
      </c>
      <c r="B449" t="inlineStr">
        <is>
          <t>Dog Days WAR Display</t>
        </is>
      </c>
      <c r="C449" t="inlineStr">
        <is>
          <t>https://wiki.warframe.com/w/Dog_Days | https://wiki.warframe.com/w/Decorations/Orbiter_Decorations</t>
        </is>
      </c>
      <c r="D449" t="inlineStr">
        <is>
          <t>ExportResources</t>
        </is>
      </c>
      <c r="F449" t="inlineStr">
        <is>
          <t>Dog Days WAR Display</t>
        </is>
      </c>
      <c r="H449" t="inlineStr">
        <is>
          <t>Solved: current place verified and archived 2026-10-16.</t>
        </is>
      </c>
      <c r="I449" t="inlineStr">
        <is>
          <t>Resources</t>
        </is>
      </c>
      <c r="M449" t="inlineStr">
        <is>
          <t>Purchase from the Dog Days event store for 175 Nakak Pearls.</t>
        </is>
      </c>
      <c r="N449" t="inlineStr">
        <is>
          <t>Dog Days | Decorations/Orbiter Decorations | Update 36</t>
        </is>
      </c>
      <c r="O449" t="inlineStr">
        <is>
          <t>We copied where it comes from off the wiki page. See place from wiki page.</t>
        </is>
      </c>
    </row>
    <row r="450">
      <c r="A450" t="inlineStr">
        <is>
          <t>/Lotus/Types/Items/ShipDecos/LisetPropCleaningDroneColorThree</t>
        </is>
      </c>
      <c r="B450" t="inlineStr">
        <is>
          <t>Domestik Badboi Drone</t>
        </is>
      </c>
      <c r="C450" t="inlineStr">
        <is>
          <t>https://wiki.warframe.com/w/Domestik_Drone | https://wiki.warframe.com/w/Kinemantik_Instant_Messenger/The_Hex</t>
        </is>
      </c>
      <c r="D450" t="inlineStr">
        <is>
          <t>ExportResources</t>
        </is>
      </c>
      <c r="F450" t="inlineStr">
        <is>
          <t>Domestik Badboi Drone</t>
        </is>
      </c>
      <c r="H450" t="inlineStr">
        <is>
          <t>Solved: current place verified and archived 2026-10-16.</t>
        </is>
      </c>
      <c r="I450" t="inlineStr">
        <is>
          <t>Resources</t>
        </is>
      </c>
      <c r="M450" t="inlineStr">
        <is>
          <t>In-game Market for 100 Platinum, or as part of the Domestik Drones Bundle for 400 Platinum.</t>
        </is>
      </c>
      <c r="N450" t="inlineStr">
        <is>
          <t>Domestik Drone</t>
        </is>
      </c>
      <c r="O450" t="inlineStr">
        <is>
          <t>Saved a concrete acquisition place from the official Warframe Wiki. Domestik Drone page table.</t>
        </is>
      </c>
    </row>
    <row r="451">
      <c r="A451" t="inlineStr">
        <is>
          <t>/Lotus/Types/Items/ShipDecos/LisetPropCleaningDroneCaliberChicks</t>
        </is>
      </c>
      <c r="B451" t="inlineStr">
        <is>
          <t>Domestik Caliber Drone</t>
        </is>
      </c>
      <c r="C451" t="inlineStr">
        <is>
          <t>https://wiki.warframe.com/w/Domestik_Drone | https://wiki.warframe.com/w/Base_of_Operations | https://wiki.warframe.com/w/Caliber_Chicks_Collection | https://wiki.warframe.com/w/Pride_(Event) | https://wiki.warframe.com/w/Decorations</t>
        </is>
      </c>
      <c r="D451" t="inlineStr">
        <is>
          <t>ExportResources</t>
        </is>
      </c>
      <c r="F451" t="inlineStr">
        <is>
          <t>Domestik Caliber Drone</t>
        </is>
      </c>
      <c r="H451" t="inlineStr">
        <is>
          <t>Solved: current place verified and archived 2026-10-16.</t>
        </is>
      </c>
      <c r="I451" t="inlineStr">
        <is>
          <t>Resources</t>
        </is>
      </c>
      <c r="M451" t="inlineStr">
        <is>
          <t>In-game Market for 100 Platinum.</t>
        </is>
      </c>
      <c r="N451" t="inlineStr">
        <is>
          <t>Domestik Drone | Base of Operations | Caliber Chicks Collection | Pride (Event) | Decorations</t>
        </is>
      </c>
      <c r="O451" t="inlineStr">
        <is>
          <t>We copied where it comes from off the wiki page. See place from wiki page.</t>
        </is>
      </c>
    </row>
    <row r="452">
      <c r="A452" t="inlineStr">
        <is>
          <t>/Lotus/Types/Items/ShipDecos/LisetPropCleaningDroneInfested</t>
        </is>
      </c>
      <c r="B452" t="inlineStr">
        <is>
          <t>Domestik Carrion Drone</t>
        </is>
      </c>
      <c r="C452" t="inlineStr">
        <is>
          <t>https://wiki.warframe.com/w/Domestik_Drone | https://wiki.warframe.com/w/Third_Party_Deals_and_Rewards</t>
        </is>
      </c>
      <c r="D452" t="inlineStr">
        <is>
          <t>ExportResources</t>
        </is>
      </c>
      <c r="F452" t="inlineStr">
        <is>
          <t>Domestik Carrion Drone</t>
        </is>
      </c>
      <c r="H452" t="inlineStr">
        <is>
          <t>Solved: current place verified and archived 2026-10-16.</t>
        </is>
      </c>
      <c r="I452" t="inlineStr">
        <is>
          <t>Resources</t>
        </is>
      </c>
      <c r="M452" t="inlineStr">
        <is>
          <t>In-game Market for 100 Platinum, or in the Deimos Tribute Pack for 465 Platinum.</t>
        </is>
      </c>
      <c r="N452" t="inlineStr">
        <is>
          <t>Domestik Drone</t>
        </is>
      </c>
      <c r="O452" t="inlineStr">
        <is>
          <t>Saved a concrete acquisition place from the official Warframe Wiki. Domestik Drone page table.</t>
        </is>
      </c>
    </row>
    <row r="453">
      <c r="A453" t="inlineStr">
        <is>
          <t>/Lotus/Types/Items/ShipDecos/LisetPropOrokinMaggot</t>
        </is>
      </c>
      <c r="B453" t="inlineStr">
        <is>
          <t>Domestik Carrion Drone</t>
        </is>
      </c>
      <c r="C453" t="inlineStr">
        <is>
          <t>https://wiki.warframe.com/w/Domestik_Drone | https://wiki.warframe.com/w/Third_Party_Deals_and_Rewards</t>
        </is>
      </c>
      <c r="D453" t="inlineStr">
        <is>
          <t>ExportResources</t>
        </is>
      </c>
      <c r="F453" t="inlineStr">
        <is>
          <t>Domestik Carrion Drone</t>
        </is>
      </c>
      <c r="H453" t="inlineStr">
        <is>
          <t>Solved: current place verified and archived 2026-10-16.</t>
        </is>
      </c>
      <c r="I453" t="inlineStr">
        <is>
          <t>Resources</t>
        </is>
      </c>
      <c r="M453" t="inlineStr">
        <is>
          <t>In-game Market for 100 Platinum, or in the Deimos Tribute Pack for 465 Platinum.</t>
        </is>
      </c>
      <c r="N453" t="inlineStr">
        <is>
          <t>Domestik Drone</t>
        </is>
      </c>
      <c r="O453" t="inlineStr">
        <is>
          <t>Saved a concrete acquisition place from the official Warframe Wiki. Domestik Drone page table.</t>
        </is>
      </c>
    </row>
    <row r="454">
      <c r="A454" t="inlineStr">
        <is>
          <t>/Lotus/Types/Items/ShipDecos/LisetPropCleaningDroneColorOne</t>
        </is>
      </c>
      <c r="B454" t="inlineStr">
        <is>
          <t>Domestik Chapp Drone</t>
        </is>
      </c>
      <c r="C454" t="inlineStr">
        <is>
          <t>https://wiki.warframe.com/w/Pride_(Event) | https://wiki.warframe.com/w/Domestik_Drone</t>
        </is>
      </c>
      <c r="D454" t="inlineStr">
        <is>
          <t>ExportResources</t>
        </is>
      </c>
      <c r="F454" t="inlineStr">
        <is>
          <t>Domestik Chapp Drone</t>
        </is>
      </c>
      <c r="H454" t="inlineStr">
        <is>
          <t>Solved: current place verified and archived 2026-10-16.</t>
        </is>
      </c>
      <c r="I454" t="inlineStr">
        <is>
          <t>Resources</t>
        </is>
      </c>
      <c r="M454" t="inlineStr">
        <is>
          <t>Twitch drop during a Pride creator stream; Pride is held each June.</t>
        </is>
      </c>
      <c r="N454" t="inlineStr">
        <is>
          <t>Pride (Event)</t>
        </is>
      </c>
      <c r="O454" t="inlineStr">
        <is>
          <t>Saved a concrete acquisition place from the official Warframe Wiki. Pride event page lists it under Featured Creator Streams and Drops.</t>
        </is>
      </c>
    </row>
    <row r="455">
      <c r="A455" t="inlineStr">
        <is>
          <t>/Lotus/Types/Items/ShipDecos/LisetPropCleaningDroneDaybreak</t>
        </is>
      </c>
      <c r="B455" t="inlineStr">
        <is>
          <t>Domestik Daybreak Drone</t>
        </is>
      </c>
      <c r="C455" t="inlineStr">
        <is>
          <t>https://wiki.warframe.com/w/Domestik_Drone | https://wiki.warframe.com/w/Tactical_Alert/Archive</t>
        </is>
      </c>
      <c r="D455" t="inlineStr">
        <is>
          <t>ExportResources</t>
        </is>
      </c>
      <c r="F455" t="inlineStr">
        <is>
          <t>Domestik Daybreak Drone</t>
        </is>
      </c>
      <c r="H455" t="inlineStr">
        <is>
          <t>Solved: current place verified and archived 2026-10-16.</t>
        </is>
      </c>
      <c r="I455" t="inlineStr">
        <is>
          <t>Resources</t>
        </is>
      </c>
      <c r="M455" t="inlineStr">
        <is>
          <t>Dog Days 2026 event reward.</t>
        </is>
      </c>
      <c r="N455" t="inlineStr">
        <is>
          <t>Domestik Drone</t>
        </is>
      </c>
      <c r="O455" t="inlineStr">
        <is>
          <t>Saved a concrete acquisition place from the official Warframe Wiki. Domestik Drone page table.</t>
        </is>
      </c>
    </row>
    <row r="456">
      <c r="A456" t="inlineStr">
        <is>
          <t>/Lotus/Types/Items/ShipDecos/LisetPropCleaningDrone</t>
        </is>
      </c>
      <c r="B456" t="inlineStr">
        <is>
          <t>Domestik Drone</t>
        </is>
      </c>
      <c r="C456" t="inlineStr">
        <is>
          <t>https://wiki.warframe.com/w/Domestik_Drone</t>
        </is>
      </c>
      <c r="D456" t="inlineStr">
        <is>
          <t>ExportResources</t>
        </is>
      </c>
      <c r="F456" t="inlineStr">
        <is>
          <t>Domestik Drone</t>
        </is>
      </c>
      <c r="G456" t="inlineStr">
        <is>
          <t>Domestik Drone</t>
        </is>
      </c>
      <c r="H456" t="inlineStr">
        <is>
          <t>Solved: current place verified and archived 2026-10-16.</t>
        </is>
      </c>
      <c r="I456" t="inlineStr">
        <is>
          <t>Resources</t>
        </is>
      </c>
      <c r="J456" t="inlineStr">
        <is>
          <t>Codex_data</t>
        </is>
      </c>
      <c r="K456" t="inlineStr">
        <is>
          <t>name or path</t>
        </is>
      </c>
      <c r="L456" t="inlineStr">
        <is>
          <t>Baro_data</t>
        </is>
      </c>
      <c r="M456" t="inlineStr">
        <is>
          <t>In-game Market for 100 Platinum, or in the Domestik Drones Bundle.</t>
        </is>
      </c>
      <c r="N456" t="inlineStr">
        <is>
          <t>Domestik Drone</t>
        </is>
      </c>
      <c r="O456" t="inlineStr">
        <is>
          <t>Saved a concrete acquisition place from the official Warframe Wiki.</t>
        </is>
      </c>
    </row>
    <row r="457">
      <c r="A457" t="inlineStr">
        <is>
          <t>/Lotus/Types/Items/ShipDecos/LisetPropCleaningDroneColorFive</t>
        </is>
      </c>
      <c r="B457" t="inlineStr">
        <is>
          <t>Domestik Mood Drone</t>
        </is>
      </c>
      <c r="C457" t="inlineStr">
        <is>
          <t>https://wiki.warframe.com/w/Domestik_Drone</t>
        </is>
      </c>
      <c r="D457" t="inlineStr">
        <is>
          <t>ExportResources</t>
        </is>
      </c>
      <c r="F457" t="inlineStr">
        <is>
          <t>Domestik Mood Drone</t>
        </is>
      </c>
      <c r="H457" t="inlineStr">
        <is>
          <t>Solved: current place verified and archived 2026-10-16.</t>
        </is>
      </c>
      <c r="I457" t="inlineStr">
        <is>
          <t>Resources</t>
        </is>
      </c>
      <c r="M457" t="inlineStr">
        <is>
          <t>In-game Market for 100 Platinum, or as part of the Domestik Drones Bundle for 400 Platinum.</t>
        </is>
      </c>
      <c r="N457" t="inlineStr">
        <is>
          <t>Domestik Drone</t>
        </is>
      </c>
      <c r="O457" t="inlineStr">
        <is>
          <t>Saved a concrete acquisition place from the official Warframe Wiki. Domestik Drone page table.</t>
        </is>
      </c>
    </row>
    <row r="458">
      <c r="A458" t="inlineStr">
        <is>
          <t>/Lotus/Types/Items/ShipDecos/LisetPropCleaningDroneColorTwo</t>
        </is>
      </c>
      <c r="B458" t="inlineStr">
        <is>
          <t>Domestik Snobb Drone</t>
        </is>
      </c>
      <c r="C458" t="inlineStr">
        <is>
          <t>https://wiki.warframe.com/w/Domestik_Drone</t>
        </is>
      </c>
      <c r="D458" t="inlineStr">
        <is>
          <t>ExportResources</t>
        </is>
      </c>
      <c r="F458" t="inlineStr">
        <is>
          <t>Domestik Snobb Drone</t>
        </is>
      </c>
      <c r="H458" t="inlineStr">
        <is>
          <t>Solved: current place verified and archived 2026-10-16.</t>
        </is>
      </c>
      <c r="I458" t="inlineStr">
        <is>
          <t>Resources</t>
        </is>
      </c>
      <c r="M458" t="inlineStr">
        <is>
          <t>In-game Market for 100 Platinum, or as part of the Domestik Drones Bundle for 400 Platinum.</t>
        </is>
      </c>
      <c r="N458" t="inlineStr">
        <is>
          <t>Domestik Drone</t>
        </is>
      </c>
      <c r="O458" t="inlineStr">
        <is>
          <t>Saved a concrete acquisition place from the official Warframe Wiki. Domestik Drone page table.</t>
        </is>
      </c>
    </row>
    <row r="459">
      <c r="A459" t="inlineStr">
        <is>
          <t>/Lotus/Types/Items/ShipDecos/LisetPropCleaningDroneTwitch</t>
        </is>
      </c>
      <c r="B459" t="inlineStr">
        <is>
          <t>Domestik Verv Drone</t>
        </is>
      </c>
      <c r="C459" t="inlineStr">
        <is>
          <t>https://wiki.warframe.com/w/Domestik_Drone | https://wiki.warframe.com/w/Varzia</t>
        </is>
      </c>
      <c r="D459" t="inlineStr">
        <is>
          <t>ExportResources</t>
        </is>
      </c>
      <c r="F459" t="inlineStr">
        <is>
          <t>Domestik Verv Drone</t>
        </is>
      </c>
      <c r="H459" t="inlineStr">
        <is>
          <t>Solved: current place verified and archived 2026-10-16.</t>
        </is>
      </c>
      <c r="I459" t="inlineStr">
        <is>
          <t>Resources</t>
        </is>
      </c>
      <c r="M459" t="inlineStr">
        <is>
          <t>Purchase from Varzia for 7 Aya.</t>
        </is>
      </c>
      <c r="N459" t="inlineStr">
        <is>
          <t>Domestik Drone | Varzia</t>
        </is>
      </c>
      <c r="O459" t="inlineStr">
        <is>
          <t>We copied where it comes from off the wiki page. See place from wiki page.</t>
        </is>
      </c>
    </row>
    <row r="460">
      <c r="A460" t="inlineStr">
        <is>
          <t>/Lotus/Types/Items/ShipDecos/LisetPropCleaningDroneColorFour</t>
        </is>
      </c>
      <c r="B460" t="inlineStr">
        <is>
          <t>Domestik Zoney Drone</t>
        </is>
      </c>
      <c r="C460" t="inlineStr">
        <is>
          <t>https://wiki.warframe.com/w/Domestik_Drone | https://wiki.warframe.com/w/Kinemantik_Instant_Messenger/The_Hex</t>
        </is>
      </c>
      <c r="D460" t="inlineStr">
        <is>
          <t>ExportResources</t>
        </is>
      </c>
      <c r="F460" t="inlineStr">
        <is>
          <t>Domestik Zoney Drone</t>
        </is>
      </c>
      <c r="H460" t="inlineStr">
        <is>
          <t>Solved: current place verified and archived 2026-10-16.</t>
        </is>
      </c>
      <c r="I460" t="inlineStr">
        <is>
          <t>Resources</t>
        </is>
      </c>
      <c r="M460" t="inlineStr">
        <is>
          <t>In-game Market for 100 Platinum, or as part of the Domestik Drones Bundle for 400 Platinum.</t>
        </is>
      </c>
      <c r="N460" t="inlineStr">
        <is>
          <t>Domestik Drone</t>
        </is>
      </c>
      <c r="O460" t="inlineStr">
        <is>
          <t>Saved a concrete acquisition place from the official Warframe Wiki. Domestik Drone page table.</t>
        </is>
      </c>
    </row>
    <row r="461">
      <c r="A461" t="inlineStr">
        <is>
          <t>/Lotus/Types/Items/PhotoBooth/Vania/PhotoboothTileMallHubTennoProtoRelayBase</t>
        </is>
      </c>
      <c r="B461" t="inlineStr">
        <is>
          <t>Dominion of Höllvandeim Scene</t>
        </is>
      </c>
      <c r="C461" t="inlineStr">
        <is>
          <t>https://wiki.warframe.com/w/Fables_%26_Frontiers | https://wiki.warframe.com/w/Amir | https://wiki.warframe.com/w/Captura</t>
        </is>
      </c>
      <c r="D461" t="inlineStr">
        <is>
          <t>ExportResources</t>
        </is>
      </c>
      <c r="F461" t="inlineStr">
        <is>
          <t>Dominion of Höllvandeim Scene</t>
        </is>
      </c>
      <c r="H461" t="inlineStr">
        <is>
          <t>Solved: current place verified and archived 2026-10-16.</t>
        </is>
      </c>
      <c r="I461" t="inlineStr">
        <is>
          <t>Resources</t>
        </is>
      </c>
      <c r="M461" t="inlineStr">
        <is>
          <t>Purchase from Amir's Fables &amp; Frontiers store for 25,000 Standing.</t>
        </is>
      </c>
      <c r="N461" t="inlineStr">
        <is>
          <t>Fables &amp; Frontiers | Amir | Captura | Update 43: Jade Shadows: Constellations</t>
        </is>
      </c>
      <c r="O461" t="inlineStr">
        <is>
          <t>We copied where it comes from off the wiki page. See place from wiki page.</t>
        </is>
      </c>
    </row>
    <row r="462">
      <c r="A462" t="inlineStr">
        <is>
          <t>/Lotus/Types/Recipes/Weapons/WeaponParts/TnDagathBladeWhipBlade</t>
        </is>
      </c>
      <c r="B462" t="inlineStr">
        <is>
          <t>Dorrclave Blade</t>
        </is>
      </c>
      <c r="C462" t="inlineStr">
        <is>
          <t>https://wiki.warframe.com/w/Vainthorn</t>
        </is>
      </c>
      <c r="D462" t="inlineStr">
        <is>
          <t>ExportResources</t>
        </is>
      </c>
      <c r="F462" t="inlineStr">
        <is>
          <t>Dorrclave Blade</t>
        </is>
      </c>
      <c r="H462" t="inlineStr">
        <is>
          <t>Solved: current place verified and archived 2026-10-16.</t>
        </is>
      </c>
      <c r="I462" t="inlineStr">
        <is>
          <t>Resources</t>
        </is>
      </c>
      <c r="L462" t="inlineStr">
        <is>
          <t>Research_data</t>
        </is>
      </c>
      <c r="M462" t="inlineStr">
        <is>
          <t>Component blueprint from Dagath's Hollow in the Clan Dojo.</t>
        </is>
      </c>
      <c r="N462" t="inlineStr">
        <is>
          <t>Dorrclave</t>
        </is>
      </c>
      <c r="O462" t="inlineStr">
        <is>
          <t>Saved a concrete acquisition place from the official Warframe Wiki. Dorrclave page Acquisition.</t>
        </is>
      </c>
    </row>
    <row r="463">
      <c r="A463" t="inlineStr">
        <is>
          <t>/Lotus/Types/Recipes/Weapons/WeaponParts/TnDagathBladeWhipHilt</t>
        </is>
      </c>
      <c r="B463" t="inlineStr">
        <is>
          <t>Dorrclave Hilt</t>
        </is>
      </c>
      <c r="C463" t="inlineStr">
        <is>
          <t>https://wiki.warframe.com/w/Vainthorn</t>
        </is>
      </c>
      <c r="D463" t="inlineStr">
        <is>
          <t>ExportResources</t>
        </is>
      </c>
      <c r="F463" t="inlineStr">
        <is>
          <t>Dorrclave Hilt</t>
        </is>
      </c>
      <c r="H463" t="inlineStr">
        <is>
          <t>Solved: current place verified and archived 2026-10-16.</t>
        </is>
      </c>
      <c r="I463" t="inlineStr">
        <is>
          <t>Resources</t>
        </is>
      </c>
      <c r="L463" t="inlineStr">
        <is>
          <t>Research_data</t>
        </is>
      </c>
      <c r="M463" t="inlineStr">
        <is>
          <t>Component blueprint from Dagath's Hollow in the Clan Dojo.</t>
        </is>
      </c>
      <c r="N463" t="inlineStr">
        <is>
          <t>Dorrclave</t>
        </is>
      </c>
      <c r="O463" t="inlineStr">
        <is>
          <t>Saved a concrete acquisition place from the official Warframe Wiki. Dorrclave page Acquisition.</t>
        </is>
      </c>
    </row>
    <row r="464">
      <c r="A464" t="inlineStr">
        <is>
          <t>/Lotus/Types/Recipes/Weapons/WeaponParts/TnDagathBladeWhipHook</t>
        </is>
      </c>
      <c r="B464" t="inlineStr">
        <is>
          <t>Dorrclave Hook</t>
        </is>
      </c>
      <c r="C464" t="inlineStr">
        <is>
          <t>https://wiki.warframe.com/w/Vainthorn</t>
        </is>
      </c>
      <c r="D464" t="inlineStr">
        <is>
          <t>ExportResources</t>
        </is>
      </c>
      <c r="F464" t="inlineStr">
        <is>
          <t>Dorrclave Hook</t>
        </is>
      </c>
      <c r="H464" t="inlineStr">
        <is>
          <t>Solved: current place verified and archived 2026-10-16.</t>
        </is>
      </c>
      <c r="I464" t="inlineStr">
        <is>
          <t>Resources</t>
        </is>
      </c>
      <c r="L464" t="inlineStr">
        <is>
          <t>Research_data</t>
        </is>
      </c>
      <c r="M464" t="inlineStr">
        <is>
          <t>Component blueprint from Dagath's Hollow in the Clan Dojo.</t>
        </is>
      </c>
      <c r="N464" t="inlineStr">
        <is>
          <t>Dorrclave</t>
        </is>
      </c>
      <c r="O464" t="inlineStr">
        <is>
          <t>Saved a concrete acquisition place from the official Warframe Wiki. Dorrclave page Acquisition.</t>
        </is>
      </c>
    </row>
    <row r="465">
      <c r="A465" t="inlineStr">
        <is>
          <t>/Lotus/Types/Recipes/Weapons/WeaponParts/TnDagathBladeWhipString</t>
        </is>
      </c>
      <c r="B465" t="inlineStr">
        <is>
          <t>Dorrclave String</t>
        </is>
      </c>
      <c r="C465" t="inlineStr">
        <is>
          <t>https://wiki.warframe.com/w/Vainthorn | https://wiki.warframe.com/w/Oxium</t>
        </is>
      </c>
      <c r="D465" t="inlineStr">
        <is>
          <t>ExportResources</t>
        </is>
      </c>
      <c r="F465" t="inlineStr">
        <is>
          <t>Dorrclave String</t>
        </is>
      </c>
      <c r="H465" t="inlineStr">
        <is>
          <t>Solved: current place verified and archived 2026-10-16.</t>
        </is>
      </c>
      <c r="I465" t="inlineStr">
        <is>
          <t>Resources</t>
        </is>
      </c>
      <c r="L465" t="inlineStr">
        <is>
          <t>Research_data</t>
        </is>
      </c>
      <c r="M465" t="inlineStr">
        <is>
          <t>Component blueprint from Dagath's Hollow in the Clan Dojo.</t>
        </is>
      </c>
      <c r="N465" t="inlineStr">
        <is>
          <t>Dorrclave</t>
        </is>
      </c>
      <c r="O465" t="inlineStr">
        <is>
          <t>Saved a concrete acquisition place from the official Warframe Wiki. Dorrclave page Acquisition.</t>
        </is>
      </c>
    </row>
    <row r="466">
      <c r="A466" t="inlineStr">
        <is>
          <t>/Lotus/Types/Items/SongItems/DreadnaughtSongItem</t>
        </is>
      </c>
      <c r="B466" t="inlineStr">
        <is>
          <t>Dreadnaught</t>
        </is>
      </c>
      <c r="C466" t="inlineStr">
        <is>
          <t>https://wiki.warframe.com/w/Dreadnaught | https://wiki.warframe.com/w/Drip | https://wiki.warframe.com/w/Stained_Vespers</t>
        </is>
      </c>
      <c r="D466" t="inlineStr">
        <is>
          <t>ExportResources</t>
        </is>
      </c>
      <c r="F466" t="inlineStr">
        <is>
          <t>Dreadnaught</t>
        </is>
      </c>
      <c r="G466" t="inlineStr">
        <is>
          <t>Dreadnaught</t>
        </is>
      </c>
      <c r="H466" t="inlineStr">
        <is>
          <t>Solved: current place verified and archived 2026-10-16.</t>
        </is>
      </c>
      <c r="I466" t="inlineStr">
        <is>
          <t>Resources</t>
        </is>
      </c>
      <c r="M466" t="inlineStr">
        <is>
          <t>Somachord Tone from Aspirant Zorba for 200 Atramentum.</t>
        </is>
      </c>
      <c r="N466" t="inlineStr">
        <is>
          <t>Dreadnaught | Drip | Stained Vespers</t>
        </is>
      </c>
      <c r="O466" t="inlineStr">
        <is>
          <t>Saved a concrete acquisition place from the official Warframe Wiki.</t>
        </is>
      </c>
    </row>
    <row r="467">
      <c r="A467" t="inlineStr">
        <is>
          <t>/Lotus/Types/Items/ShipDecos/Plushies/PlushyDrillbitHuman</t>
        </is>
      </c>
      <c r="B467" t="inlineStr">
        <is>
          <t>Drillbit Floof</t>
        </is>
      </c>
      <c r="C467" t="inlineStr">
        <is>
          <t>https://wiki.warframe.com/w/Technocyte_Coda/Rewards | https://wiki.warframe.com/w/Adversary_System | https://wiki.warframe.com/w/Decorations/Orbiter_Decorations</t>
        </is>
      </c>
      <c r="D467" t="inlineStr">
        <is>
          <t>ExportResources</t>
        </is>
      </c>
      <c r="F467" t="inlineStr">
        <is>
          <t>Drillbit Floof</t>
        </is>
      </c>
      <c r="H467" t="inlineStr">
        <is>
          <t>Solved: current place verified and archived 2026-10-16.</t>
        </is>
      </c>
      <c r="I467" t="inlineStr">
        <is>
          <t>Resources</t>
        </is>
      </c>
      <c r="M467" t="inlineStr">
        <is>
          <t>Reward from vanquishing a Technocyte Coda (each Coda drops one Floof or Poster).</t>
        </is>
      </c>
      <c r="N467" t="inlineStr">
        <is>
          <t>Technocyte Coda/Rewards</t>
        </is>
      </c>
      <c r="O467" t="inlineStr">
        <is>
          <t>Saved a concrete acquisition place from the official Warframe Wiki. Rewards page: Coda pulls its second cosmetic drop from a Floof or Poster pool.</t>
        </is>
      </c>
    </row>
    <row r="468">
      <c r="A468" t="inlineStr">
        <is>
          <t>/Lotus/Types/Items/SongItems/DripSongItem</t>
        </is>
      </c>
      <c r="B468" t="inlineStr">
        <is>
          <t>Drip</t>
        </is>
      </c>
      <c r="C468" t="inlineStr">
        <is>
          <t>https://wiki.warframe.com/w/Dreadnaught | https://wiki.warframe.com/w/Drip | https://wiki.warframe.com/w/Stained_Vespers</t>
        </is>
      </c>
      <c r="D468" t="inlineStr">
        <is>
          <t>ExportResources</t>
        </is>
      </c>
      <c r="F468" t="inlineStr">
        <is>
          <t>Drip</t>
        </is>
      </c>
      <c r="G468" t="inlineStr">
        <is>
          <t>Drip</t>
        </is>
      </c>
      <c r="H468" t="inlineStr">
        <is>
          <t>Solved: current place verified and archived 2026-10-16.</t>
        </is>
      </c>
      <c r="I468" t="inlineStr">
        <is>
          <t>Resources</t>
        </is>
      </c>
      <c r="M468" t="inlineStr">
        <is>
          <t>Somachord Tone from Aspirant Zorba for 200 Atramentum.</t>
        </is>
      </c>
      <c r="N468" t="inlineStr">
        <is>
          <t>Dreadnaught | Drip | Stained Vespers</t>
        </is>
      </c>
      <c r="O468" t="inlineStr">
        <is>
          <t>Saved a concrete acquisition place from the official Warframe Wiki.</t>
        </is>
      </c>
    </row>
    <row r="469">
      <c r="A469" t="inlineStr">
        <is>
          <t>/Lotus/Types/Items/ShipDecos/Plushies/PlushyDrippy</t>
        </is>
      </c>
      <c r="B469" t="inlineStr">
        <is>
          <t>Drippy Floof</t>
        </is>
      </c>
      <c r="C469" t="inlineStr">
        <is>
          <t>https://wiki.warframe.com/w/Nightwave/Amir's_Shockwave | https://wiki.warframe.com/w/Decorations/Orbiter_Decorations | https://wiki.warframe.com/w/Drippy</t>
        </is>
      </c>
      <c r="D469" t="inlineStr">
        <is>
          <t>ExportResources</t>
        </is>
      </c>
      <c r="F469" t="inlineStr">
        <is>
          <t>Drippy Floof</t>
        </is>
      </c>
      <c r="H469" t="inlineStr">
        <is>
          <t>Solved: current place verified and archived 2026-10-16.</t>
        </is>
      </c>
      <c r="I469" t="inlineStr">
        <is>
          <t>Resources</t>
        </is>
      </c>
      <c r="M469" t="inlineStr">
        <is>
          <t>Reward from Nightwave: Amir's Shockwave (rank 2).</t>
        </is>
      </c>
      <c r="N469" t="inlineStr">
        <is>
          <t>Nightwave/Amir's Shockwave | Update 43: Jade Shadows: Constellations | Decorations/Orbiter Decorations | Drippy</t>
        </is>
      </c>
      <c r="O469" t="inlineStr">
        <is>
          <t>We copied where it comes from off the wiki page. See place from wiki page.</t>
        </is>
      </c>
    </row>
    <row r="470">
      <c r="A470" t="inlineStr">
        <is>
          <t>/Lotus/Types/Recipes/Weapons/WeaponParts/DualZorenPrimeBlade</t>
        </is>
      </c>
      <c r="B470" t="inlineStr">
        <is>
          <t>Dual Zoren Prime Blade</t>
        </is>
      </c>
      <c r="C470" t="inlineStr">
        <is>
          <t>https://wiki.warframe.com/w/Duplicate_Prime_Parts_Required</t>
        </is>
      </c>
      <c r="D470" t="inlineStr">
        <is>
          <t>ExportResources</t>
        </is>
      </c>
      <c r="F470" t="inlineStr">
        <is>
          <t>Dual Zoren Prime Blade</t>
        </is>
      </c>
      <c r="H470" t="inlineStr">
        <is>
          <t>Solved: current place verified and archived 2026-10-16.</t>
        </is>
      </c>
      <c r="I470" t="inlineStr">
        <is>
          <t>Resources</t>
        </is>
      </c>
      <c r="J470" t="inlineStr">
        <is>
          <t>Axi D6 Relic (Rare) | Meso D9 Relic (Rare) | Neo D9 Relic (Rare)</t>
        </is>
      </c>
      <c r="K470" t="inlineStr">
        <is>
          <t>Void/data</t>
        </is>
      </c>
      <c r="L470" t="inlineStr">
        <is>
          <t>name</t>
        </is>
      </c>
      <c r="M470" t="inlineStr">
        <is>
          <t>Axi D6 and Meso D9 relic drops.</t>
        </is>
      </c>
      <c r="N470" t="inlineStr">
        <is>
          <t>Duplicate Prime Parts Required</t>
        </is>
      </c>
      <c r="O470" t="inlineStr">
        <is>
          <t>Saved a concrete acquisition place from the official Warframe Wiki. Relic pages (Axi D6, Meso D9) list Dual Zoren Prime Blade; the linked page only names the part.</t>
        </is>
      </c>
    </row>
    <row r="471">
      <c r="A471" t="inlineStr">
        <is>
          <t>/Lotus/Types/Recipes/Weapons/WeaponParts/DualZorenPrimeHandle</t>
        </is>
      </c>
      <c r="B471" t="inlineStr">
        <is>
          <t>Dual Zoren Prime Handle</t>
        </is>
      </c>
      <c r="C471" t="inlineStr">
        <is>
          <t>https://wiki.warframe.com/w/Dual_Zoren_Prime | https://wiki.warframe.com/w/Axi_S21 | https://wiki.warframe.com/w/Axi_A22 | https://wiki.warframe.com/w/Meso_D8 | https://wiki.warframe.com/w/Neo_A16</t>
        </is>
      </c>
      <c r="D471" t="inlineStr">
        <is>
          <t>ExportResources</t>
        </is>
      </c>
      <c r="F471" t="inlineStr">
        <is>
          <t>Dual Zoren Prime Handle</t>
        </is>
      </c>
      <c r="H471" t="inlineStr">
        <is>
          <t>Solved: current place verified and archived 2026-10-16.</t>
        </is>
      </c>
      <c r="I471" t="inlineStr">
        <is>
          <t>Resources</t>
        </is>
      </c>
      <c r="J471" t="inlineStr">
        <is>
          <t>Axi S20 Relic (Common) | Axi S21 Relic (Common) | Lith E2 Relic (Common) | Axi A22 Relic (Common) | Neo T10 Relic (Common) | Meso D8 Relic (Common) | Neo A16 Relic (Common) | Axi P8 Relic (Common)</t>
        </is>
      </c>
      <c r="K471" t="inlineStr">
        <is>
          <t>Void/data</t>
        </is>
      </c>
      <c r="L471" t="inlineStr">
        <is>
          <t>name</t>
        </is>
      </c>
      <c r="M471" t="inlineStr">
        <is>
          <t>Axi S21, Axi A22, Meso D8 and Neo A16 relic drops.</t>
        </is>
      </c>
      <c r="N471" t="inlineStr">
        <is>
          <t>Axi S21 | Axi A22 | Meso D8 | Neo A16</t>
        </is>
      </c>
      <c r="O471" t="inlineStr">
        <is>
          <t>Saved a concrete acquisition place from the official Warframe Wiki. Relic pages list this part in their reward table.</t>
        </is>
      </c>
    </row>
    <row r="472">
      <c r="A472" t="inlineStr">
        <is>
          <t>/Lotus/Types/Items/ShipDecos/Plants/Nokko/LisetPropZenCobraLotus</t>
        </is>
      </c>
      <c r="B472" t="inlineStr">
        <is>
          <t>Dusklight Sarracenia Decoration</t>
        </is>
      </c>
      <c r="C472" t="inlineStr">
        <is>
          <t>https://wiki.warframe.com/w/Nightcap</t>
        </is>
      </c>
      <c r="D472" t="inlineStr">
        <is>
          <t>ExportResources</t>
        </is>
      </c>
      <c r="F472" t="inlineStr">
        <is>
          <t>Dusklight Sarracenia Decoration</t>
        </is>
      </c>
      <c r="H472" t="inlineStr">
        <is>
          <t>Solved: current place verified and archived 2026-10-16.</t>
        </is>
      </c>
      <c r="I472" t="inlineStr">
        <is>
          <t>Resources</t>
        </is>
      </c>
      <c r="M472" t="inlineStr">
        <is>
          <t>Purchase from Nightcap's Nursery for 10 Fergolyte.</t>
        </is>
      </c>
      <c r="N472" t="inlineStr">
        <is>
          <t>Nightcap</t>
        </is>
      </c>
      <c r="O472" t="inlineStr">
        <is>
          <t>Saved a concrete acquisition place from the official Warframe Wiki. Nightcap page lists it in Offerings &gt; Nursery.</t>
        </is>
      </c>
    </row>
    <row r="473">
      <c r="A473" t="inlineStr">
        <is>
          <t>/Lotus/Types/Items/ShipDecos/Plants/Nokko/LisetPropDUVxFlowerGroupingE</t>
        </is>
      </c>
      <c r="B473" t="inlineStr">
        <is>
          <t>Duviri Amaryllis</t>
        </is>
      </c>
      <c r="C473" t="inlineStr">
        <is>
          <t>https://wiki.warframe.com/w/Acrithis | https://wiki.warframe.com/w/Decorations</t>
        </is>
      </c>
      <c r="D473" t="inlineStr">
        <is>
          <t>ExportResources</t>
        </is>
      </c>
      <c r="F473" t="inlineStr">
        <is>
          <t>Duviri Amaryllis</t>
        </is>
      </c>
      <c r="H473" t="inlineStr">
        <is>
          <t>Solved: current place verified and archived 2026-10-16.</t>
        </is>
      </c>
      <c r="I473" t="inlineStr">
        <is>
          <t>Resources</t>
        </is>
      </c>
      <c r="M473" t="inlineStr">
        <is>
          <t>Purchase from Acrithis in Duviri; decorations rotate every few hours.</t>
        </is>
      </c>
      <c r="N473" t="inlineStr">
        <is>
          <t>Acrithis</t>
        </is>
      </c>
      <c r="O473" t="inlineStr">
        <is>
          <t>Saved a concrete acquisition place from the official Warframe Wiki. Acrithis page Wares section lists it among the decorations.</t>
        </is>
      </c>
    </row>
    <row r="474">
      <c r="A474" t="inlineStr">
        <is>
          <t>/Lotus/Types/Items/ShipDecos/Plants/Nokko/LisetPropDuvArtichokesA</t>
        </is>
      </c>
      <c r="B474" t="inlineStr">
        <is>
          <t>Duviri Artichokes</t>
        </is>
      </c>
      <c r="C474" t="inlineStr">
        <is>
          <t>https://wiki.warframe.com/w/Acrithis | https://wiki.warframe.com/w/Decorations</t>
        </is>
      </c>
      <c r="D474" t="inlineStr">
        <is>
          <t>ExportResources</t>
        </is>
      </c>
      <c r="F474" t="inlineStr">
        <is>
          <t>Duviri Artichokes</t>
        </is>
      </c>
      <c r="H474" t="inlineStr">
        <is>
          <t>Solved: current place verified and archived 2026-10-16.</t>
        </is>
      </c>
      <c r="I474" t="inlineStr">
        <is>
          <t>Resources</t>
        </is>
      </c>
      <c r="M474" t="inlineStr">
        <is>
          <t>Purchase from Acrithis in Duviri; decorations rotate every few hours.</t>
        </is>
      </c>
      <c r="N474" t="inlineStr">
        <is>
          <t>Acrithis</t>
        </is>
      </c>
      <c r="O474" t="inlineStr">
        <is>
          <t>Saved a concrete acquisition place from the official Warframe Wiki. Acrithis page Wares section lists it among the decorations.</t>
        </is>
      </c>
    </row>
    <row r="475">
      <c r="A475" t="inlineStr">
        <is>
          <t>/Lotus/Types/Items/ShipDecos/Plants/Nokko/LisetPropDUVxBushA</t>
        </is>
      </c>
      <c r="B475" t="inlineStr">
        <is>
          <t>Duviri Bush</t>
        </is>
      </c>
      <c r="C475" t="inlineStr">
        <is>
          <t>https://wiki.warframe.com/w/Acrithis | https://wiki.warframe.com/w/Decorations</t>
        </is>
      </c>
      <c r="D475" t="inlineStr">
        <is>
          <t>ExportResources</t>
        </is>
      </c>
      <c r="F475" t="inlineStr">
        <is>
          <t>Duviri Bush</t>
        </is>
      </c>
      <c r="H475" t="inlineStr">
        <is>
          <t>Solved: current place verified and archived 2026-10-16.</t>
        </is>
      </c>
      <c r="I475" t="inlineStr">
        <is>
          <t>Resources</t>
        </is>
      </c>
      <c r="M475" t="inlineStr">
        <is>
          <t>Purchase from Acrithis in Duviri; decorations rotate every few hours.</t>
        </is>
      </c>
      <c r="N475" t="inlineStr">
        <is>
          <t>Acrithis</t>
        </is>
      </c>
      <c r="O475" t="inlineStr">
        <is>
          <t>Saved a concrete acquisition place from the official Warframe Wiki. Acrithis page Wares section lists it among the decorations.</t>
        </is>
      </c>
    </row>
    <row r="476">
      <c r="A476" t="inlineStr">
        <is>
          <t>/Lotus/Types/Items/ShipDecos/Plants/Nokko/LisetPropDuvTreeFractalShrubA</t>
        </is>
      </c>
      <c r="B476" t="inlineStr">
        <is>
          <t>Duviri Candleholder Bonsai</t>
        </is>
      </c>
      <c r="C476" t="inlineStr">
        <is>
          <t>https://wiki.warframe.com/w/Acrithis | https://wiki.warframe.com/w/Decorations</t>
        </is>
      </c>
      <c r="D476" t="inlineStr">
        <is>
          <t>ExportResources</t>
        </is>
      </c>
      <c r="F476" t="inlineStr">
        <is>
          <t>Duviri Candleholder Bonsai</t>
        </is>
      </c>
      <c r="H476" t="inlineStr">
        <is>
          <t>Solved: current place verified and archived 2026-10-16.</t>
        </is>
      </c>
      <c r="I476" t="inlineStr">
        <is>
          <t>Resources</t>
        </is>
      </c>
      <c r="M476" t="inlineStr">
        <is>
          <t>Purchase from Acrithis in Duviri; decorations rotate every few hours.</t>
        </is>
      </c>
      <c r="N476" t="inlineStr">
        <is>
          <t>Acrithis</t>
        </is>
      </c>
      <c r="O476" t="inlineStr">
        <is>
          <t>Saved a concrete acquisition place from the official Warframe Wiki. Acrithis page Wares section lists it among the decorations.</t>
        </is>
      </c>
    </row>
    <row r="477">
      <c r="A477" t="inlineStr">
        <is>
          <t>/Lotus/Types/Items/ShipDecos/Plants/Nokko/LisetPropDUVxFractalBushA</t>
        </is>
      </c>
      <c r="B477" t="inlineStr">
        <is>
          <t>Duviri Conifer Saplings</t>
        </is>
      </c>
      <c r="C477" t="inlineStr">
        <is>
          <t>https://wiki.warframe.com/w/Acrithis | https://wiki.warframe.com/w/Decorations</t>
        </is>
      </c>
      <c r="D477" t="inlineStr">
        <is>
          <t>ExportResources</t>
        </is>
      </c>
      <c r="F477" t="inlineStr">
        <is>
          <t>Duviri Conifer Saplings</t>
        </is>
      </c>
      <c r="H477" t="inlineStr">
        <is>
          <t>Solved: current place verified and archived 2026-10-16.</t>
        </is>
      </c>
      <c r="I477" t="inlineStr">
        <is>
          <t>Resources</t>
        </is>
      </c>
      <c r="M477" t="inlineStr">
        <is>
          <t>Purchase from Acrithis in Duviri; decorations rotate every few hours.</t>
        </is>
      </c>
      <c r="N477" t="inlineStr">
        <is>
          <t>Acrithis</t>
        </is>
      </c>
      <c r="O477" t="inlineStr">
        <is>
          <t>Saved a concrete acquisition place from the official Warframe Wiki. Acrithis page Wares section lists it among the decorations.</t>
        </is>
      </c>
    </row>
    <row r="478">
      <c r="A478" t="inlineStr">
        <is>
          <t>/Lotus/Types/Items/ShipDecos/Duviri/DUVxPlanterHangingPotC</t>
        </is>
      </c>
      <c r="B478" t="inlineStr">
        <is>
          <t>Duviri Esphal Planter</t>
        </is>
      </c>
      <c r="C478" t="inlineStr">
        <is>
          <t>https://wiki.warframe.com/w/Acrithis</t>
        </is>
      </c>
      <c r="D478" t="inlineStr">
        <is>
          <t>ExportResources</t>
        </is>
      </c>
      <c r="F478" t="inlineStr">
        <is>
          <t>Duviri Esphal Planter</t>
        </is>
      </c>
      <c r="H478" t="inlineStr">
        <is>
          <t>Solved: current place verified and archived 2026-10-16.</t>
        </is>
      </c>
      <c r="I478" t="inlineStr">
        <is>
          <t>Resources</t>
        </is>
      </c>
      <c r="M478" t="inlineStr">
        <is>
          <t>Purchase from Acrithis in Duviri; decorations rotate every few hours.</t>
        </is>
      </c>
      <c r="N478" t="inlineStr">
        <is>
          <t>Acrithis</t>
        </is>
      </c>
      <c r="O478" t="inlineStr">
        <is>
          <t>Saved a concrete acquisition place from the official Warframe Wiki. Acrithis page Wares section lists it among the decorations.</t>
        </is>
      </c>
    </row>
    <row r="479">
      <c r="A479" t="inlineStr">
        <is>
          <t>/Lotus/Types/Items/ShipDecos/Duviri/DUVxPlanterHangingPot</t>
        </is>
      </c>
      <c r="B479" t="inlineStr">
        <is>
          <t>Duviri Fenn Planter</t>
        </is>
      </c>
      <c r="C479" t="inlineStr">
        <is>
          <t>https://wiki.warframe.com/w/Acrithis</t>
        </is>
      </c>
      <c r="D479" t="inlineStr">
        <is>
          <t>ExportResources</t>
        </is>
      </c>
      <c r="F479" t="inlineStr">
        <is>
          <t>Duviri Fenn Planter</t>
        </is>
      </c>
      <c r="H479" t="inlineStr">
        <is>
          <t>Solved: current place verified and archived 2026-10-16.</t>
        </is>
      </c>
      <c r="I479" t="inlineStr">
        <is>
          <t>Resources</t>
        </is>
      </c>
      <c r="M479" t="inlineStr">
        <is>
          <t>Purchase from Acrithis in Duviri; decorations rotate every few hours.</t>
        </is>
      </c>
      <c r="N479" t="inlineStr">
        <is>
          <t>Acrithis</t>
        </is>
      </c>
      <c r="O479" t="inlineStr">
        <is>
          <t>Saved a concrete acquisition place from the official Warframe Wiki. Acrithis page Wares section lists it among the decorations.</t>
        </is>
      </c>
    </row>
    <row r="480">
      <c r="A480" t="inlineStr">
        <is>
          <t>/Lotus/Types/Items/ShipDecos/Duviri/DUVxPlanterHangingPotB</t>
        </is>
      </c>
      <c r="B480" t="inlineStr">
        <is>
          <t>Duviri Hyssic Planter</t>
        </is>
      </c>
      <c r="C480" t="inlineStr">
        <is>
          <t>https://wiki.warframe.com/w/Acrithis</t>
        </is>
      </c>
      <c r="D480" t="inlineStr">
        <is>
          <t>ExportResources</t>
        </is>
      </c>
      <c r="F480" t="inlineStr">
        <is>
          <t>Duviri Hyssic Planter</t>
        </is>
      </c>
      <c r="H480" t="inlineStr">
        <is>
          <t>Solved: current place verified and archived 2026-10-16.</t>
        </is>
      </c>
      <c r="I480" t="inlineStr">
        <is>
          <t>Resources</t>
        </is>
      </c>
      <c r="M480" t="inlineStr">
        <is>
          <t>Purchase from Acrithis in Duviri; decorations rotate every few hours.</t>
        </is>
      </c>
      <c r="N480" t="inlineStr">
        <is>
          <t>Acrithis</t>
        </is>
      </c>
      <c r="O480" t="inlineStr">
        <is>
          <t>Saved a concrete acquisition place from the official Warframe Wiki. Acrithis page Wares section lists it among the decorations.</t>
        </is>
      </c>
    </row>
    <row r="481">
      <c r="A481" t="inlineStr">
        <is>
          <t>/Lotus/Types/Items/ShipDecos/Plants/Nokko/LisetPropDUVxMushroomsB</t>
        </is>
      </c>
      <c r="B481" t="inlineStr">
        <is>
          <t>Duviri Polypores</t>
        </is>
      </c>
      <c r="C481" t="inlineStr">
        <is>
          <t>https://wiki.warframe.com/w/Acrithis | https://wiki.warframe.com/w/Decorations</t>
        </is>
      </c>
      <c r="D481" t="inlineStr">
        <is>
          <t>ExportResources</t>
        </is>
      </c>
      <c r="F481" t="inlineStr">
        <is>
          <t>Duviri Polypores</t>
        </is>
      </c>
      <c r="H481" t="inlineStr">
        <is>
          <t>Solved: current place verified and archived 2026-10-16.</t>
        </is>
      </c>
      <c r="I481" t="inlineStr">
        <is>
          <t>Resources</t>
        </is>
      </c>
      <c r="M481" t="inlineStr">
        <is>
          <t>Purchase from Acrithis in Duviri; decorations rotate every few hours.</t>
        </is>
      </c>
      <c r="N481" t="inlineStr">
        <is>
          <t>Acrithis</t>
        </is>
      </c>
      <c r="O481" t="inlineStr">
        <is>
          <t>Saved a concrete acquisition place from the official Warframe Wiki. Acrithis page Wares section lists it among the decorations.</t>
        </is>
      </c>
    </row>
    <row r="482">
      <c r="A482" t="inlineStr">
        <is>
          <t>/Lotus/Types/Items/ShipDecos/Plants/Nokko/LisetPropDUVxFoliageShrub</t>
        </is>
      </c>
      <c r="B482" t="inlineStr">
        <is>
          <t>Duviri Shrub</t>
        </is>
      </c>
      <c r="C482" t="inlineStr">
        <is>
          <t>https://wiki.warframe.com/w/Acrithis | https://wiki.warframe.com/w/Decorations</t>
        </is>
      </c>
      <c r="D482" t="inlineStr">
        <is>
          <t>ExportResources</t>
        </is>
      </c>
      <c r="F482" t="inlineStr">
        <is>
          <t>Duviri Shrub</t>
        </is>
      </c>
      <c r="H482" t="inlineStr">
        <is>
          <t>Solved: current place verified and archived 2026-10-16.</t>
        </is>
      </c>
      <c r="I482" t="inlineStr">
        <is>
          <t>Resources</t>
        </is>
      </c>
      <c r="M482" t="inlineStr">
        <is>
          <t>Purchase from Acrithis in Duviri; decorations rotate every few hours.</t>
        </is>
      </c>
      <c r="N482" t="inlineStr">
        <is>
          <t>Acrithis</t>
        </is>
      </c>
      <c r="O482" t="inlineStr">
        <is>
          <t>Saved a concrete acquisition place from the official Warframe Wiki. Acrithis page Wares section lists it among the decorations.</t>
        </is>
      </c>
    </row>
    <row r="483">
      <c r="A483" t="inlineStr">
        <is>
          <t>/Lotus/Types/Items/ShipFeatureItems/Railjack/RailjackHoodFeatureItem</t>
        </is>
      </c>
      <c r="B483" t="inlineStr">
        <is>
          <t>ENGINE COWLING</t>
        </is>
      </c>
      <c r="C483" t="inlineStr">
        <is>
          <t>https://wiki.warframe.com/w/Rising_Tide/Transcript | https://wiki.warframe.com/w/Rising_Tide | https://wiki.warframe.com/w/Detonite_Ampule</t>
        </is>
      </c>
      <c r="D483" t="inlineStr">
        <is>
          <t>ExportResources</t>
        </is>
      </c>
      <c r="F483" t="inlineStr">
        <is>
          <t>ENGINE COWLING</t>
        </is>
      </c>
      <c r="H483" t="inlineStr">
        <is>
          <t>Solved: current place verified and archived 2026-10-16.</t>
        </is>
      </c>
      <c r="I483" t="inlineStr">
        <is>
          <t>Resources</t>
        </is>
      </c>
      <c r="M483" t="inlineStr">
        <is>
          <t>Recover it on Orias, Europa during the Rising Tide quest, then repair it in the Dry Dock.</t>
        </is>
      </c>
      <c r="N483" t="inlineStr">
        <is>
          <t>Rising Tide</t>
        </is>
      </c>
      <c r="O483" t="inlineStr">
        <is>
          <t>Saved a concrete acquisition place from the official Warframe Wiki. Rising Tide page lists the recovery mission and Dry Dock repair.</t>
        </is>
      </c>
    </row>
    <row r="484">
      <c r="A484" t="inlineStr">
        <is>
          <t>/Lotus/Types/Items/ShipDecos/Props/LisetPropLASxEfervonSampleCluster</t>
        </is>
      </c>
      <c r="B484" t="inlineStr">
        <is>
          <t>Efervon Sample Stockpile Decoration</t>
        </is>
      </c>
      <c r="C484" t="inlineStr">
        <is>
          <t>https://wiki.warframe.com/w/Velimir</t>
        </is>
      </c>
      <c r="D484" t="inlineStr">
        <is>
          <t>ExportResources</t>
        </is>
      </c>
      <c r="F484" t="inlineStr">
        <is>
          <t>Efervon Sample Stockpile Decoration</t>
        </is>
      </c>
      <c r="H484" t="inlineStr">
        <is>
          <t>Solved: current place verified and archived 2026-10-16.</t>
        </is>
      </c>
      <c r="I484" t="inlineStr">
        <is>
          <t>Resources</t>
        </is>
      </c>
      <c r="M484" t="inlineStr">
        <is>
          <t>Purchase from Velimir (The Hex) for 5,000 Standing at Rank 5 (Pizza Party).</t>
        </is>
      </c>
      <c r="N484" t="inlineStr">
        <is>
          <t>Velimir</t>
        </is>
      </c>
      <c r="O484" t="inlineStr">
        <is>
          <t>Saved a concrete acquisition place from the official Warframe Wiki. Velimir page lists it in Offerings.</t>
        </is>
      </c>
    </row>
    <row r="485">
      <c r="A485" t="inlineStr">
        <is>
          <t>/Lotus/Types/Items/ShipDecos/Vignettes/Enemies/TeralystBigAFItem</t>
        </is>
      </c>
      <c r="B485" t="inlineStr">
        <is>
          <t>Eidolon Gantulyst Articula</t>
        </is>
      </c>
      <c r="C485" t="inlineStr">
        <is>
          <t>https://wiki.warframe.com/w/Eidolon_Gantulyst | https://wiki.warframe.com/w/Decorations/Orbiter_Decorations</t>
        </is>
      </c>
      <c r="D485" t="inlineStr">
        <is>
          <t>ExportResources</t>
        </is>
      </c>
      <c r="F485" t="inlineStr">
        <is>
          <t>Eidolon Gantulyst Articula</t>
        </is>
      </c>
      <c r="H485" t="inlineStr">
        <is>
          <t>Solved: current place verified and archived 2026-10-16.</t>
        </is>
      </c>
      <c r="I485" t="inlineStr">
        <is>
          <t>Resources</t>
        </is>
      </c>
      <c r="M485" t="inlineStr">
        <is>
          <t>May drop when you capture the Eidolon Gantulyst on the Plains of Eidolon.</t>
        </is>
      </c>
      <c r="N485" t="inlineStr">
        <is>
          <t>Eidolon Gantulyst</t>
        </is>
      </c>
      <c r="O485" t="inlineStr">
        <is>
          <t>Saved a concrete acquisition place from the official Warframe Wiki. Gantulyst page.</t>
        </is>
      </c>
    </row>
    <row r="486">
      <c r="A486" t="inlineStr">
        <is>
          <t>/Lotus/Types/Items/ShipDecos/Vignettes/Enemies/TeralystRainAFItem</t>
        </is>
      </c>
      <c r="B486" t="inlineStr">
        <is>
          <t>Eidolon Hydrolyst Articula</t>
        </is>
      </c>
      <c r="C486" t="inlineStr">
        <is>
          <t>https://wiki.warframe.com/w/Eidolon_Hydrolyst | https://wiki.warframe.com/w/Decorations/Orbiter_Decorations</t>
        </is>
      </c>
      <c r="D486" t="inlineStr">
        <is>
          <t>ExportResources</t>
        </is>
      </c>
      <c r="F486" t="inlineStr">
        <is>
          <t>Eidolon Hydrolyst Articula</t>
        </is>
      </c>
      <c r="H486" t="inlineStr">
        <is>
          <t>Solved: current place verified and archived 2026-10-16.</t>
        </is>
      </c>
      <c r="I486" t="inlineStr">
        <is>
          <t>Resources</t>
        </is>
      </c>
      <c r="M486" t="inlineStr">
        <is>
          <t>May drop when you capture the Eidolon Hydrolyst on the Plains of Eidolon.</t>
        </is>
      </c>
      <c r="N486" t="inlineStr">
        <is>
          <t>Eidolon Hydrolyst</t>
        </is>
      </c>
      <c r="O486" t="inlineStr">
        <is>
          <t>Saved a concrete acquisition place from the official Warframe Wiki. Hydrolyst page.</t>
        </is>
      </c>
    </row>
    <row r="487">
      <c r="A487" t="inlineStr">
        <is>
          <t>/Lotus/Types/Items/ShipDecos/Vignettes/Enemies/TeralystAFItem</t>
        </is>
      </c>
      <c r="B487" t="inlineStr">
        <is>
          <t>Eidolon Teralyst Articula</t>
        </is>
      </c>
      <c r="C487" t="inlineStr">
        <is>
          <t>https://wiki.warframe.com/w/Orbiter | https://wiki.warframe.com/w/Decorations/Orbiter_Decorations</t>
        </is>
      </c>
      <c r="D487" t="inlineStr">
        <is>
          <t>ExportResources</t>
        </is>
      </c>
      <c r="F487" t="inlineStr">
        <is>
          <t>Eidolon Teralyst Articula</t>
        </is>
      </c>
      <c r="H487" t="inlineStr">
        <is>
          <t>Solved: current place verified and archived 2026-10-16.</t>
        </is>
      </c>
      <c r="I487" t="inlineStr">
        <is>
          <t>Resources</t>
        </is>
      </c>
      <c r="M487" t="inlineStr">
        <is>
          <t>May drop when you capture the Eidolon Teralyst on the Plains of Eidolon.</t>
        </is>
      </c>
      <c r="N487" t="inlineStr">
        <is>
          <t>Eidolon Teralyst</t>
        </is>
      </c>
      <c r="O487" t="inlineStr">
        <is>
          <t>Saved a concrete acquisition place from the official Warframe Wiki. Teralyst drop table.</t>
        </is>
      </c>
    </row>
    <row r="488">
      <c r="A488" t="inlineStr">
        <is>
          <t>/Lotus/Types/Items/ShipDecos/Plushies/PlushyEleanor</t>
        </is>
      </c>
      <c r="B488" t="inlineStr">
        <is>
          <t>Eleanor Floof</t>
        </is>
      </c>
      <c r="C488" t="inlineStr">
        <is>
          <t>https://wiki.warframe.com/w/Pride_(Event)</t>
        </is>
      </c>
      <c r="D488" t="inlineStr">
        <is>
          <t>ExportResources</t>
        </is>
      </c>
      <c r="F488" t="inlineStr">
        <is>
          <t>Eleanor Floof</t>
        </is>
      </c>
      <c r="H488" t="inlineStr">
        <is>
          <t>Solved: current place verified and archived 2026-10-16.</t>
        </is>
      </c>
      <c r="I488" t="inlineStr">
        <is>
          <t>Resources</t>
        </is>
      </c>
      <c r="M488" t="inlineStr">
        <is>
          <t>Twitch drop during a Pride creator stream; Pride is held each June.</t>
        </is>
      </c>
      <c r="N488" t="inlineStr">
        <is>
          <t>Pride (Event)</t>
        </is>
      </c>
      <c r="O488" t="inlineStr">
        <is>
          <t>Saved a concrete acquisition place from the official Warframe Wiki. Pride event page lists it under Featured Creator Streams and Drops.</t>
        </is>
      </c>
    </row>
    <row r="489">
      <c r="A489" t="inlineStr">
        <is>
          <t>/Lotus/Types/Items/ShipDecos/TarotCardEmberHeirloom</t>
        </is>
      </c>
      <c r="B489" t="inlineStr">
        <is>
          <t>Ember Heirloom Prex</t>
        </is>
      </c>
      <c r="C489" t="inlineStr">
        <is>
          <t>https://wiki.warframe.com/w/Ember_Heirloom_Singe_Collection | https://wiki.warframe.com/w/Heirloom_Skins | https://wiki.warframe.com/w/Devstream_180</t>
        </is>
      </c>
      <c r="D489" t="inlineStr">
        <is>
          <t>ExportResources</t>
        </is>
      </c>
      <c r="F489" t="inlineStr">
        <is>
          <t>Ember Heirloom Prex</t>
        </is>
      </c>
      <c r="H489" t="inlineStr">
        <is>
          <t>Solved: current place verified and archived 2026-10-16.</t>
        </is>
      </c>
      <c r="I489" t="inlineStr">
        <is>
          <t>Resources</t>
        </is>
      </c>
      <c r="M489" t="inlineStr">
        <is>
          <t>In-game Market for 35 Platinum.</t>
        </is>
      </c>
      <c r="N489" t="inlineStr">
        <is>
          <t>Ember Heirloom Singe Collection | Heirloom Skins | Devstream 180 | Update 36</t>
        </is>
      </c>
      <c r="O489" t="inlineStr">
        <is>
          <t>We copied where it comes from off the wiki page. See place from wiki page.</t>
        </is>
      </c>
    </row>
    <row r="490">
      <c r="A490" t="inlineStr">
        <is>
          <t>/Lotus/Types/Items/ShipDecos/TarotCardEmber</t>
        </is>
      </c>
      <c r="B490" t="inlineStr">
        <is>
          <t>Ember Prex</t>
        </is>
      </c>
      <c r="C490" t="inlineStr">
        <is>
          <t>https://wiki.warframe.com/w/Decorations | https://wiki.warframe.com/w/Relay</t>
        </is>
      </c>
      <c r="D490" t="inlineStr">
        <is>
          <t>ExportResources</t>
        </is>
      </c>
      <c r="F490" t="inlineStr">
        <is>
          <t>Ember Prex</t>
        </is>
      </c>
      <c r="H490" t="inlineStr">
        <is>
          <t>Solved: current place verified and archived 2026-10-16.</t>
        </is>
      </c>
      <c r="I490" t="inlineStr">
        <is>
          <t>Resources</t>
        </is>
      </c>
      <c r="M490" t="inlineStr">
        <is>
          <t>Hidden pickup in Kronia Relay, Saturn: inside Red Veil's room, on the archway above the Grineer table and behind the Red Veil flag.</t>
        </is>
      </c>
      <c r="N490" t="inlineStr">
        <is>
          <t>Decorations/Orbiter Decorations</t>
        </is>
      </c>
      <c r="O490" t="inlineStr">
        <is>
          <t>Saved a concrete acquisition place from the official Warframe Wiki. Orbiter Decorations Prex table and Prex Locations list.</t>
        </is>
      </c>
    </row>
    <row r="491">
      <c r="A491" t="inlineStr">
        <is>
          <t>/Lotus/Types/PickUps/LoreCards/LoreCardItem/LoreCardEmberItem</t>
        </is>
      </c>
      <c r="B491" t="inlineStr">
        <is>
          <t>Ember Prex</t>
        </is>
      </c>
      <c r="C491" t="inlineStr">
        <is>
          <t>https://wiki.warframe.com/w/Decorations | https://wiki.warframe.com/w/Relay</t>
        </is>
      </c>
      <c r="D491" t="inlineStr">
        <is>
          <t>ExportResources</t>
        </is>
      </c>
      <c r="F491" t="inlineStr">
        <is>
          <t>Ember Prex</t>
        </is>
      </c>
      <c r="H491" t="inlineStr">
        <is>
          <t>Solved: current place verified and archived 2026-10-16.</t>
        </is>
      </c>
      <c r="I491" t="inlineStr">
        <is>
          <t>Resources</t>
        </is>
      </c>
      <c r="M491" t="inlineStr">
        <is>
          <t>Hidden pickup in Kronia Relay, Saturn: inside Red Veil's room, on the archway above the Grineer table and behind the Red Veil flag.</t>
        </is>
      </c>
      <c r="N491" t="inlineStr">
        <is>
          <t>Decorations/Orbiter Decorations</t>
        </is>
      </c>
      <c r="O491" t="inlineStr">
        <is>
          <t>Saved a concrete acquisition place from the official Warframe Wiki. Orbiter Decorations Prex table and Prex Locations list.</t>
        </is>
      </c>
    </row>
    <row r="492">
      <c r="A492" t="inlineStr">
        <is>
          <t>/Lotus/Types/Items/MiscItems/NoraInfestedCreds</t>
        </is>
      </c>
      <c r="B492" t="inlineStr">
        <is>
          <t>Emissary Cred</t>
        </is>
      </c>
      <c r="C492" t="inlineStr">
        <is>
          <t>https://wiki.warframe.com/w/Nightwave/Series_2</t>
        </is>
      </c>
      <c r="D492" t="inlineStr">
        <is>
          <t>ExportResources</t>
        </is>
      </c>
      <c r="G492" t="inlineStr">
        <is>
          <t>Nightwave/Series 2</t>
        </is>
      </c>
      <c r="H492" t="inlineStr">
        <is>
          <t>Solved: current place verified and archived 2026-10-16.</t>
        </is>
      </c>
      <c r="I492" t="inlineStr">
        <is>
          <t>Resources</t>
        </is>
      </c>
      <c r="J492" t="inlineStr">
        <is>
          <t>Enemies_data, Enemies_data_infestation, Enemies_data_pre-U36, Enemies_data_pre_U36, Resources_data</t>
        </is>
      </c>
      <c r="K492" t="inlineStr">
        <is>
          <t>Resources/data</t>
        </is>
      </c>
      <c r="L492" t="inlineStr">
        <is>
          <t>listed, no place</t>
        </is>
      </c>
      <c r="M492" t="inlineStr">
        <is>
          <t>Not currently obtainable.</t>
        </is>
      </c>
      <c r="N492" t="inlineStr">
        <is>
          <t>Nightwave/Series 2</t>
        </is>
      </c>
      <c r="O492" t="inlineStr">
        <is>
          <t>Saved a concrete acquisition place from the official Warframe Wiki.</t>
        </is>
      </c>
    </row>
    <row r="493">
      <c r="A493" t="inlineStr">
        <is>
          <t>/Lotus/Types/Items/ShipDecos/NoraSeasonTwoOrnament</t>
        </is>
      </c>
      <c r="B493" t="inlineStr">
        <is>
          <t>Emissary Ornament</t>
        </is>
      </c>
      <c r="C493" t="inlineStr">
        <is>
          <t>https://wiki.warframe.com/w/Nightwave/Offerings</t>
        </is>
      </c>
      <c r="D493" t="inlineStr">
        <is>
          <t>ExportResources</t>
        </is>
      </c>
      <c r="F493" t="inlineStr">
        <is>
          <t>Emissary Ornament</t>
        </is>
      </c>
      <c r="H493" t="inlineStr">
        <is>
          <t>Solved: current place verified and archived 2026-10-16.</t>
        </is>
      </c>
      <c r="I493" t="inlineStr">
        <is>
          <t>Resources</t>
        </is>
      </c>
      <c r="M493" t="inlineStr">
        <is>
          <t>Purchase from Nightwave Offerings for 40 Nightwave Creds.</t>
        </is>
      </c>
      <c r="N493" t="inlineStr">
        <is>
          <t>Nightwave/Offerings</t>
        </is>
      </c>
      <c r="O493" t="inlineStr">
        <is>
          <t>We copied where it comes from off the wiki page. See place from wiki page.</t>
        </is>
      </c>
    </row>
    <row r="494">
      <c r="A494" t="inlineStr">
        <is>
          <t>/Lotus/Types/Items/ShipDecos/EmpyreanPoster</t>
        </is>
      </c>
      <c r="B494" t="inlineStr">
        <is>
          <t>Empyrean Poster</t>
        </is>
      </c>
      <c r="C494" t="inlineStr">
        <is>
          <t>https://wiki.warframe.com/w/Decorations/Orbiter_Decorations</t>
        </is>
      </c>
      <c r="D494" t="inlineStr">
        <is>
          <t>ExportResources</t>
        </is>
      </c>
      <c r="F494" t="inlineStr">
        <is>
          <t>Empyrean Poster</t>
        </is>
      </c>
      <c r="H494" t="inlineStr">
        <is>
          <t>Solved: current place verified and archived 2026-10-16.</t>
        </is>
      </c>
      <c r="I494" t="inlineStr">
        <is>
          <t>Resources</t>
        </is>
      </c>
      <c r="M494" t="inlineStr">
        <is>
          <t>Included in the Empyrean Supporter Pack.</t>
        </is>
      </c>
      <c r="N494" t="inlineStr">
        <is>
          <t>Decorations/Orbiter Decorations</t>
        </is>
      </c>
      <c r="O494" t="inlineStr">
        <is>
          <t>Saved a concrete acquisition place from the official Warframe Wiki. Posters section.</t>
        </is>
      </c>
    </row>
    <row r="495">
      <c r="A495" t="inlineStr">
        <is>
          <t>/Lotus/Types/Recipes/Weapons/WeaponParts/EnkausBarrel</t>
        </is>
      </c>
      <c r="B495" t="inlineStr">
        <is>
          <t>Enkaus Barrel</t>
        </is>
      </c>
      <c r="C495" t="inlineStr">
        <is>
          <t>https://wiki.warframe.com/w/Polymer_Bundle | https://wiki.warframe.com/w/Atramentum | https://wiki.warframe.com/w/Ferrite | https://wiki.warframe.com/w/Plastids</t>
        </is>
      </c>
      <c r="D495" t="inlineStr">
        <is>
          <t>ExportResources</t>
        </is>
      </c>
      <c r="F495" t="inlineStr">
        <is>
          <t>Enkaus Barrel</t>
        </is>
      </c>
      <c r="H495" t="inlineStr">
        <is>
          <t>Solved: current place verified and archived 2026-10-16.</t>
        </is>
      </c>
      <c r="I495" t="inlineStr">
        <is>
          <t>Resources</t>
        </is>
      </c>
      <c r="L495" t="inlineStr">
        <is>
          <t>DropTables_data, drop_reverse_index_v2</t>
        </is>
      </c>
      <c r="M495" t="inlineStr">
        <is>
          <t>Component blueprint from Follie's Hunt (requires Chains of Harrow), or buy from Aspirant Zorba in any Relay for 400 Atramentum.</t>
        </is>
      </c>
      <c r="N495" t="inlineStr">
        <is>
          <t>Enkaus</t>
        </is>
      </c>
      <c r="O495" t="inlineStr">
        <is>
          <t>Saved a concrete acquisition place from the official Warframe Wiki. Enkaus page Acquisition.</t>
        </is>
      </c>
    </row>
    <row r="496">
      <c r="A496" t="inlineStr">
        <is>
          <t>/Lotus/Types/Recipes/Weapons/WeaponParts/EnkausReceiver</t>
        </is>
      </c>
      <c r="B496" t="inlineStr">
        <is>
          <t>Enkaus Receiver</t>
        </is>
      </c>
      <c r="C496" t="inlineStr">
        <is>
          <t>https://wiki.warframe.com/w/Atramentum | https://wiki.warframe.com/w/Morphics | https://wiki.warframe.com/w/Circuits | https://wiki.warframe.com/w/Cryotic</t>
        </is>
      </c>
      <c r="D496" t="inlineStr">
        <is>
          <t>ExportResources</t>
        </is>
      </c>
      <c r="F496" t="inlineStr">
        <is>
          <t>Enkaus Receiver</t>
        </is>
      </c>
      <c r="H496" t="inlineStr">
        <is>
          <t>Solved: current place verified and archived 2026-10-16.</t>
        </is>
      </c>
      <c r="I496" t="inlineStr">
        <is>
          <t>Resources</t>
        </is>
      </c>
      <c r="L496" t="inlineStr">
        <is>
          <t>DropTables_data, drop_reverse_index_v2</t>
        </is>
      </c>
      <c r="M496" t="inlineStr">
        <is>
          <t>Component blueprint from Follie's Hunt (requires Chains of Harrow), or buy from Aspirant Zorba in any Relay for 400 Atramentum.</t>
        </is>
      </c>
      <c r="N496" t="inlineStr">
        <is>
          <t>Enkaus</t>
        </is>
      </c>
      <c r="O496" t="inlineStr">
        <is>
          <t>Saved a concrete acquisition place from the official Warframe Wiki. Enkaus page Acquisition.</t>
        </is>
      </c>
    </row>
    <row r="497">
      <c r="A497" t="inlineStr">
        <is>
          <t>/Lotus/Types/Recipes/Weapons/WeaponParts/EnkausStock</t>
        </is>
      </c>
      <c r="B497" t="inlineStr">
        <is>
          <t>Enkaus Stock</t>
        </is>
      </c>
      <c r="C497" t="inlineStr">
        <is>
          <t>https://wiki.warframe.com/w/Atramentum | https://wiki.warframe.com/w/Gallium | https://wiki.warframe.com/w/Salvage | https://wiki.warframe.com/w/Alloy_Plate</t>
        </is>
      </c>
      <c r="D497" t="inlineStr">
        <is>
          <t>ExportResources</t>
        </is>
      </c>
      <c r="F497" t="inlineStr">
        <is>
          <t>Enkaus Stock</t>
        </is>
      </c>
      <c r="H497" t="inlineStr">
        <is>
          <t>Solved: current place verified and archived 2026-10-16.</t>
        </is>
      </c>
      <c r="I497" t="inlineStr">
        <is>
          <t>Resources</t>
        </is>
      </c>
      <c r="L497" t="inlineStr">
        <is>
          <t>DropTables_data, drop_reverse_index_v2</t>
        </is>
      </c>
      <c r="M497" t="inlineStr">
        <is>
          <t>Component blueprint from Follie's Hunt (requires Chains of Harrow), or buy from Aspirant Zorba in any Relay for 400 Atramentum.</t>
        </is>
      </c>
      <c r="N497" t="inlineStr">
        <is>
          <t>Enkaus</t>
        </is>
      </c>
      <c r="O497" t="inlineStr">
        <is>
          <t>Saved a concrete acquisition place from the official Warframe Wiki. Enkaus page Acquisition.</t>
        </is>
      </c>
    </row>
    <row r="498">
      <c r="A498" t="inlineStr">
        <is>
          <t>/Lotus/Types/Items/ShipDecos/EntratiLabs/ORKxLabLightChandelierB</t>
        </is>
      </c>
      <c r="B498" t="inlineStr">
        <is>
          <t>Entrati Candelabra</t>
        </is>
      </c>
      <c r="C498" t="inlineStr">
        <is>
          <t>https://wiki.warframe.com/w/Bird_3</t>
        </is>
      </c>
      <c r="D498" t="inlineStr">
        <is>
          <t>ExportResources</t>
        </is>
      </c>
      <c r="F498" t="inlineStr">
        <is>
          <t>Entrati Candelabra</t>
        </is>
      </c>
      <c r="H498" t="inlineStr">
        <is>
          <t>Solved: current place verified and archived 2026-10-16.</t>
        </is>
      </c>
      <c r="I498" t="inlineStr">
        <is>
          <t>Resources</t>
        </is>
      </c>
      <c r="M498" t="inlineStr">
        <is>
          <t>Purchase from Bird 3's Shiny Treasures with resources from Albrecht's Laboratories; offers rotate every 24 hours.</t>
        </is>
      </c>
      <c r="N498" t="inlineStr">
        <is>
          <t>Bird 3</t>
        </is>
      </c>
      <c r="O498" t="inlineStr">
        <is>
          <t>Saved a concrete acquisition place from the official Warframe Wiki. Bird 3 page Shiny Treasures section.</t>
        </is>
      </c>
    </row>
    <row r="499">
      <c r="A499" t="inlineStr">
        <is>
          <t>/Lotus/Types/Items/ShipDecos/EntratiLabs/ORKxLabChaiseLounge</t>
        </is>
      </c>
      <c r="B499" t="inlineStr">
        <is>
          <t>Entrati Chaise Lounge</t>
        </is>
      </c>
      <c r="C499" t="inlineStr">
        <is>
          <t>https://wiki.warframe.com/w/Bird_3</t>
        </is>
      </c>
      <c r="D499" t="inlineStr">
        <is>
          <t>ExportResources</t>
        </is>
      </c>
      <c r="F499" t="inlineStr">
        <is>
          <t>Entrati Chaise Lounge</t>
        </is>
      </c>
      <c r="H499" t="inlineStr">
        <is>
          <t>Solved: current place verified and archived 2026-10-16.</t>
        </is>
      </c>
      <c r="I499" t="inlineStr">
        <is>
          <t>Resources</t>
        </is>
      </c>
      <c r="M499" t="inlineStr">
        <is>
          <t>Purchase from Bird 3's Shiny Treasures with resources from Albrecht's Laboratories; offers rotate every 24 hours.</t>
        </is>
      </c>
      <c r="N499" t="inlineStr">
        <is>
          <t>Bird 3</t>
        </is>
      </c>
      <c r="O499" t="inlineStr">
        <is>
          <t>Saved a concrete acquisition place from the official Warframe Wiki. Bird 3 page Shiny Treasures section.</t>
        </is>
      </c>
    </row>
    <row r="500">
      <c r="A500" t="inlineStr">
        <is>
          <t>/Lotus/Types/Items/ShipDecos/Albrecht2in1Display</t>
        </is>
      </c>
      <c r="B500" t="inlineStr">
        <is>
          <t>Entrati Community Fusion Display</t>
        </is>
      </c>
      <c r="C500" t="inlineStr">
        <is>
          <t>https://wiki.warframe.com/w/Decorations/Orbiter_Decorations</t>
        </is>
      </c>
      <c r="D500" t="inlineStr">
        <is>
          <t>ExportResources</t>
        </is>
      </c>
      <c r="F500" t="inlineStr">
        <is>
          <t>Entrati Community Fusion Display</t>
        </is>
      </c>
      <c r="H500" t="inlineStr">
        <is>
          <t>Solved: current place verified and archived 2026-10-16.</t>
        </is>
      </c>
      <c r="I500" t="inlineStr">
        <is>
          <t>Resources</t>
        </is>
      </c>
      <c r="M500" t="inlineStr">
        <is>
          <t>In-game Market for 40 Platinum.</t>
        </is>
      </c>
      <c r="N500" t="inlineStr">
        <is>
          <t>Decorations/Orbiter Decorations | Update 38</t>
        </is>
      </c>
      <c r="O500" t="inlineStr">
        <is>
          <t>We copied where it comes from off the wiki page. See place from wiki page.</t>
        </is>
      </c>
    </row>
    <row r="501">
      <c r="A501" t="inlineStr">
        <is>
          <t>/Lotus/Types/Items/ShipDecos/EntratiLabs/ORKxLabMachineD</t>
        </is>
      </c>
      <c r="B501" t="inlineStr">
        <is>
          <t>Entrati Congromulator</t>
        </is>
      </c>
      <c r="C501" t="inlineStr">
        <is>
          <t>https://wiki.warframe.com/w/Bird_3</t>
        </is>
      </c>
      <c r="D501" t="inlineStr">
        <is>
          <t>ExportResources</t>
        </is>
      </c>
      <c r="F501" t="inlineStr">
        <is>
          <t>Entrati Congromulator</t>
        </is>
      </c>
      <c r="H501" t="inlineStr">
        <is>
          <t>Solved: current place verified and archived 2026-10-16.</t>
        </is>
      </c>
      <c r="I501" t="inlineStr">
        <is>
          <t>Resources</t>
        </is>
      </c>
      <c r="M501" t="inlineStr">
        <is>
          <t>Purchase from Bird 3's Shiny Treasures with resources from Albrecht's Laboratories; offers rotate every 24 hours.</t>
        </is>
      </c>
      <c r="N501" t="inlineStr">
        <is>
          <t>Bird 3</t>
        </is>
      </c>
      <c r="O501" t="inlineStr">
        <is>
          <t>Saved a concrete acquisition place from the official Warframe Wiki. Bird 3 page Shiny Treasures section.</t>
        </is>
      </c>
    </row>
    <row r="502">
      <c r="A502" t="inlineStr">
        <is>
          <t>/Lotus/Types/Items/ShipDecos/EntratiLabs/ORKxLabLightChandelierA</t>
        </is>
      </c>
      <c r="B502" t="inlineStr">
        <is>
          <t>Entrati Globe Chandelier</t>
        </is>
      </c>
      <c r="C502" t="inlineStr">
        <is>
          <t>https://wiki.warframe.com/w/Bird_3</t>
        </is>
      </c>
      <c r="D502" t="inlineStr">
        <is>
          <t>ExportResources</t>
        </is>
      </c>
      <c r="F502" t="inlineStr">
        <is>
          <t>Entrati Globe Chandelier</t>
        </is>
      </c>
      <c r="H502" t="inlineStr">
        <is>
          <t>Solved: current place verified and archived 2026-10-16.</t>
        </is>
      </c>
      <c r="I502" t="inlineStr">
        <is>
          <t>Resources</t>
        </is>
      </c>
      <c r="M502" t="inlineStr">
        <is>
          <t>Purchase from Bird 3's Shiny Treasures with resources from Albrecht's Laboratories; offers rotate every 24 hours.</t>
        </is>
      </c>
      <c r="N502" t="inlineStr">
        <is>
          <t>Bird 3</t>
        </is>
      </c>
      <c r="O502" t="inlineStr">
        <is>
          <t>Saved a concrete acquisition place from the official Warframe Wiki. Bird 3 page Shiny Treasures section.</t>
        </is>
      </c>
    </row>
    <row r="503">
      <c r="A503" t="inlineStr">
        <is>
          <t>/Lotus/Types/Items/ShipDecos/EntratiLabs/ORKxLabLightChandelierD</t>
        </is>
      </c>
      <c r="B503" t="inlineStr">
        <is>
          <t>Entrati Grand Candelabra</t>
        </is>
      </c>
      <c r="C503" t="inlineStr">
        <is>
          <t>https://wiki.warframe.com/w/Bird_3</t>
        </is>
      </c>
      <c r="D503" t="inlineStr">
        <is>
          <t>ExportResources</t>
        </is>
      </c>
      <c r="F503" t="inlineStr">
        <is>
          <t>Entrati Grand Candelabra</t>
        </is>
      </c>
      <c r="H503" t="inlineStr">
        <is>
          <t>Solved: current place verified and archived 2026-10-16.</t>
        </is>
      </c>
      <c r="I503" t="inlineStr">
        <is>
          <t>Resources</t>
        </is>
      </c>
      <c r="M503" t="inlineStr">
        <is>
          <t>Purchase from Bird 3's Shiny Treasures with resources from Albrecht's Laboratories; offers rotate every 24 hours.</t>
        </is>
      </c>
      <c r="N503" t="inlineStr">
        <is>
          <t>Bird 3</t>
        </is>
      </c>
      <c r="O503" t="inlineStr">
        <is>
          <t>Saved a concrete acquisition place from the official Warframe Wiki. Bird 3 page Shiny Treasures section.</t>
        </is>
      </c>
    </row>
    <row r="504">
      <c r="A504" t="inlineStr">
        <is>
          <t>/Lotus/Types/Items/ShipDecos/EntratiLabs/ORKxLabOttoman</t>
        </is>
      </c>
      <c r="B504" t="inlineStr">
        <is>
          <t>Entrati Ottoman</t>
        </is>
      </c>
      <c r="C504" t="inlineStr">
        <is>
          <t>https://wiki.warframe.com/w/Bird_3</t>
        </is>
      </c>
      <c r="D504" t="inlineStr">
        <is>
          <t>ExportResources</t>
        </is>
      </c>
      <c r="F504" t="inlineStr">
        <is>
          <t>Entrati Ottoman</t>
        </is>
      </c>
      <c r="H504" t="inlineStr">
        <is>
          <t>Solved: current place verified and archived 2026-10-16.</t>
        </is>
      </c>
      <c r="I504" t="inlineStr">
        <is>
          <t>Resources</t>
        </is>
      </c>
      <c r="M504" t="inlineStr">
        <is>
          <t>Purchase from Bird 3's Shiny Treasures with resources from Albrecht's Laboratories; offers rotate every 24 hours.</t>
        </is>
      </c>
      <c r="N504" t="inlineStr">
        <is>
          <t>Bird 3</t>
        </is>
      </c>
      <c r="O504" t="inlineStr">
        <is>
          <t>Saved a concrete acquisition place from the official Warframe Wiki. Bird 3 page Shiny Treasures section.</t>
        </is>
      </c>
    </row>
    <row r="505">
      <c r="A505" t="inlineStr">
        <is>
          <t>/Lotus/Types/Items/ShipDecos/EntratiLabs/ORKxLabChairB</t>
        </is>
      </c>
      <c r="B505" t="inlineStr">
        <is>
          <t>Entrati Serpentine Chair</t>
        </is>
      </c>
      <c r="C505" t="inlineStr">
        <is>
          <t>https://wiki.warframe.com/w/Bird_3</t>
        </is>
      </c>
      <c r="D505" t="inlineStr">
        <is>
          <t>ExportResources</t>
        </is>
      </c>
      <c r="F505" t="inlineStr">
        <is>
          <t>Entrati Serpentine Chair</t>
        </is>
      </c>
      <c r="H505" t="inlineStr">
        <is>
          <t>Solved: current place verified and archived 2026-10-16.</t>
        </is>
      </c>
      <c r="I505" t="inlineStr">
        <is>
          <t>Resources</t>
        </is>
      </c>
      <c r="M505" t="inlineStr">
        <is>
          <t>Purchase from Bird 3's Shiny Treasures with resources from Albrecht's Laboratories; offers rotate every 24 hours.</t>
        </is>
      </c>
      <c r="N505" t="inlineStr">
        <is>
          <t>Bird 3</t>
        </is>
      </c>
      <c r="O505" t="inlineStr">
        <is>
          <t>Saved a concrete acquisition place from the official Warframe Wiki. Bird 3 page Shiny Treasures section.</t>
        </is>
      </c>
    </row>
    <row r="506">
      <c r="A506" t="inlineStr">
        <is>
          <t>/Lotus/Types/Items/ShipDecos/EntratiLabs/ORKxLabLoveSeat</t>
        </is>
      </c>
      <c r="B506" t="inlineStr">
        <is>
          <t>Entrati Settee</t>
        </is>
      </c>
      <c r="C506" t="inlineStr">
        <is>
          <t>https://wiki.warframe.com/w/Bird_3</t>
        </is>
      </c>
      <c r="D506" t="inlineStr">
        <is>
          <t>ExportResources</t>
        </is>
      </c>
      <c r="F506" t="inlineStr">
        <is>
          <t>Entrati Settee</t>
        </is>
      </c>
      <c r="H506" t="inlineStr">
        <is>
          <t>Solved: current place verified and archived 2026-10-16.</t>
        </is>
      </c>
      <c r="I506" t="inlineStr">
        <is>
          <t>Resources</t>
        </is>
      </c>
      <c r="M506" t="inlineStr">
        <is>
          <t>Purchase from Bird 3's Shiny Treasures with resources from Albrecht's Laboratories; offers rotate every 24 hours.</t>
        </is>
      </c>
      <c r="N506" t="inlineStr">
        <is>
          <t>Bird 3</t>
        </is>
      </c>
      <c r="O506" t="inlineStr">
        <is>
          <t>Saved a concrete acquisition place from the official Warframe Wiki. Bird 3 page Shiny Treasures section.</t>
        </is>
      </c>
    </row>
    <row r="507">
      <c r="A507" t="inlineStr">
        <is>
          <t>/Lotus/Types/Items/ShipDecos/EntratiLabs/ORKxLabStool</t>
        </is>
      </c>
      <c r="B507" t="inlineStr">
        <is>
          <t>Entrati Stool</t>
        </is>
      </c>
      <c r="C507" t="inlineStr">
        <is>
          <t>https://wiki.warframe.com/w/Bird_3</t>
        </is>
      </c>
      <c r="D507" t="inlineStr">
        <is>
          <t>ExportResources</t>
        </is>
      </c>
      <c r="F507" t="inlineStr">
        <is>
          <t>Entrati Stool</t>
        </is>
      </c>
      <c r="H507" t="inlineStr">
        <is>
          <t>Solved: current place verified and archived 2026-10-16.</t>
        </is>
      </c>
      <c r="I507" t="inlineStr">
        <is>
          <t>Resources</t>
        </is>
      </c>
      <c r="M507" t="inlineStr">
        <is>
          <t>Purchase from Bird 3's Shiny Treasures with resources from Albrecht's Laboratories; offers rotate every 24 hours.</t>
        </is>
      </c>
      <c r="N507" t="inlineStr">
        <is>
          <t>Bird 3</t>
        </is>
      </c>
      <c r="O507" t="inlineStr">
        <is>
          <t>Saved a concrete acquisition place from the official Warframe Wiki. Bird 3 page Shiny Treasures section.</t>
        </is>
      </c>
    </row>
    <row r="508">
      <c r="A508" t="inlineStr">
        <is>
          <t>/Lotus/Types/Items/ShipDecos/EntratiLabs/ORKxLabMachineB</t>
        </is>
      </c>
      <c r="B508" t="inlineStr">
        <is>
          <t>Entrati Stratalizer</t>
        </is>
      </c>
      <c r="C508" t="inlineStr">
        <is>
          <t>https://wiki.warframe.com/w/Bird_3</t>
        </is>
      </c>
      <c r="D508" t="inlineStr">
        <is>
          <t>ExportResources</t>
        </is>
      </c>
      <c r="F508" t="inlineStr">
        <is>
          <t>Entrati Stratalizer</t>
        </is>
      </c>
      <c r="H508" t="inlineStr">
        <is>
          <t>Solved: current place verified and archived 2026-10-16.</t>
        </is>
      </c>
      <c r="I508" t="inlineStr">
        <is>
          <t>Resources</t>
        </is>
      </c>
      <c r="M508" t="inlineStr">
        <is>
          <t>Purchase from Bird 3's Shiny Treasures with resources from Albrecht's Laboratories; offers rotate every 24 hours.</t>
        </is>
      </c>
      <c r="N508" t="inlineStr">
        <is>
          <t>Bird 3</t>
        </is>
      </c>
      <c r="O508" t="inlineStr">
        <is>
          <t>Saved a concrete acquisition place from the official Warframe Wiki. Bird 3 page Shiny Treasures section.</t>
        </is>
      </c>
    </row>
    <row r="509">
      <c r="A509" t="inlineStr">
        <is>
          <t>/Lotus/Types/Items/ShipDecos/EntratiLabs/ORKxLabChairA</t>
        </is>
      </c>
      <c r="B509" t="inlineStr">
        <is>
          <t>Entrati Study Chair</t>
        </is>
      </c>
      <c r="C509" t="inlineStr">
        <is>
          <t>https://wiki.warframe.com/w/Bird_3</t>
        </is>
      </c>
      <c r="D509" t="inlineStr">
        <is>
          <t>ExportResources</t>
        </is>
      </c>
      <c r="F509" t="inlineStr">
        <is>
          <t>Entrati Study Chair</t>
        </is>
      </c>
      <c r="H509" t="inlineStr">
        <is>
          <t>Solved: current place verified and archived 2026-10-16.</t>
        </is>
      </c>
      <c r="I509" t="inlineStr">
        <is>
          <t>Resources</t>
        </is>
      </c>
      <c r="M509" t="inlineStr">
        <is>
          <t>Purchase from Bird 3's Shiny Treasures with resources from Albrecht's Laboratories; offers rotate every 24 hours.</t>
        </is>
      </c>
      <c r="N509" t="inlineStr">
        <is>
          <t>Bird 3</t>
        </is>
      </c>
      <c r="O509" t="inlineStr">
        <is>
          <t>Saved a concrete acquisition place from the official Warframe Wiki. Bird 3 page Shiny Treasures section.</t>
        </is>
      </c>
    </row>
    <row r="510">
      <c r="A510" t="inlineStr">
        <is>
          <t>/Lotus/Types/Items/ShipDecos/EntratiLabs/ORKxLabMachineJ</t>
        </is>
      </c>
      <c r="B510" t="inlineStr">
        <is>
          <t>Entrati Temporal Cartograph</t>
        </is>
      </c>
      <c r="C510" t="inlineStr">
        <is>
          <t>https://wiki.warframe.com/w/Bird_3</t>
        </is>
      </c>
      <c r="D510" t="inlineStr">
        <is>
          <t>ExportResources</t>
        </is>
      </c>
      <c r="F510" t="inlineStr">
        <is>
          <t>Entrati Temporal Cartograph</t>
        </is>
      </c>
      <c r="H510" t="inlineStr">
        <is>
          <t>Solved: current place verified and archived 2026-10-16.</t>
        </is>
      </c>
      <c r="I510" t="inlineStr">
        <is>
          <t>Resources</t>
        </is>
      </c>
      <c r="M510" t="inlineStr">
        <is>
          <t>Purchase from Bird 3's Shiny Treasures with resources from Albrecht's Laboratories; offers rotate every 24 hours.</t>
        </is>
      </c>
      <c r="N510" t="inlineStr">
        <is>
          <t>Bird 3</t>
        </is>
      </c>
      <c r="O510" t="inlineStr">
        <is>
          <t>Saved a concrete acquisition place from the official Warframe Wiki. Bird 3 page Shiny Treasures section.</t>
        </is>
      </c>
    </row>
    <row r="511">
      <c r="A511" t="inlineStr">
        <is>
          <t>/Lotus/Types/Items/ShipDecos/EntratiLabs/ORKxLabLightWallCandleA</t>
        </is>
      </c>
      <c r="B511" t="inlineStr">
        <is>
          <t>Entrati Wall Sconce</t>
        </is>
      </c>
      <c r="C511" t="inlineStr">
        <is>
          <t>https://wiki.warframe.com/w/Bird_3</t>
        </is>
      </c>
      <c r="D511" t="inlineStr">
        <is>
          <t>ExportResources</t>
        </is>
      </c>
      <c r="F511" t="inlineStr">
        <is>
          <t>Entrati Wall Sconce</t>
        </is>
      </c>
      <c r="H511" t="inlineStr">
        <is>
          <t>Solved: current place verified and archived 2026-10-16.</t>
        </is>
      </c>
      <c r="I511" t="inlineStr">
        <is>
          <t>Resources</t>
        </is>
      </c>
      <c r="M511" t="inlineStr">
        <is>
          <t>Purchase from Bird 3's Shiny Treasures with resources from Albrecht's Laboratories; offers rotate every 24 hours.</t>
        </is>
      </c>
      <c r="N511" t="inlineStr">
        <is>
          <t>Bird 3</t>
        </is>
      </c>
      <c r="O511" t="inlineStr">
        <is>
          <t>Saved a concrete acquisition place from the official Warframe Wiki. Bird 3 page Shiny Treasures section.</t>
        </is>
      </c>
    </row>
    <row r="512">
      <c r="A512" t="inlineStr">
        <is>
          <t>/Lotus/Types/Recipes/Weapons/WeaponParts/EpitaphPrimeBarrel</t>
        </is>
      </c>
      <c r="B512" t="inlineStr">
        <is>
          <t>Epitaph Prime Barrel</t>
        </is>
      </c>
      <c r="C512" t="inlineStr">
        <is>
          <t>https://wiki.warframe.com/w/Epitaph_Prime | https://wiki.warframe.com/w/Axi_P8 | https://wiki.warframe.com/w/Neo_P9 | https://wiki.warframe.com/w/Lith_W4 | https://wiki.warframe.com/w/Lith_Q2</t>
        </is>
      </c>
      <c r="D512" t="inlineStr">
        <is>
          <t>ExportResources</t>
        </is>
      </c>
      <c r="F512" t="inlineStr">
        <is>
          <t>Epitaph Prime Barrel</t>
        </is>
      </c>
      <c r="H512" t="inlineStr">
        <is>
          <t>Solved: current place verified and archived 2026-10-16.</t>
        </is>
      </c>
      <c r="I512" t="inlineStr">
        <is>
          <t>Resources</t>
        </is>
      </c>
      <c r="J512" t="inlineStr">
        <is>
          <t>Lith Q2 Relic (Uncommon) | Axi B10 Relic (Uncommon) | Neo V11 Relic (Uncommon) | Neo P9 Relic (Uncommon) | Lith W4 Relic (Uncommon) | Axi Y2 Relic (Uncommon) | Axi P8 Relic (Uncommon)</t>
        </is>
      </c>
      <c r="K512" t="inlineStr">
        <is>
          <t>Void/data</t>
        </is>
      </c>
      <c r="L512" t="inlineStr">
        <is>
          <t>name</t>
        </is>
      </c>
      <c r="M512" t="inlineStr">
        <is>
          <t>Axi P8, Neo P9, Lith W4 and Lith Q2 relic drops (vaulted; trade only).</t>
        </is>
      </c>
      <c r="N512" t="inlineStr">
        <is>
          <t>Axi P8 | Neo P9 | Lith W4 | Lith Q2</t>
        </is>
      </c>
      <c r="O512" t="inlineStr">
        <is>
          <t>Saved a concrete acquisition place from the official Warframe Wiki. Relic pages list this part in their reward table.</t>
        </is>
      </c>
    </row>
    <row r="513">
      <c r="A513" t="inlineStr">
        <is>
          <t>/Lotus/Types/Recipes/Weapons/WeaponParts/EpitaphPrimeReceiver</t>
        </is>
      </c>
      <c r="B513" t="inlineStr">
        <is>
          <t>Epitaph Prime Receiver</t>
        </is>
      </c>
      <c r="C513" t="inlineStr">
        <is>
          <t>https://wiki.warframe.com/w/Epitaph_Prime | https://wiki.warframe.com/w/Neo_E4 | https://wiki.warframe.com/w/Meso_E6 | https://wiki.warframe.com/w/Meso_E7 | https://wiki.warframe.com/w/Lith_E2</t>
        </is>
      </c>
      <c r="D513" t="inlineStr">
        <is>
          <t>ExportResources</t>
        </is>
      </c>
      <c r="F513" t="inlineStr">
        <is>
          <t>Epitaph Prime Receiver</t>
        </is>
      </c>
      <c r="H513" t="inlineStr">
        <is>
          <t>Solved: current place verified and archived 2026-10-16.</t>
        </is>
      </c>
      <c r="I513" t="inlineStr">
        <is>
          <t>Resources</t>
        </is>
      </c>
      <c r="J513" t="inlineStr">
        <is>
          <t>Lith E2 Relic (Rare) | Meso E6 Relic (Rare) | Meso E7 Relic (Rare) | Meso E8 Relic (Rare) | Neo E4 Relic (Rare)</t>
        </is>
      </c>
      <c r="K513" t="inlineStr">
        <is>
          <t>Void/data</t>
        </is>
      </c>
      <c r="L513" t="inlineStr">
        <is>
          <t>name</t>
        </is>
      </c>
      <c r="M513" t="inlineStr">
        <is>
          <t>Neo E4, Meso E6, Meso E7 and Lith E2 relic drops (vaulted; trade only).</t>
        </is>
      </c>
      <c r="N513" t="inlineStr">
        <is>
          <t>Neo E4 | Meso E6 | Meso E7 | Lith E2</t>
        </is>
      </c>
      <c r="O513" t="inlineStr">
        <is>
          <t>Saved a concrete acquisition place from the official Warframe Wiki. Relic pages list this part in their reward table.</t>
        </is>
      </c>
    </row>
    <row r="514">
      <c r="A514" t="inlineStr">
        <is>
          <t>/Lotus/Types/Items/ShipDecos/Props/LisetPropLASxArcRelayStand</t>
        </is>
      </c>
      <c r="B514" t="inlineStr">
        <is>
          <t>Experimental Arc-Relay Reserve Decoration</t>
        </is>
      </c>
      <c r="C514" t="inlineStr">
        <is>
          <t>https://wiki.warframe.com/w/The_Hex_(Syndicate) | https://wiki.warframe.com/w/Velimir | https://wiki.warframe.com/w/Decorations</t>
        </is>
      </c>
      <c r="D514" t="inlineStr">
        <is>
          <t>ExportResources</t>
        </is>
      </c>
      <c r="F514" t="inlineStr">
        <is>
          <t>Experimental Arc-Relay Reserve Decoration</t>
        </is>
      </c>
      <c r="H514" t="inlineStr">
        <is>
          <t>Solved: current place verified and archived 2026-10-16.</t>
        </is>
      </c>
      <c r="I514" t="inlineStr">
        <is>
          <t>Resources</t>
        </is>
      </c>
      <c r="M514" t="inlineStr">
        <is>
          <t>Purchase from Velimir (The Hex) for 5,000 Standing at Rank 5 (Pizza Party).</t>
        </is>
      </c>
      <c r="N514" t="inlineStr">
        <is>
          <t>Velimir</t>
        </is>
      </c>
      <c r="O514" t="inlineStr">
        <is>
          <t>Saved a concrete acquisition place from the official Warframe Wiki. Velimir page lists it in Offerings.</t>
        </is>
      </c>
    </row>
    <row r="515">
      <c r="A515" t="inlineStr">
        <is>
          <t>/Lotus/Types/Items/ShipDecos/Vignettes/Enemies/ArachnoidCamperTerraAFItem</t>
        </is>
      </c>
      <c r="B515" t="inlineStr">
        <is>
          <t>Exploiter Orb Articula</t>
        </is>
      </c>
      <c r="C515" t="inlineStr">
        <is>
          <t>https://wiki.warframe.com/w/Exploiter_Orb | https://wiki.warframe.com/w/Drop_Tables | https://wiki.warframe.com/w/Operation:_Buried_Debts | https://wiki.warframe.com/w/Decorations/Orbiter_Decorations</t>
        </is>
      </c>
      <c r="D515" t="inlineStr">
        <is>
          <t>ExportResources</t>
        </is>
      </c>
      <c r="F515" t="inlineStr">
        <is>
          <t>Exploiter Orb Articula</t>
        </is>
      </c>
      <c r="H515" t="inlineStr">
        <is>
          <t>Solved: current place verified and archived 2026-10-16.</t>
        </is>
      </c>
      <c r="I515" t="inlineStr">
        <is>
          <t>Resources</t>
        </is>
      </c>
      <c r="M515" t="inlineStr">
        <is>
          <t>Dropped by the Exploiter Orb in Orb Vallis.</t>
        </is>
      </c>
      <c r="N515" t="inlineStr">
        <is>
          <t>Exploiter Orb | Operation: Buried Debts</t>
        </is>
      </c>
      <c r="O515" t="inlineStr">
        <is>
          <t>Saved a concrete acquisition place from the official Warframe Wiki. Exploiter Orb and Buried Debts pages.</t>
        </is>
      </c>
    </row>
    <row r="516">
      <c r="A516" t="inlineStr">
        <is>
          <t>/Lotus/Types/Items/ShipDecos/Plushies/Deimos/PlushySunMonsterCommon</t>
        </is>
      </c>
      <c r="B516" t="inlineStr">
        <is>
          <t>FASS FLOOF</t>
        </is>
      </c>
      <c r="C516" t="inlineStr">
        <is>
          <t>https://wiki.warframe.com/w/Baro_Ki'Teer/TennoCon_Items</t>
        </is>
      </c>
      <c r="D516" t="inlineStr">
        <is>
          <t>ExportResources</t>
        </is>
      </c>
      <c r="F516" t="inlineStr">
        <is>
          <t>FASS FLOOF</t>
        </is>
      </c>
      <c r="H516" t="inlineStr">
        <is>
          <t>Solved: current place verified and archived 2026-10-16.</t>
        </is>
      </c>
      <c r="I516" t="inlineStr">
        <is>
          <t>Resources</t>
        </is>
      </c>
      <c r="J516" t="inlineStr">
        <is>
          <t>Baro Ki'Teer (150 ducats, 125,000 credits)</t>
        </is>
      </c>
      <c r="K516" t="inlineStr">
        <is>
          <t>Baro/data</t>
        </is>
      </c>
      <c r="L516" t="inlineStr">
        <is>
          <t>case</t>
        </is>
      </c>
      <c r="M516" t="inlineStr">
        <is>
          <t>Sold by Baro Ki'Teer at the TennoCon Relay (Baro's Relay Ticket required).</t>
        </is>
      </c>
      <c r="N516" t="inlineStr">
        <is>
          <t>Baro Ki'Teer/TennoCon Items</t>
        </is>
      </c>
      <c r="O516" t="inlineStr">
        <is>
          <t>Saved a concrete acquisition place from the official Warframe Wiki. TennoCon Items page lists the item.</t>
        </is>
      </c>
    </row>
    <row r="517">
      <c r="A517" t="inlineStr">
        <is>
          <t>/Lotus/Types/Items/ShipFeatureItems/FoundryFeatureItem</t>
        </is>
      </c>
      <c r="B517" t="inlineStr">
        <is>
          <t>FOUNDRY SEGMENT</t>
        </is>
      </c>
      <c r="C517" t="inlineStr">
        <is>
          <t>https://wiki.warframe.com/w/Foundry | https://wiki.warframe.com/w/Orbiter_Segments | https://wiki.warframe.com/w/Vor's_Prize/Transcript | https://wiki.warframe.com/w/Mantis</t>
        </is>
      </c>
      <c r="D517" t="inlineStr">
        <is>
          <t>ExportResources</t>
        </is>
      </c>
      <c r="F517" t="inlineStr">
        <is>
          <t>FOUNDRY SEGMENT</t>
        </is>
      </c>
      <c r="H517" t="inlineStr">
        <is>
          <t>Solved: current place verified and archived 2026-10-16.</t>
        </is>
      </c>
      <c r="I517" t="inlineStr">
        <is>
          <t>Resources</t>
        </is>
      </c>
      <c r="M517" t="inlineStr">
        <is>
          <t>Obtained during the Vor's Prize quest.</t>
        </is>
      </c>
      <c r="N517" t="inlineStr">
        <is>
          <t>Orbiter Segments | Foundry | Vor's Prize/Transcript</t>
        </is>
      </c>
      <c r="O517" t="inlineStr">
        <is>
          <t>Saved a concrete acquisition place from the official Warframe Wiki. Orbiter Segments and Foundry pages.</t>
        </is>
      </c>
    </row>
    <row r="518">
      <c r="A518" t="inlineStr">
        <is>
          <t>/Lotus/Types/Items/ShipFeatureItems/Railjack/RailjackHullFeatureItem</t>
        </is>
      </c>
      <c r="B518" t="inlineStr">
        <is>
          <t>FUSELAGE</t>
        </is>
      </c>
      <c r="C518" t="inlineStr">
        <is>
          <t>https://wiki.warframe.com/w/Xiphos | https://wiki.warframe.com/w/Mantis | https://wiki.warframe.com/w/Rising_Tide/Transcript</t>
        </is>
      </c>
      <c r="D518" t="inlineStr">
        <is>
          <t>ExportResources</t>
        </is>
      </c>
      <c r="F518" t="inlineStr">
        <is>
          <t>FUSELAGE</t>
        </is>
      </c>
      <c r="H518" t="inlineStr">
        <is>
          <t>Solved: current place verified and archived 2026-10-16.</t>
        </is>
      </c>
      <c r="I518" t="inlineStr">
        <is>
          <t>Resources</t>
        </is>
      </c>
      <c r="J518" t="inlineStr">
        <is>
          <t>Resources_data</t>
        </is>
      </c>
      <c r="K518" t="inlineStr">
        <is>
          <t>Resources/data</t>
        </is>
      </c>
      <c r="L518" t="inlineStr">
        <is>
          <t>listed, no place</t>
        </is>
      </c>
      <c r="M518" t="inlineStr">
        <is>
          <t>In-game Market for 150 Platinum.</t>
        </is>
      </c>
      <c r="N518" t="inlineStr">
        <is>
          <t>Xiphos | Mantis | Rising Tide/Transcript</t>
        </is>
      </c>
      <c r="O518" t="inlineStr">
        <is>
          <t>We copied where it comes from off the wiki page. See place from wiki page.</t>
        </is>
      </c>
    </row>
    <row r="519">
      <c r="A519" t="inlineStr">
        <is>
          <t>/Lotus/Types/Items/ShipDecos/Nightwave1999FFAmirPoster</t>
        </is>
      </c>
      <c r="B519" t="inlineStr">
        <is>
          <t>Fablemaster Poster</t>
        </is>
      </c>
      <c r="C519" t="inlineStr">
        <is>
          <t>https://wiki.warframe.com/w/Fables_%26_Frontiers | https://wiki.warframe.com/w/Amir</t>
        </is>
      </c>
      <c r="D519" t="inlineStr">
        <is>
          <t>ExportResources</t>
        </is>
      </c>
      <c r="F519" t="inlineStr">
        <is>
          <t>Fablemaster Poster</t>
        </is>
      </c>
      <c r="H519" t="inlineStr">
        <is>
          <t>Solved: current place verified and archived 2026-10-16.</t>
        </is>
      </c>
      <c r="I519" t="inlineStr">
        <is>
          <t>Resources</t>
        </is>
      </c>
      <c r="M519" t="inlineStr">
        <is>
          <t>Purchase from Amir for 5,000 Standing.</t>
        </is>
      </c>
      <c r="N519" t="inlineStr">
        <is>
          <t>Fables &amp; Frontiers | Amir</t>
        </is>
      </c>
      <c r="O519" t="inlineStr">
        <is>
          <t>We copied where it comes from off the wiki page. See place from wiki page.</t>
        </is>
      </c>
    </row>
    <row r="520">
      <c r="A520" t="inlineStr">
        <is>
          <t>/Lotus/Types/Items/ShipDecos/Nightwave1999AmirCharacterSheetPoster</t>
        </is>
      </c>
      <c r="B520" t="inlineStr">
        <is>
          <t>Fablemaster's Character Sheet Poster</t>
        </is>
      </c>
      <c r="C520" t="inlineStr">
        <is>
          <t>https://wiki.warframe.com/w/Fables_%26_Frontiers | https://wiki.warframe.com/w/Amir</t>
        </is>
      </c>
      <c r="D520" t="inlineStr">
        <is>
          <t>ExportResources</t>
        </is>
      </c>
      <c r="F520" t="inlineStr">
        <is>
          <t>Fablemaster's Character Sheet Poster</t>
        </is>
      </c>
      <c r="H520" t="inlineStr">
        <is>
          <t>Solved: current place verified and archived 2026-10-16.</t>
        </is>
      </c>
      <c r="I520" t="inlineStr">
        <is>
          <t>Resources</t>
        </is>
      </c>
      <c r="M520" t="inlineStr">
        <is>
          <t>Purchase from Amir for 5,000 Standing.</t>
        </is>
      </c>
      <c r="N520" t="inlineStr">
        <is>
          <t>Fables &amp; Frontiers | Amir</t>
        </is>
      </c>
      <c r="O520" t="inlineStr">
        <is>
          <t>We copied where it comes from off the wiki page. See place from wiki page.</t>
        </is>
      </c>
    </row>
    <row r="521">
      <c r="A521" t="inlineStr">
        <is>
          <t>/Lotus/Types/Items/ShipDecos/Nightwave/NightwaveMallStoreDiceMetal</t>
        </is>
      </c>
      <c r="B521" t="inlineStr">
        <is>
          <t>Fables &amp; Frontiers Dice Set Decoration</t>
        </is>
      </c>
      <c r="C521" t="inlineStr">
        <is>
          <t>https://wiki.warframe.com/w/Fables_%26_Frontiers | https://wiki.warframe.com/w/Amir</t>
        </is>
      </c>
      <c r="D521" t="inlineStr">
        <is>
          <t>ExportResources</t>
        </is>
      </c>
      <c r="F521" t="inlineStr">
        <is>
          <t>Fables &amp; Frontiers Dice Set Decoration</t>
        </is>
      </c>
      <c r="H521" t="inlineStr">
        <is>
          <t>Solved: current place verified and archived 2026-10-16.</t>
        </is>
      </c>
      <c r="I521" t="inlineStr">
        <is>
          <t>Resources</t>
        </is>
      </c>
      <c r="M521" t="inlineStr">
        <is>
          <t>Purchase from Amir for 10,000 Standing.</t>
        </is>
      </c>
      <c r="N521" t="inlineStr">
        <is>
          <t>Fables &amp; Frontiers | Amir</t>
        </is>
      </c>
      <c r="O521" t="inlineStr">
        <is>
          <t>We copied where it comes from off the wiki page. See place from wiki page.</t>
        </is>
      </c>
    </row>
    <row r="522">
      <c r="A522" t="inlineStr">
        <is>
          <t>/Lotus/Types/Items/ShipDecos/Nightwave1999FFCoverPoster</t>
        </is>
      </c>
      <c r="B522" t="inlineStr">
        <is>
          <t>Fables &amp; Frontiers: Running Late Adventure Poster</t>
        </is>
      </c>
      <c r="C522" t="inlineStr">
        <is>
          <t>https://wiki.warframe.com/w/Decorations/Orbiter_Decorations</t>
        </is>
      </c>
      <c r="D522" t="inlineStr">
        <is>
          <t>ExportResources</t>
        </is>
      </c>
      <c r="F522" t="inlineStr">
        <is>
          <t>Fables &amp; Frontiers: Running Late Adventure Poster</t>
        </is>
      </c>
      <c r="H522" t="inlineStr">
        <is>
          <t>Solved: current place verified and archived 2026-10-16.</t>
        </is>
      </c>
      <c r="I522" t="inlineStr">
        <is>
          <t>Resources</t>
        </is>
      </c>
      <c r="M522" t="inlineStr">
        <is>
          <t>Inbox reward for completing the Fables &amp; Frontiers text adventure in K.I.M.</t>
        </is>
      </c>
      <c r="N522" t="inlineStr">
        <is>
          <t>Decorations/Orbiter Decorations</t>
        </is>
      </c>
      <c r="O522" t="inlineStr">
        <is>
          <t>Saved a concrete acquisition place from the official Warframe Wiki. Posters section.</t>
        </is>
      </c>
    </row>
    <row r="523">
      <c r="A523" t="inlineStr">
        <is>
          <t>/Lotus/Types/Items/ShipDecos/NokkoMushroomScrawlPosterB</t>
        </is>
      </c>
      <c r="B523" t="inlineStr">
        <is>
          <t>Fairy Ring Cave Art</t>
        </is>
      </c>
      <c r="C523" t="inlineStr">
        <is>
          <t>https://wiki.warframe.com/w/Deepmines | https://wiki.warframe.com/w/Muck_Bonnet | https://wiki.warframe.com/w/Blister_Stalk | https://wiki.warframe.com/w/Thunder-Button | https://wiki.warframe.com/w/Decorations/Orbiter_Decorations</t>
        </is>
      </c>
      <c r="D523" t="inlineStr">
        <is>
          <t>ExportResources</t>
        </is>
      </c>
      <c r="F523" t="inlineStr">
        <is>
          <t>Fairy Ring Cave Art</t>
        </is>
      </c>
      <c r="H523" t="inlineStr">
        <is>
          <t>Solved: current place verified and archived 2026-10-16.</t>
        </is>
      </c>
      <c r="I523" t="inlineStr">
        <is>
          <t>Resources</t>
        </is>
      </c>
      <c r="M523" t="inlineStr">
        <is>
          <t>Interact with the Sprodling in the hidden cave in the Deepmines Nutrient Plant tile (Orb Vallis) to get the blueprint.</t>
        </is>
      </c>
      <c r="N523" t="inlineStr">
        <is>
          <t>Deepmines</t>
        </is>
      </c>
      <c r="O523" t="inlineStr">
        <is>
          <t>Saved a concrete acquisition place from the official Warframe Wiki. Deepmines page Cave Art and Somachords table gives the location and Foundry cost.</t>
        </is>
      </c>
    </row>
    <row r="524">
      <c r="A524" t="inlineStr">
        <is>
          <t>/Lotus/Types/Items/ShipDecos/Plants/Nokko/LisetPropGftSilverLadyFernC</t>
        </is>
      </c>
      <c r="B524" t="inlineStr">
        <is>
          <t>Fern (Brown)</t>
        </is>
      </c>
      <c r="C524" t="inlineStr">
        <is>
          <t>https://wiki.warframe.com/w/Nightcap</t>
        </is>
      </c>
      <c r="D524" t="inlineStr">
        <is>
          <t>ExportResources</t>
        </is>
      </c>
      <c r="F524" t="inlineStr">
        <is>
          <t>Fern (Brown)</t>
        </is>
      </c>
      <c r="H524" t="inlineStr">
        <is>
          <t>Solved: current place verified and archived 2026-10-16.</t>
        </is>
      </c>
      <c r="I524" t="inlineStr">
        <is>
          <t>Resources</t>
        </is>
      </c>
      <c r="M524" t="inlineStr">
        <is>
          <t>Purchase from Nightcap's Nursery for 10 Fergolyte.</t>
        </is>
      </c>
      <c r="N524" t="inlineStr">
        <is>
          <t>Nightcap</t>
        </is>
      </c>
      <c r="O524" t="inlineStr">
        <is>
          <t>Saved a concrete acquisition place from the official Warframe Wiki. Nightcap page lists it in Offerings &gt; Nursery.</t>
        </is>
      </c>
    </row>
    <row r="525">
      <c r="A525" t="inlineStr">
        <is>
          <t>/Lotus/Types/Items/ShipDecos/Plants/Nokko/LisetPropGftSilverLadyFernB</t>
        </is>
      </c>
      <c r="B525" t="inlineStr">
        <is>
          <t>Fern (Healthy)</t>
        </is>
      </c>
      <c r="C525" t="inlineStr">
        <is>
          <t>https://wiki.warframe.com/w/Nightcap</t>
        </is>
      </c>
      <c r="D525" t="inlineStr">
        <is>
          <t>ExportResources</t>
        </is>
      </c>
      <c r="F525" t="inlineStr">
        <is>
          <t>Fern (Healthy)</t>
        </is>
      </c>
      <c r="H525" t="inlineStr">
        <is>
          <t>Solved: current place verified and archived 2026-10-16.</t>
        </is>
      </c>
      <c r="I525" t="inlineStr">
        <is>
          <t>Resources</t>
        </is>
      </c>
      <c r="M525" t="inlineStr">
        <is>
          <t>Purchase from Nightcap's Nursery for 10 Fergolyte.</t>
        </is>
      </c>
      <c r="N525" t="inlineStr">
        <is>
          <t>Nightcap</t>
        </is>
      </c>
      <c r="O525" t="inlineStr">
        <is>
          <t>Saved a concrete acquisition place from the official Warframe Wiki. Nightcap page lists it in Offerings &gt; Nursery.</t>
        </is>
      </c>
    </row>
    <row r="526">
      <c r="A526" t="inlineStr">
        <is>
          <t>/Lotus/Types/Items/ShipDecos/ResourceDecoItemFerrite</t>
        </is>
      </c>
      <c r="B526" t="inlineStr">
        <is>
          <t>Ferrite Decoration</t>
        </is>
      </c>
      <c r="C526" t="inlineStr">
        <is>
          <t>https://wiki.warframe.com/w/Market/Equipment</t>
        </is>
      </c>
      <c r="D526" t="inlineStr">
        <is>
          <t>ExportResources</t>
        </is>
      </c>
      <c r="F526" t="inlineStr">
        <is>
          <t>Ferrite Decoration</t>
        </is>
      </c>
      <c r="H526" t="inlineStr">
        <is>
          <t>Solved: current place verified and archived 2026-10-16.</t>
        </is>
      </c>
      <c r="I526" t="inlineStr">
        <is>
          <t>Resources</t>
        </is>
      </c>
      <c r="M526" t="inlineStr">
        <is>
          <t>In-game Market for 5 Platinum.</t>
        </is>
      </c>
      <c r="N526" t="inlineStr">
        <is>
          <t>Market/Equipment</t>
        </is>
      </c>
      <c r="O526" t="inlineStr">
        <is>
          <t>Saved a concrete acquisition place from the official Warframe Wiki. Market/Equipment lists it with a Platinum price.</t>
        </is>
      </c>
    </row>
    <row r="527">
      <c r="A527" t="inlineStr">
        <is>
          <t>/Lotus/Types/Items/ShipDecos/ContainerDecoItemFerriteDeposit</t>
        </is>
      </c>
      <c r="B527" t="inlineStr">
        <is>
          <t>Ferrite Deposit Decoration</t>
        </is>
      </c>
      <c r="C527" t="inlineStr">
        <is>
          <t>https://wiki.warframe.com/w/Market/Equipment</t>
        </is>
      </c>
      <c r="D527" t="inlineStr">
        <is>
          <t>ExportResources</t>
        </is>
      </c>
      <c r="F527" t="inlineStr">
        <is>
          <t>Ferrite Deposit Decoration</t>
        </is>
      </c>
      <c r="H527" t="inlineStr">
        <is>
          <t>Solved: current place verified and archived 2026-10-16.</t>
        </is>
      </c>
      <c r="I527" t="inlineStr">
        <is>
          <t>Resources</t>
        </is>
      </c>
      <c r="M527" t="inlineStr">
        <is>
          <t>In-game Market for 20 Platinum.</t>
        </is>
      </c>
      <c r="N527" t="inlineStr">
        <is>
          <t>Market/Equipment</t>
        </is>
      </c>
      <c r="O527" t="inlineStr">
        <is>
          <t>Saved a concrete acquisition place from the official Warframe Wiki. Market/Equipment lists it with a Platinum price.</t>
        </is>
      </c>
    </row>
    <row r="528">
      <c r="A528" t="inlineStr">
        <is>
          <t>/Lotus/Types/Items/ShipDecos/Props/Seasonal/OrnamentDomestikDrone</t>
        </is>
      </c>
      <c r="B528" t="inlineStr">
        <is>
          <t>Festive Domestik Ornament</t>
        </is>
      </c>
      <c r="C528" t="inlineStr">
        <is>
          <t>https://wiki.warframe.com/w/Tennobaum | https://wiki.warframe.com/w/Decorations/Orbiter_Decorations</t>
        </is>
      </c>
      <c r="D528" t="inlineStr">
        <is>
          <t>ExportResources</t>
        </is>
      </c>
      <c r="F528" t="inlineStr">
        <is>
          <t>Festive Domestik Ornament</t>
        </is>
      </c>
      <c r="H528" t="inlineStr">
        <is>
          <t>Solved: current place verified and archived 2026-10-16.</t>
        </is>
      </c>
      <c r="I528" t="inlineStr">
        <is>
          <t>Resources</t>
        </is>
      </c>
      <c r="M528" t="inlineStr">
        <is>
          <t>Tennobaum 2025 reward.</t>
        </is>
      </c>
      <c r="N528" t="inlineStr">
        <is>
          <t>Tennobaum | Decorations/Orbiter Decorations</t>
        </is>
      </c>
      <c r="O528" t="inlineStr">
        <is>
          <t>We copied where it comes from off the wiki page. See place from wiki page.</t>
        </is>
      </c>
    </row>
    <row r="529">
      <c r="A529" t="inlineStr">
        <is>
          <t>/Lotus/Types/Items/ShipDecos/Props/Seasonal/OrnamentEndosphere</t>
        </is>
      </c>
      <c r="B529" t="inlineStr">
        <is>
          <t>Festive Endosphere Ornament</t>
        </is>
      </c>
      <c r="C529" t="inlineStr">
        <is>
          <t>https://wiki.warframe.com/w/Tennobaum | https://wiki.warframe.com/w/Decorations/Orbiter_Decorations</t>
        </is>
      </c>
      <c r="D529" t="inlineStr">
        <is>
          <t>ExportResources</t>
        </is>
      </c>
      <c r="F529" t="inlineStr">
        <is>
          <t>Festive Endosphere Ornament</t>
        </is>
      </c>
      <c r="H529" t="inlineStr">
        <is>
          <t>Solved: current place verified and archived 2026-10-16.</t>
        </is>
      </c>
      <c r="I529" t="inlineStr">
        <is>
          <t>Resources</t>
        </is>
      </c>
      <c r="M529" t="inlineStr">
        <is>
          <t>Tennobaum 2025 reward.</t>
        </is>
      </c>
      <c r="N529" t="inlineStr">
        <is>
          <t>Tennobaum | Decorations/Orbiter Decorations</t>
        </is>
      </c>
      <c r="O529" t="inlineStr">
        <is>
          <t>We copied where it comes from off the wiki page. See place from wiki page.</t>
        </is>
      </c>
    </row>
    <row r="530">
      <c r="A530" t="inlineStr">
        <is>
          <t>/Lotus/Types/Items/ShipChristmasifier</t>
        </is>
      </c>
      <c r="B530" t="inlineStr">
        <is>
          <t>Festive Interior Decorations</t>
        </is>
      </c>
      <c r="C530" t="inlineStr">
        <is>
          <t>https://wiki.warframe.com/w/Tennobaum | https://wiki.warframe.com/w/Orbiter | https://wiki.warframe.com/w/Decorations/Orbiter_Decorations</t>
        </is>
      </c>
      <c r="D530" t="inlineStr">
        <is>
          <t>ExportResources</t>
        </is>
      </c>
      <c r="F530" t="inlineStr">
        <is>
          <t>Festive Interior Decorations</t>
        </is>
      </c>
      <c r="H530" t="inlineStr">
        <is>
          <t>Solved: current place verified and archived 2026-10-16.</t>
        </is>
      </c>
      <c r="I530" t="inlineStr">
        <is>
          <t>Resources</t>
        </is>
      </c>
      <c r="M530" t="inlineStr">
        <is>
          <t>In-game Market for 1 Credit during Christmas.</t>
        </is>
      </c>
      <c r="N530" t="inlineStr">
        <is>
          <t>Tennobaum | Orbiter | Decorations/Orbiter Decorations | Update 38</t>
        </is>
      </c>
      <c r="O530" t="inlineStr">
        <is>
          <t>We copied where it comes from off the wiki page. See place from wiki page.</t>
        </is>
      </c>
    </row>
    <row r="531">
      <c r="A531" t="inlineStr">
        <is>
          <t>/Lotus/Types/Items/ShipDecos/Props/Seasonal/OrnamentRelic</t>
        </is>
      </c>
      <c r="B531" t="inlineStr">
        <is>
          <t>Festive Relic Ornament</t>
        </is>
      </c>
      <c r="C531" t="inlineStr">
        <is>
          <t>https://wiki.warframe.com/w/Tennobaum | https://wiki.warframe.com/w/Decorations/Orbiter_Decorations</t>
        </is>
      </c>
      <c r="D531" t="inlineStr">
        <is>
          <t>ExportResources</t>
        </is>
      </c>
      <c r="F531" t="inlineStr">
        <is>
          <t>Festive Relic Ornament</t>
        </is>
      </c>
      <c r="H531" t="inlineStr">
        <is>
          <t>Solved: current place verified and archived 2026-10-16.</t>
        </is>
      </c>
      <c r="I531" t="inlineStr">
        <is>
          <t>Resources</t>
        </is>
      </c>
      <c r="M531" t="inlineStr">
        <is>
          <t>Tennobaum 2025 reward.</t>
        </is>
      </c>
      <c r="N531" t="inlineStr">
        <is>
          <t>Tennobaum | Decorations/Orbiter Decorations</t>
        </is>
      </c>
      <c r="O531" t="inlineStr">
        <is>
          <t>We copied where it comes from off the wiki page. See place from wiki page.</t>
        </is>
      </c>
    </row>
    <row r="532">
      <c r="A532" t="inlineStr">
        <is>
          <t>/Lotus/Types/Items/ShipDecos/Plushies/FishPlush</t>
        </is>
      </c>
      <c r="B532" t="inlineStr">
        <is>
          <t>Fibonacci Floof</t>
        </is>
      </c>
      <c r="C532" t="inlineStr">
        <is>
          <t>https://wiki.warframe.com/w/Pride_(Event)</t>
        </is>
      </c>
      <c r="D532" t="inlineStr">
        <is>
          <t>ExportResources</t>
        </is>
      </c>
      <c r="F532" t="inlineStr">
        <is>
          <t>Fibonacci Floof</t>
        </is>
      </c>
      <c r="H532" t="inlineStr">
        <is>
          <t>Solved: current place verified and archived 2026-10-16.</t>
        </is>
      </c>
      <c r="I532" t="inlineStr">
        <is>
          <t>Resources</t>
        </is>
      </c>
      <c r="M532" t="inlineStr">
        <is>
          <t>Twitch drop during a Pride creator stream; Pride is held each June.</t>
        </is>
      </c>
      <c r="N532" t="inlineStr">
        <is>
          <t>Pride (Event)</t>
        </is>
      </c>
      <c r="O532" t="inlineStr">
        <is>
          <t>Saved a concrete acquisition place from the official Warframe Wiki. Pride event page lists it under Featured Creator Streams and Drops.</t>
        </is>
      </c>
    </row>
    <row r="533">
      <c r="A533" t="inlineStr">
        <is>
          <t>/Lotus/Types/Items/ShipDecos/Plants/Nokko/LisetPropGftFilterPlant</t>
        </is>
      </c>
      <c r="B533" t="inlineStr">
        <is>
          <t>Filter Flower</t>
        </is>
      </c>
      <c r="C533" t="inlineStr">
        <is>
          <t>https://wiki.warframe.com/w/Nightcap</t>
        </is>
      </c>
      <c r="D533" t="inlineStr">
        <is>
          <t>ExportResources</t>
        </is>
      </c>
      <c r="F533" t="inlineStr">
        <is>
          <t>Filter Flower</t>
        </is>
      </c>
      <c r="H533" t="inlineStr">
        <is>
          <t>Solved: current place verified and archived 2026-10-16.</t>
        </is>
      </c>
      <c r="I533" t="inlineStr">
        <is>
          <t>Resources</t>
        </is>
      </c>
      <c r="M533" t="inlineStr">
        <is>
          <t>Purchase from Nightcap's Nursery for 10 Fergolyte.</t>
        </is>
      </c>
      <c r="N533" t="inlineStr">
        <is>
          <t>Nightcap</t>
        </is>
      </c>
      <c r="O533" t="inlineStr">
        <is>
          <t>Saved a concrete acquisition place from the official Warframe Wiki. Nightcap page lists it in Offerings &gt; Nursery.</t>
        </is>
      </c>
    </row>
    <row r="534">
      <c r="A534" t="inlineStr">
        <is>
          <t>/Lotus/Types/Items/PhotoBooth/2025FallUpdate/PhotoboothFiveFates</t>
        </is>
      </c>
      <c r="B534" t="inlineStr">
        <is>
          <t>Five Fates Scene</t>
        </is>
      </c>
      <c r="C534" t="inlineStr">
        <is>
          <t>https://wiki.warframe.com/w/Fate_Pearl | https://wiki.warframe.com/w/Koumei's_Shrine | https://wiki.warframe.com/w/Captura</t>
        </is>
      </c>
      <c r="D534" t="inlineStr">
        <is>
          <t>ExportResources</t>
        </is>
      </c>
      <c r="F534" t="inlineStr">
        <is>
          <t>Five Fates Scene</t>
        </is>
      </c>
      <c r="H534" t="inlineStr">
        <is>
          <t>Solved: current place verified and archived 2026-10-16.</t>
        </is>
      </c>
      <c r="I534" t="inlineStr">
        <is>
          <t>Resources</t>
        </is>
      </c>
      <c r="M534" t="inlineStr">
        <is>
          <t>Purchase from Koumei's Shrine in Cetus for 200 Fate Pearls.</t>
        </is>
      </c>
      <c r="N534" t="inlineStr">
        <is>
          <t>Fate Pearl | Koumei's Shrine | Captura</t>
        </is>
      </c>
      <c r="O534" t="inlineStr">
        <is>
          <t>We copied where it comes from off the wiki page. See place from wiki page.</t>
        </is>
      </c>
    </row>
    <row r="535">
      <c r="A535" t="inlineStr">
        <is>
          <t>/Lotus/Types/Items/ShipDecos/Tennocon2018PlanterC</t>
        </is>
      </c>
      <c r="B535" t="inlineStr">
        <is>
          <t>Flower Decanter</t>
        </is>
      </c>
      <c r="C535" t="inlineStr">
        <is>
          <t>https://wiki.warframe.com/w/Decorations/Orbiter_Decorations</t>
        </is>
      </c>
      <c r="D535" t="inlineStr">
        <is>
          <t>ExportResources</t>
        </is>
      </c>
      <c r="F535" t="inlineStr">
        <is>
          <t>Flower Decanter</t>
        </is>
      </c>
      <c r="H535" t="inlineStr">
        <is>
          <t>Solved: current place verified and archived 2026-10-16.</t>
        </is>
      </c>
      <c r="I535" t="inlineStr">
        <is>
          <t>Resources</t>
        </is>
      </c>
      <c r="M535" t="inlineStr">
        <is>
          <t>In-game Market for 35 Platinum.</t>
        </is>
      </c>
      <c r="N535" t="inlineStr">
        <is>
          <t>Decorations/Orbiter Decorations | Update 25</t>
        </is>
      </c>
      <c r="O535" t="inlineStr">
        <is>
          <t>We copied where it comes from off the wiki page. See place from wiki page.</t>
        </is>
      </c>
    </row>
    <row r="536">
      <c r="A536" t="inlineStr">
        <is>
          <t>/Lotus/Types/Recipes/Weapons/WeaponParts/ArchRocketCrossbowStock</t>
        </is>
      </c>
      <c r="B536" t="inlineStr">
        <is>
          <t>Fluctus Limbs</t>
        </is>
      </c>
      <c r="C536" t="inlineStr">
        <is>
          <t>https://wiki.warframe.com/w/Red_Veil | https://wiki.warframe.com/w/Blueprints/Archwing_Primary</t>
        </is>
      </c>
      <c r="D536" t="inlineStr">
        <is>
          <t>ExportResources</t>
        </is>
      </c>
      <c r="F536" t="inlineStr">
        <is>
          <t>Fluctus Limbs</t>
        </is>
      </c>
      <c r="H536" t="inlineStr">
        <is>
          <t>Solved: current place verified and archived 2026-10-16.</t>
        </is>
      </c>
      <c r="I536" t="inlineStr">
        <is>
          <t>Resources</t>
        </is>
      </c>
      <c r="M536" t="inlineStr">
        <is>
          <t>Purchase from Red Veil for 20,000 Standing at Rank 3 (Esteemed).</t>
        </is>
      </c>
      <c r="N536" t="inlineStr">
        <is>
          <t>Red Veil</t>
        </is>
      </c>
      <c r="O536" t="inlineStr">
        <is>
          <t>Saved a concrete acquisition place from the official Warframe Wiki. Red Veil page lists it in Offerings.</t>
        </is>
      </c>
    </row>
    <row r="537">
      <c r="A537" t="inlineStr">
        <is>
          <t>/Lotus/Types/Items/ShipDecos/TarotCardFollie</t>
        </is>
      </c>
      <c r="B537" t="inlineStr">
        <is>
          <t>Follie Prex</t>
        </is>
      </c>
      <c r="C537" t="inlineStr">
        <is>
          <t>https://wiki.warframe.com/w/Atramentum | https://wiki.warframe.com/w/Aspirant_Zorba</t>
        </is>
      </c>
      <c r="D537" t="inlineStr">
        <is>
          <t>ExportResources</t>
        </is>
      </c>
      <c r="F537" t="inlineStr">
        <is>
          <t>Follie Prex</t>
        </is>
      </c>
      <c r="H537" t="inlineStr">
        <is>
          <t>Solved: current place verified and archived 2026-10-16.</t>
        </is>
      </c>
      <c r="I537" t="inlineStr">
        <is>
          <t>Resources</t>
        </is>
      </c>
      <c r="M537" t="inlineStr">
        <is>
          <t>Purchase from Aspirant Zorba for 600 Atramentum.</t>
        </is>
      </c>
      <c r="N537" t="inlineStr">
        <is>
          <t>Atramentum | Aspirant Zorba | Update 42: The Shadowgrapher</t>
        </is>
      </c>
      <c r="O537" t="inlineStr">
        <is>
          <t>We copied where it comes from off the wiki page. See place from wiki page.</t>
        </is>
      </c>
    </row>
    <row r="538">
      <c r="A538" t="inlineStr">
        <is>
          <t>/Lotus/Types/Items/ShipDecos/Props/FollieBalloonShipDeco</t>
        </is>
      </c>
      <c r="B538" t="inlineStr">
        <is>
          <t>Follie's Balloon</t>
        </is>
      </c>
      <c r="C538" t="inlineStr">
        <is>
          <t>https://wiki.warframe.com/w/The_Shadowgrapher_Bundle | https://wiki.warframe.com/w/Decorations/Orbiter_Decorations</t>
        </is>
      </c>
      <c r="D538" t="inlineStr">
        <is>
          <t>ExportResources</t>
        </is>
      </c>
      <c r="F538" t="inlineStr">
        <is>
          <t>Follie's Balloon</t>
        </is>
      </c>
      <c r="H538" t="inlineStr">
        <is>
          <t>Solved: current place verified and archived 2026-10-16.</t>
        </is>
      </c>
      <c r="I538" t="inlineStr">
        <is>
          <t>Resources</t>
        </is>
      </c>
      <c r="M538" t="inlineStr">
        <is>
          <t>In-game Market for 35 Platinum.</t>
        </is>
      </c>
      <c r="N538" t="inlineStr">
        <is>
          <t>The Shadowgrapher Bundle | Update 42: The Shadowgrapher | Decorations/Orbiter Decorations</t>
        </is>
      </c>
      <c r="O538" t="inlineStr">
        <is>
          <t>We copied where it comes from off the wiki page. See place from wiki page.</t>
        </is>
      </c>
    </row>
    <row r="539">
      <c r="A539" t="inlineStr">
        <is>
          <t>/Lotus/Types/Items/ShipDecos/FrameFighterPoster</t>
        </is>
      </c>
      <c r="B539" t="inlineStr">
        <is>
          <t>Frame Fighter Poster</t>
        </is>
      </c>
      <c r="C539" t="inlineStr">
        <is>
          <t>https://wiki.warframe.com/w/Frame_Fighter | https://wiki.warframe.com/w/Decorations/Orbiter_Decorations</t>
        </is>
      </c>
      <c r="D539" t="inlineStr">
        <is>
          <t>ExportResources</t>
        </is>
      </c>
      <c r="F539" t="inlineStr">
        <is>
          <t>Frame Fighter Poster</t>
        </is>
      </c>
      <c r="H539" t="inlineStr">
        <is>
          <t>Solved: current place verified and archived 2026-10-16.</t>
        </is>
      </c>
      <c r="I539" t="inlineStr">
        <is>
          <t>Resources</t>
        </is>
      </c>
      <c r="M539" t="inlineStr">
        <is>
          <t>Awarded for unlocking all Warframes in Frame Fighter.</t>
        </is>
      </c>
      <c r="N539" t="inlineStr">
        <is>
          <t>Frame Fighter | Update 23 | Decorations/Orbiter Decorations</t>
        </is>
      </c>
      <c r="O539" t="inlineStr">
        <is>
          <t>We copied where it comes from off the wiki page. See place from wiki page.</t>
        </is>
      </c>
    </row>
    <row r="540">
      <c r="A540" t="inlineStr">
        <is>
          <t>/Lotus/Types/Items/ShipDecos/Plants/Nokko/LisetPropZenGardenWildGingerB</t>
        </is>
      </c>
      <c r="B540" t="inlineStr">
        <is>
          <t>Frostleaf Decoration</t>
        </is>
      </c>
      <c r="C540" t="inlineStr">
        <is>
          <t>https://wiki.warframe.com/w/Nightcap</t>
        </is>
      </c>
      <c r="D540" t="inlineStr">
        <is>
          <t>ExportResources</t>
        </is>
      </c>
      <c r="F540" t="inlineStr">
        <is>
          <t>Frostleaf Decoration</t>
        </is>
      </c>
      <c r="H540" t="inlineStr">
        <is>
          <t>Solved: current place verified and archived 2026-10-16.</t>
        </is>
      </c>
      <c r="I540" t="inlineStr">
        <is>
          <t>Resources</t>
        </is>
      </c>
      <c r="M540" t="inlineStr">
        <is>
          <t>Purchase from Nightcap's Nursery for 10 Fergolyte.</t>
        </is>
      </c>
      <c r="N540" t="inlineStr">
        <is>
          <t>Nightcap</t>
        </is>
      </c>
      <c r="O540" t="inlineStr">
        <is>
          <t>Saved a concrete acquisition place from the official Warframe Wiki. Nightcap page lists it in Offerings &gt; Nursery.</t>
        </is>
      </c>
    </row>
    <row r="541">
      <c r="A541" t="inlineStr">
        <is>
          <t>/Lotus/Types/Items/ShipDecos/ResourceDecoItemGallium</t>
        </is>
      </c>
      <c r="B541" t="inlineStr">
        <is>
          <t>Gallium Decoration</t>
        </is>
      </c>
      <c r="C541" t="inlineStr">
        <is>
          <t>https://wiki.warframe.com/w/Market/Equipment</t>
        </is>
      </c>
      <c r="D541" t="inlineStr">
        <is>
          <t>ExportResources</t>
        </is>
      </c>
      <c r="F541" t="inlineStr">
        <is>
          <t>Gallium Decoration</t>
        </is>
      </c>
      <c r="H541" t="inlineStr">
        <is>
          <t>Solved: current place verified and archived 2026-10-16.</t>
        </is>
      </c>
      <c r="I541" t="inlineStr">
        <is>
          <t>Resources</t>
        </is>
      </c>
      <c r="M541" t="inlineStr">
        <is>
          <t>In-game Market for 5 Platinum.</t>
        </is>
      </c>
      <c r="N541" t="inlineStr">
        <is>
          <t>Market/Equipment</t>
        </is>
      </c>
      <c r="O541" t="inlineStr">
        <is>
          <t>Saved a concrete acquisition place from the official Warframe Wiki. Market/Equipment lists it with a Platinum price.</t>
        </is>
      </c>
    </row>
    <row r="542">
      <c r="A542" t="inlineStr">
        <is>
          <t>/Lotus/Types/Items/ShipDecos/ContainerDecoItemGalliumDeposit</t>
        </is>
      </c>
      <c r="B542" t="inlineStr">
        <is>
          <t>Gallium Deposit Decoration</t>
        </is>
      </c>
      <c r="C542" t="inlineStr">
        <is>
          <t>https://wiki.warframe.com/w/Market/Equipment</t>
        </is>
      </c>
      <c r="D542" t="inlineStr">
        <is>
          <t>ExportResources</t>
        </is>
      </c>
      <c r="F542" t="inlineStr">
        <is>
          <t>Gallium Deposit Decoration</t>
        </is>
      </c>
      <c r="H542" t="inlineStr">
        <is>
          <t>Solved: current place verified and archived 2026-10-16.</t>
        </is>
      </c>
      <c r="I542" t="inlineStr">
        <is>
          <t>Resources</t>
        </is>
      </c>
      <c r="M542" t="inlineStr">
        <is>
          <t>In-game Market for 20 Platinum.</t>
        </is>
      </c>
      <c r="N542" t="inlineStr">
        <is>
          <t>Market/Equipment</t>
        </is>
      </c>
      <c r="O542" t="inlineStr">
        <is>
          <t>Saved a concrete acquisition place from the official Warframe Wiki. Market/Equipment lists it with a Platinum price.</t>
        </is>
      </c>
    </row>
    <row r="543">
      <c r="A543" t="inlineStr">
        <is>
          <t>/Lotus/Types/Items/ShipDecos/XakuPotC</t>
        </is>
      </c>
      <c r="B543" t="inlineStr">
        <is>
          <t>Gallixware Bisque Amphora</t>
        </is>
      </c>
      <c r="C543" t="inlineStr">
        <is>
          <t>https://wiki.warframe.com/w/Golden_Mend_Collection | https://wiki.warframe.com/w/Bren_Terrasiam | https://wiki.warframe.com/w/Decorations/Orbiter_Decorations</t>
        </is>
      </c>
      <c r="D543" t="inlineStr">
        <is>
          <t>ExportResources</t>
        </is>
      </c>
      <c r="F543" t="inlineStr">
        <is>
          <t>Gallixware Bisque Amphora</t>
        </is>
      </c>
      <c r="H543" t="inlineStr">
        <is>
          <t>Solved: current place verified and archived 2026-10-16.</t>
        </is>
      </c>
      <c r="I543" t="inlineStr">
        <is>
          <t>Resources</t>
        </is>
      </c>
      <c r="M543" t="inlineStr">
        <is>
          <t>In-game Market as part of the Golden Mend Collection for 430 Platinum.</t>
        </is>
      </c>
      <c r="N543" t="inlineStr">
        <is>
          <t>Golden Mend Collection | Bren Terrasiam | Decorations/Orbiter Decorations</t>
        </is>
      </c>
      <c r="O543" t="inlineStr">
        <is>
          <t>We copied where it comes from off the wiki page. See place from wiki page.</t>
        </is>
      </c>
    </row>
    <row r="544">
      <c r="A544" t="inlineStr">
        <is>
          <t>/Lotus/Types/Items/ShipDecos/XakuPotD</t>
        </is>
      </c>
      <c r="B544" t="inlineStr">
        <is>
          <t>Gallixware Coiled Vase</t>
        </is>
      </c>
      <c r="C544" t="inlineStr">
        <is>
          <t>https://wiki.warframe.com/w/Golden_Mend_Collection | https://wiki.warframe.com/w/Bren_Terrasiam | https://wiki.warframe.com/w/Decorations/Orbiter_Decorations</t>
        </is>
      </c>
      <c r="D544" t="inlineStr">
        <is>
          <t>ExportResources</t>
        </is>
      </c>
      <c r="F544" t="inlineStr">
        <is>
          <t>Gallixware Coiled Vase</t>
        </is>
      </c>
      <c r="H544" t="inlineStr">
        <is>
          <t>Solved: current place verified and archived 2026-10-16.</t>
        </is>
      </c>
      <c r="I544" t="inlineStr">
        <is>
          <t>Resources</t>
        </is>
      </c>
      <c r="M544" t="inlineStr">
        <is>
          <t>In-game Market as part of the Golden Mend Collection for 430 Platinum.</t>
        </is>
      </c>
      <c r="N544" t="inlineStr">
        <is>
          <t>Golden Mend Collection | Bren Terrasiam | Decorations/Orbiter Decorations</t>
        </is>
      </c>
      <c r="O544" t="inlineStr">
        <is>
          <t>We copied where it comes from off the wiki page. See place from wiki page.</t>
        </is>
      </c>
    </row>
    <row r="545">
      <c r="A545" t="inlineStr">
        <is>
          <t>/Lotus/Types/Items/ShipDecos/XakuPotF</t>
        </is>
      </c>
      <c r="B545" t="inlineStr">
        <is>
          <t>Gallixware Frit Plate</t>
        </is>
      </c>
      <c r="C545" t="inlineStr">
        <is>
          <t>https://wiki.warframe.com/w/Golden_Mend_Collection | https://wiki.warframe.com/w/Bren_Terrasiam | https://wiki.warframe.com/w/Decorations/Orbiter_Decorations</t>
        </is>
      </c>
      <c r="D545" t="inlineStr">
        <is>
          <t>ExportResources</t>
        </is>
      </c>
      <c r="F545" t="inlineStr">
        <is>
          <t>Gallixware Frit Plate</t>
        </is>
      </c>
      <c r="H545" t="inlineStr">
        <is>
          <t>Solved: current place verified and archived 2026-10-16.</t>
        </is>
      </c>
      <c r="I545" t="inlineStr">
        <is>
          <t>Resources</t>
        </is>
      </c>
      <c r="M545" t="inlineStr">
        <is>
          <t>In-game Market as part of the Golden Mend Collection for 430 Platinum.</t>
        </is>
      </c>
      <c r="N545" t="inlineStr">
        <is>
          <t>Golden Mend Collection | Bren Terrasiam | Decorations/Orbiter Decorations</t>
        </is>
      </c>
      <c r="O545" t="inlineStr">
        <is>
          <t>We copied where it comes from off the wiki page. See place from wiki page.</t>
        </is>
      </c>
    </row>
    <row r="546">
      <c r="A546" t="inlineStr">
        <is>
          <t>/Lotus/Types/Items/ShipDecos/XakuPotB</t>
        </is>
      </c>
      <c r="B546" t="inlineStr">
        <is>
          <t>Gallixware Kaolin Bowl</t>
        </is>
      </c>
      <c r="C546" t="inlineStr">
        <is>
          <t>https://wiki.warframe.com/w/Golden_Mend_Collection | https://wiki.warframe.com/w/Bren_Terrasiam | https://wiki.warframe.com/w/Decorations/Orbiter_Decorations</t>
        </is>
      </c>
      <c r="D546" t="inlineStr">
        <is>
          <t>ExportResources</t>
        </is>
      </c>
      <c r="F546" t="inlineStr">
        <is>
          <t>Gallixware Kaolin Bowl</t>
        </is>
      </c>
      <c r="H546" t="inlineStr">
        <is>
          <t>Solved: current place verified and archived 2026-10-16.</t>
        </is>
      </c>
      <c r="I546" t="inlineStr">
        <is>
          <t>Resources</t>
        </is>
      </c>
      <c r="M546" t="inlineStr">
        <is>
          <t>In-game Market as part of the Golden Mend Collection for 430 Platinum.</t>
        </is>
      </c>
      <c r="N546" t="inlineStr">
        <is>
          <t>Golden Mend Collection | Bren Terrasiam | Decorations/Orbiter Decorations</t>
        </is>
      </c>
      <c r="O546" t="inlineStr">
        <is>
          <t>We copied where it comes from off the wiki page. See place from wiki page.</t>
        </is>
      </c>
    </row>
    <row r="547">
      <c r="A547" t="inlineStr">
        <is>
          <t>/Lotus/Types/Items/ShipDecos/XakuPotA</t>
        </is>
      </c>
      <c r="B547" t="inlineStr">
        <is>
          <t>Gallixware Raku Vase</t>
        </is>
      </c>
      <c r="C547" t="inlineStr">
        <is>
          <t>https://wiki.warframe.com/w/Golden_Mend_Collection | https://wiki.warframe.com/w/Bren_Terrasiam | https://wiki.warframe.com/w/Decorations/Orbiter_Decorations</t>
        </is>
      </c>
      <c r="D547" t="inlineStr">
        <is>
          <t>ExportResources</t>
        </is>
      </c>
      <c r="F547" t="inlineStr">
        <is>
          <t>Gallixware Raku Vase</t>
        </is>
      </c>
      <c r="H547" t="inlineStr">
        <is>
          <t>Solved: current place verified and archived 2026-10-16.</t>
        </is>
      </c>
      <c r="I547" t="inlineStr">
        <is>
          <t>Resources</t>
        </is>
      </c>
      <c r="M547" t="inlineStr">
        <is>
          <t>In-game Market as part of the Golden Mend Collection for 430 Platinum.</t>
        </is>
      </c>
      <c r="N547" t="inlineStr">
        <is>
          <t>Golden Mend Collection | Bren Terrasiam | Decorations/Orbiter Decorations</t>
        </is>
      </c>
      <c r="O547" t="inlineStr">
        <is>
          <t>We copied where it comes from off the wiki page. See place from wiki page.</t>
        </is>
      </c>
    </row>
    <row r="548">
      <c r="A548" t="inlineStr">
        <is>
          <t>/Lotus/Types/Items/ShipDecos/XakuPotE</t>
        </is>
      </c>
      <c r="B548" t="inlineStr">
        <is>
          <t>Gallixware Studded Vase</t>
        </is>
      </c>
      <c r="C548" t="inlineStr">
        <is>
          <t>https://wiki.warframe.com/w/Golden_Mend_Collection | https://wiki.warframe.com/w/Bren_Terrasiam | https://wiki.warframe.com/w/Decorations/Orbiter_Decorations</t>
        </is>
      </c>
      <c r="D548" t="inlineStr">
        <is>
          <t>ExportResources</t>
        </is>
      </c>
      <c r="F548" t="inlineStr">
        <is>
          <t>Gallixware Studded Vase</t>
        </is>
      </c>
      <c r="H548" t="inlineStr">
        <is>
          <t>Solved: current place verified and archived 2026-10-16.</t>
        </is>
      </c>
      <c r="I548" t="inlineStr">
        <is>
          <t>Resources</t>
        </is>
      </c>
      <c r="M548" t="inlineStr">
        <is>
          <t>In-game Market as part of the Golden Mend Collection for 430 Platinum.</t>
        </is>
      </c>
      <c r="N548" t="inlineStr">
        <is>
          <t>Golden Mend Collection | Bren Terrasiam | Decorations/Orbiter Decorations</t>
        </is>
      </c>
      <c r="O548" t="inlineStr">
        <is>
          <t>We copied where it comes from off the wiki page. See place from wiki page.</t>
        </is>
      </c>
    </row>
    <row r="549">
      <c r="A549" t="inlineStr">
        <is>
          <t>/Lotus/Types/Items/MiscItems/VayHekCoordinateFragmentB</t>
        </is>
      </c>
      <c r="B549" t="inlineStr">
        <is>
          <t>Gamma Beacon</t>
        </is>
      </c>
      <c r="C549" t="inlineStr">
        <is>
          <t>https://wiki.warframe.com/w/Beacons_(Prosecutor)</t>
        </is>
      </c>
      <c r="D549" t="inlineStr">
        <is>
          <t>ExportResources</t>
        </is>
      </c>
      <c r="G549" t="inlineStr">
        <is>
          <t>Gamma Beacon</t>
        </is>
      </c>
      <c r="H549" t="inlineStr">
        <is>
          <t>Solved: current place verified and archived 2026-10-16.</t>
        </is>
      </c>
      <c r="I549" t="inlineStr">
        <is>
          <t>Resources</t>
        </is>
      </c>
      <c r="J549" t="inlineStr">
        <is>
          <t>Resources_data</t>
        </is>
      </c>
      <c r="K549" t="inlineStr">
        <is>
          <t>Resources/data</t>
        </is>
      </c>
      <c r="L549" t="inlineStr">
        <is>
          <t>listed, no place</t>
        </is>
      </c>
      <c r="M549" t="inlineStr">
        <is>
          <t>Not currently obtainable.</t>
        </is>
      </c>
      <c r="N549" t="inlineStr">
        <is>
          <t>Beacons (Prosecutor)</t>
        </is>
      </c>
      <c r="O549" t="inlineStr">
        <is>
          <t>Saved a concrete acquisition place from the official Warframe Wiki.</t>
        </is>
      </c>
    </row>
    <row r="550">
      <c r="A550" t="inlineStr">
        <is>
          <t>/Lotus/Types/Items/ShipDecos/TarotCardGaruda</t>
        </is>
      </c>
      <c r="B550" t="inlineStr">
        <is>
          <t>Garuda Prex</t>
        </is>
      </c>
      <c r="C550" t="inlineStr">
        <is>
          <t>https://wiki.warframe.com/w/Home_Devstream_3 | https://wiki.warframe.com/w/Decorations | https://wiki.warframe.com/w/Relay</t>
        </is>
      </c>
      <c r="D550" t="inlineStr">
        <is>
          <t>ExportResources</t>
        </is>
      </c>
      <c r="F550" t="inlineStr">
        <is>
          <t>Garuda Prex</t>
        </is>
      </c>
      <c r="H550" t="inlineStr">
        <is>
          <t>Solved: current place verified and archived 2026-10-16.</t>
        </is>
      </c>
      <c r="I550" t="inlineStr">
        <is>
          <t>Resources</t>
        </is>
      </c>
      <c r="M550" t="inlineStr">
        <is>
          <t>Hidden pickup in Kronia Relay, Saturn: inside Teshin's room, on the ground behind the tombstone directly left of Jade's Promise at the back of the right-side of the room.</t>
        </is>
      </c>
      <c r="N550" t="inlineStr">
        <is>
          <t>Decorations/Orbiter Decorations</t>
        </is>
      </c>
      <c r="O550" t="inlineStr">
        <is>
          <t>Saved a concrete acquisition place from the official Warframe Wiki. Orbiter Decorations Prex table and Prex Locations list.</t>
        </is>
      </c>
    </row>
    <row r="551">
      <c r="A551" t="inlineStr">
        <is>
          <t>/Lotus/Types/PickUps/LoreCards/LoreCardItem/LoreCardGarudaItem</t>
        </is>
      </c>
      <c r="B551" t="inlineStr">
        <is>
          <t>Garuda Prex</t>
        </is>
      </c>
      <c r="C551" t="inlineStr">
        <is>
          <t>https://wiki.warframe.com/w/Home_Devstream_3 | https://wiki.warframe.com/w/Decorations | https://wiki.warframe.com/w/Relay</t>
        </is>
      </c>
      <c r="D551" t="inlineStr">
        <is>
          <t>ExportResources</t>
        </is>
      </c>
      <c r="F551" t="inlineStr">
        <is>
          <t>Garuda Prex</t>
        </is>
      </c>
      <c r="H551" t="inlineStr">
        <is>
          <t>Solved: current place verified and archived 2026-10-16.</t>
        </is>
      </c>
      <c r="I551" t="inlineStr">
        <is>
          <t>Resources</t>
        </is>
      </c>
      <c r="M551" t="inlineStr">
        <is>
          <t>Hidden pickup in Kronia Relay, Saturn: inside Teshin's room, on the ground behind the tombstone directly left of Jade's Promise at the back of the right-side of the room.</t>
        </is>
      </c>
      <c r="N551" t="inlineStr">
        <is>
          <t>Decorations/Orbiter Decorations</t>
        </is>
      </c>
      <c r="O551" t="inlineStr">
        <is>
          <t>Saved a concrete acquisition place from the official Warframe Wiki. Orbiter Decorations Prex table and Prex Locations list.</t>
        </is>
      </c>
    </row>
    <row r="552">
      <c r="A552" t="inlineStr">
        <is>
          <t>/Lotus/Types/Items/MiscItems/PhotoboothTileGasCityAssassinate</t>
        </is>
      </c>
      <c r="B552" t="inlineStr">
        <is>
          <t>Gas City Alad's Laboratory Scene</t>
        </is>
      </c>
      <c r="C552" t="inlineStr">
        <is>
          <t>https://wiki.warframe.com/w/Captura</t>
        </is>
      </c>
      <c r="D552" t="inlineStr">
        <is>
          <t>ExportResources</t>
        </is>
      </c>
      <c r="F552" t="inlineStr">
        <is>
          <t>Gas City Alad's Laboratory Scene</t>
        </is>
      </c>
      <c r="H552" t="inlineStr">
        <is>
          <t>Solved: current place verified and archived 2026-10-16.</t>
        </is>
      </c>
      <c r="I552" t="inlineStr">
        <is>
          <t>Resources</t>
        </is>
      </c>
      <c r="M552" t="inlineStr">
        <is>
          <t>Earn from violet Storage Lockers in Secret Laboratories on Jupiter.</t>
        </is>
      </c>
      <c r="N552" t="inlineStr">
        <is>
          <t>Captura</t>
        </is>
      </c>
      <c r="O552" t="inlineStr">
        <is>
          <t>Saved a concrete acquisition place from the official Warframe Wiki. Captura scene table lists this scene with its acquisition note.</t>
        </is>
      </c>
    </row>
    <row r="553">
      <c r="A553" t="inlineStr">
        <is>
          <t>/Lotus/Types/Items/MiscItems/PhotoboothTileGasCityConPlusDOpen</t>
        </is>
      </c>
      <c r="B553" t="inlineStr">
        <is>
          <t>Gas City Central Drop Scene</t>
        </is>
      </c>
      <c r="C553" t="inlineStr">
        <is>
          <t>https://wiki.warframe.com/w/Captura</t>
        </is>
      </c>
      <c r="D553" t="inlineStr">
        <is>
          <t>ExportResources</t>
        </is>
      </c>
      <c r="F553" t="inlineStr">
        <is>
          <t>Gas City Central Drop Scene</t>
        </is>
      </c>
      <c r="H553" t="inlineStr">
        <is>
          <t>Solved: current place verified and archived 2026-10-16.</t>
        </is>
      </c>
      <c r="I553" t="inlineStr">
        <is>
          <t>Resources</t>
        </is>
      </c>
      <c r="M553" t="inlineStr">
        <is>
          <t>Earn from violet Storage Lockers in Secret Laboratories on Jupiter.</t>
        </is>
      </c>
      <c r="N553" t="inlineStr">
        <is>
          <t>Captura</t>
        </is>
      </c>
      <c r="O553" t="inlineStr">
        <is>
          <t>Saved a concrete acquisition place from the official Warframe Wiki. Captura scene table lists this scene with its acquisition note.</t>
        </is>
      </c>
    </row>
    <row r="554">
      <c r="A554" t="inlineStr">
        <is>
          <t>/Lotus/Types/Items/MiscItems/PhotoboothTileGasCityConnector14Alt</t>
        </is>
      </c>
      <c r="B554" t="inlineStr">
        <is>
          <t>Gas City Cloud Vista Scene</t>
        </is>
      </c>
      <c r="C554" t="inlineStr">
        <is>
          <t>https://wiki.warframe.com/w/Captura</t>
        </is>
      </c>
      <c r="D554" t="inlineStr">
        <is>
          <t>ExportResources</t>
        </is>
      </c>
      <c r="F554" t="inlineStr">
        <is>
          <t>Gas City Cloud Vista Scene</t>
        </is>
      </c>
      <c r="H554" t="inlineStr">
        <is>
          <t>Solved: current place verified and archived 2026-10-16.</t>
        </is>
      </c>
      <c r="I554" t="inlineStr">
        <is>
          <t>Resources</t>
        </is>
      </c>
      <c r="M554" t="inlineStr">
        <is>
          <t>Earn from violet Storage Lockers in Secret Laboratories on Jupiter.</t>
        </is>
      </c>
      <c r="N554" t="inlineStr">
        <is>
          <t>Captura</t>
        </is>
      </c>
      <c r="O554" t="inlineStr">
        <is>
          <t>Saved a concrete acquisition place from the official Warframe Wiki. Captura scene table lists this scene with its acquisition note.</t>
        </is>
      </c>
    </row>
    <row r="555">
      <c r="A555" t="inlineStr">
        <is>
          <t>/Lotus/Types/Items/MiscItems/PhotoboothTileGasCityConnectorTwo</t>
        </is>
      </c>
      <c r="B555" t="inlineStr">
        <is>
          <t>Gas City Corridors Scene</t>
        </is>
      </c>
      <c r="C555" t="inlineStr">
        <is>
          <t>https://wiki.warframe.com/w/Captura</t>
        </is>
      </c>
      <c r="D555" t="inlineStr">
        <is>
          <t>ExportResources</t>
        </is>
      </c>
      <c r="F555" t="inlineStr">
        <is>
          <t>Gas City Corridors Scene</t>
        </is>
      </c>
      <c r="H555" t="inlineStr">
        <is>
          <t>Solved: current place verified and archived 2026-10-16.</t>
        </is>
      </c>
      <c r="I555" t="inlineStr">
        <is>
          <t>Resources</t>
        </is>
      </c>
      <c r="M555" t="inlineStr">
        <is>
          <t>Earn from violet Storage Lockers in Secret Laboratories on Jupiter.</t>
        </is>
      </c>
      <c r="N555" t="inlineStr">
        <is>
          <t>Captura</t>
        </is>
      </c>
      <c r="O555" t="inlineStr">
        <is>
          <t>Saved a concrete acquisition place from the official Warframe Wiki. Captura scene table lists this scene with its acquisition note.</t>
        </is>
      </c>
    </row>
    <row r="556">
      <c r="A556" t="inlineStr">
        <is>
          <t>/Lotus/Types/Items/MiscItems/PhotoboothTileGasCityConCornerEOpen</t>
        </is>
      </c>
      <c r="B556" t="inlineStr">
        <is>
          <t>Gas City Dead Exit Scene</t>
        </is>
      </c>
      <c r="C556" t="inlineStr">
        <is>
          <t>https://wiki.warframe.com/w/Captura</t>
        </is>
      </c>
      <c r="D556" t="inlineStr">
        <is>
          <t>ExportResources</t>
        </is>
      </c>
      <c r="F556" t="inlineStr">
        <is>
          <t>Gas City Dead Exit Scene</t>
        </is>
      </c>
      <c r="H556" t="inlineStr">
        <is>
          <t>Solved: current place verified and archived 2026-10-16.</t>
        </is>
      </c>
      <c r="I556" t="inlineStr">
        <is>
          <t>Resources</t>
        </is>
      </c>
      <c r="M556" t="inlineStr">
        <is>
          <t>Earn from violet Storage Lockers in Secret Laboratories on Jupiter.</t>
        </is>
      </c>
      <c r="N556" t="inlineStr">
        <is>
          <t>Captura</t>
        </is>
      </c>
      <c r="O556" t="inlineStr">
        <is>
          <t>Saved a concrete acquisition place from the official Warframe Wiki. Captura scene table lists this scene with its acquisition note.</t>
        </is>
      </c>
    </row>
    <row r="557">
      <c r="A557" t="inlineStr">
        <is>
          <t>/Lotus/Types/Items/MiscItems/PhotoboothTileGasCityGasConPlusC</t>
        </is>
      </c>
      <c r="B557" t="inlineStr">
        <is>
          <t>Gas City Element Distribution Scene</t>
        </is>
      </c>
      <c r="C557" t="inlineStr">
        <is>
          <t>https://wiki.warframe.com/w/Captura</t>
        </is>
      </c>
      <c r="D557" t="inlineStr">
        <is>
          <t>ExportResources</t>
        </is>
      </c>
      <c r="F557" t="inlineStr">
        <is>
          <t>Gas City Element Distribution Scene</t>
        </is>
      </c>
      <c r="H557" t="inlineStr">
        <is>
          <t>Solved: current place verified and archived 2026-10-16.</t>
        </is>
      </c>
      <c r="I557" t="inlineStr">
        <is>
          <t>Resources</t>
        </is>
      </c>
      <c r="M557" t="inlineStr">
        <is>
          <t>Earn from violet Storage Lockers in Secret Laboratories on Jupiter.</t>
        </is>
      </c>
      <c r="N557" t="inlineStr">
        <is>
          <t>Captura</t>
        </is>
      </c>
      <c r="O557" t="inlineStr">
        <is>
          <t>Saved a concrete acquisition place from the official Warframe Wiki. Captura scene table lists this scene with its acquisition note.</t>
        </is>
      </c>
    </row>
    <row r="558">
      <c r="A558" t="inlineStr">
        <is>
          <t>/Lotus/Types/Items/MiscItems/PhotoboothTileGasCityIntermediateSix</t>
        </is>
      </c>
      <c r="B558" t="inlineStr">
        <is>
          <t>Gas City Elemental Refinement Scene</t>
        </is>
      </c>
      <c r="C558" t="inlineStr">
        <is>
          <t>https://wiki.warframe.com/w/Captura</t>
        </is>
      </c>
      <c r="D558" t="inlineStr">
        <is>
          <t>ExportResources</t>
        </is>
      </c>
      <c r="F558" t="inlineStr">
        <is>
          <t>Gas City Elemental Refinement Scene</t>
        </is>
      </c>
      <c r="H558" t="inlineStr">
        <is>
          <t>Solved: current place verified and archived 2026-10-16.</t>
        </is>
      </c>
      <c r="I558" t="inlineStr">
        <is>
          <t>Resources</t>
        </is>
      </c>
      <c r="M558" t="inlineStr">
        <is>
          <t>Earn from violet Storage Lockers in Secret Laboratories on Jupiter.</t>
        </is>
      </c>
      <c r="N558" t="inlineStr">
        <is>
          <t>Captura</t>
        </is>
      </c>
      <c r="O558" t="inlineStr">
        <is>
          <t>Saved a concrete acquisition place from the official Warframe Wiki. Captura scene table lists this scene with its acquisition note.</t>
        </is>
      </c>
    </row>
    <row r="559">
      <c r="A559" t="inlineStr">
        <is>
          <t>/Lotus/Types/Items/MiscItems/PhotoboothTileGasCityConVerticalA</t>
        </is>
      </c>
      <c r="B559" t="inlineStr">
        <is>
          <t>Gas City Lifts Scene</t>
        </is>
      </c>
      <c r="C559" t="inlineStr">
        <is>
          <t>https://wiki.warframe.com/w/Captura</t>
        </is>
      </c>
      <c r="D559" t="inlineStr">
        <is>
          <t>ExportResources</t>
        </is>
      </c>
      <c r="F559" t="inlineStr">
        <is>
          <t>Gas City Lifts Scene</t>
        </is>
      </c>
      <c r="H559" t="inlineStr">
        <is>
          <t>Solved: current place verified and archived 2026-10-16.</t>
        </is>
      </c>
      <c r="I559" t="inlineStr">
        <is>
          <t>Resources</t>
        </is>
      </c>
      <c r="M559" t="inlineStr">
        <is>
          <t>Earn from violet Storage Lockers in Secret Laboratories on Jupiter.</t>
        </is>
      </c>
      <c r="N559" t="inlineStr">
        <is>
          <t>Captura</t>
        </is>
      </c>
      <c r="O559" t="inlineStr">
        <is>
          <t>Saved a concrete acquisition place from the official Warframe Wiki. Captura scene table lists this scene with its acquisition note.</t>
        </is>
      </c>
    </row>
    <row r="560">
      <c r="A560" t="inlineStr">
        <is>
          <t>/Lotus/Types/Items/MiscItems/PhotoboothTileGasCitySpawnTwo</t>
        </is>
      </c>
      <c r="B560" t="inlineStr">
        <is>
          <t>Gas City Lobby Scene</t>
        </is>
      </c>
      <c r="C560" t="inlineStr">
        <is>
          <t>https://wiki.warframe.com/w/Captura</t>
        </is>
      </c>
      <c r="D560" t="inlineStr">
        <is>
          <t>ExportResources</t>
        </is>
      </c>
      <c r="F560" t="inlineStr">
        <is>
          <t>Gas City Lobby Scene</t>
        </is>
      </c>
      <c r="H560" t="inlineStr">
        <is>
          <t>Solved: current place verified and archived 2026-10-16.</t>
        </is>
      </c>
      <c r="I560" t="inlineStr">
        <is>
          <t>Resources</t>
        </is>
      </c>
      <c r="M560" t="inlineStr">
        <is>
          <t>Earn from violet Storage Lockers in Secret Laboratories on Jupiter.</t>
        </is>
      </c>
      <c r="N560" t="inlineStr">
        <is>
          <t>Captura</t>
        </is>
      </c>
      <c r="O560" t="inlineStr">
        <is>
          <t>Saved a concrete acquisition place from the official Warframe Wiki. Captura scene table lists this scene with its acquisition note.</t>
        </is>
      </c>
    </row>
    <row r="561">
      <c r="A561" t="inlineStr">
        <is>
          <t>/Lotus/Types/Items/MiscItems/PhotoboothTileGasCityExitFour</t>
        </is>
      </c>
      <c r="B561" t="inlineStr">
        <is>
          <t>Gas City Lower Foyer Scene</t>
        </is>
      </c>
      <c r="C561" t="inlineStr">
        <is>
          <t>https://wiki.warframe.com/w/Captura</t>
        </is>
      </c>
      <c r="D561" t="inlineStr">
        <is>
          <t>ExportResources</t>
        </is>
      </c>
      <c r="F561" t="inlineStr">
        <is>
          <t>Gas City Lower Foyer Scene</t>
        </is>
      </c>
      <c r="H561" t="inlineStr">
        <is>
          <t>Solved: current place verified and archived 2026-10-16.</t>
        </is>
      </c>
      <c r="I561" t="inlineStr">
        <is>
          <t>Resources</t>
        </is>
      </c>
      <c r="M561" t="inlineStr">
        <is>
          <t>Earn from violet Storage Lockers in Secret Laboratories on Jupiter.</t>
        </is>
      </c>
      <c r="N561" t="inlineStr">
        <is>
          <t>Captura</t>
        </is>
      </c>
      <c r="O561" t="inlineStr">
        <is>
          <t>Saved a concrete acquisition place from the official Warframe Wiki. Captura scene table lists this scene with its acquisition note.</t>
        </is>
      </c>
    </row>
    <row r="562">
      <c r="A562" t="inlineStr">
        <is>
          <t>/Lotus/Types/Items/MiscItems/PhotoboothTileGasCityIntermediateFive</t>
        </is>
      </c>
      <c r="B562" t="inlineStr">
        <is>
          <t>Gas City Regulators Scene</t>
        </is>
      </c>
      <c r="C562" t="inlineStr">
        <is>
          <t>https://wiki.warframe.com/w/Captura</t>
        </is>
      </c>
      <c r="D562" t="inlineStr">
        <is>
          <t>ExportResources</t>
        </is>
      </c>
      <c r="F562" t="inlineStr">
        <is>
          <t>Gas City Regulators Scene</t>
        </is>
      </c>
      <c r="H562" t="inlineStr">
        <is>
          <t>Solved: current place verified and archived 2026-10-16.</t>
        </is>
      </c>
      <c r="I562" t="inlineStr">
        <is>
          <t>Resources</t>
        </is>
      </c>
      <c r="M562" t="inlineStr">
        <is>
          <t>Earn from violet Storage Lockers in Secret Laboratories on Jupiter.</t>
        </is>
      </c>
      <c r="N562" t="inlineStr">
        <is>
          <t>Captura</t>
        </is>
      </c>
      <c r="O562" t="inlineStr">
        <is>
          <t>Saved a concrete acquisition place from the official Warframe Wiki. Captura scene table lists this scene with its acquisition note.</t>
        </is>
      </c>
    </row>
    <row r="563">
      <c r="A563" t="inlineStr">
        <is>
          <t>/Lotus/Types/Items/MiscItems/PhotoboothTileGasCityConCornerA</t>
        </is>
      </c>
      <c r="B563" t="inlineStr">
        <is>
          <t>Gas City Upper Logistics Scene</t>
        </is>
      </c>
      <c r="C563" t="inlineStr">
        <is>
          <t>https://wiki.warframe.com/w/Captura</t>
        </is>
      </c>
      <c r="D563" t="inlineStr">
        <is>
          <t>ExportResources</t>
        </is>
      </c>
      <c r="F563" t="inlineStr">
        <is>
          <t>Gas City Upper Logistics Scene</t>
        </is>
      </c>
      <c r="H563" t="inlineStr">
        <is>
          <t>Solved: current place verified and archived 2026-10-16.</t>
        </is>
      </c>
      <c r="I563" t="inlineStr">
        <is>
          <t>Resources</t>
        </is>
      </c>
      <c r="M563" t="inlineStr">
        <is>
          <t>Earn from violet Storage Lockers in Secret Laboratories on Jupiter.</t>
        </is>
      </c>
      <c r="N563" t="inlineStr">
        <is>
          <t>Captura</t>
        </is>
      </c>
      <c r="O563" t="inlineStr">
        <is>
          <t>Saved a concrete acquisition place from the official Warframe Wiki. Captura scene table lists this scene with its acquisition note.</t>
        </is>
      </c>
    </row>
    <row r="564">
      <c r="A564" t="inlineStr">
        <is>
          <t>/Lotus/Types/Items/MiscItems/PhotoboothTileGasCityConStraightEOpen</t>
        </is>
      </c>
      <c r="B564" t="inlineStr">
        <is>
          <t>Gas City Walkway Scene</t>
        </is>
      </c>
      <c r="C564" t="inlineStr">
        <is>
          <t>https://wiki.warframe.com/w/Captura</t>
        </is>
      </c>
      <c r="D564" t="inlineStr">
        <is>
          <t>ExportResources</t>
        </is>
      </c>
      <c r="F564" t="inlineStr">
        <is>
          <t>Gas City Walkway Scene</t>
        </is>
      </c>
      <c r="H564" t="inlineStr">
        <is>
          <t>Solved: current place verified and archived 2026-10-16.</t>
        </is>
      </c>
      <c r="I564" t="inlineStr">
        <is>
          <t>Resources</t>
        </is>
      </c>
      <c r="M564" t="inlineStr">
        <is>
          <t>Earn from violet Storage Lockers in Secret Laboratories on Jupiter.</t>
        </is>
      </c>
      <c r="N564" t="inlineStr">
        <is>
          <t>Captura</t>
        </is>
      </c>
      <c r="O564" t="inlineStr">
        <is>
          <t>Saved a concrete acquisition place from the official Warframe Wiki. Captura scene table lists this scene with its acquisition note.</t>
        </is>
      </c>
    </row>
    <row r="565">
      <c r="A565" t="inlineStr">
        <is>
          <t>/Lotus/Types/Items/ShipDecos/TarotCardGauss</t>
        </is>
      </c>
      <c r="B565" t="inlineStr">
        <is>
          <t>Gauss Prex</t>
        </is>
      </c>
      <c r="C565" t="inlineStr">
        <is>
          <t>https://wiki.warframe.com/w/Gauss/Media</t>
        </is>
      </c>
      <c r="D565" t="inlineStr">
        <is>
          <t>ExportResources</t>
        </is>
      </c>
      <c r="F565" t="inlineStr">
        <is>
          <t>Gauss Prex</t>
        </is>
      </c>
      <c r="H565" t="inlineStr">
        <is>
          <t>Solved: current place verified and archived 2026-10-16.</t>
        </is>
      </c>
      <c r="I565" t="inlineStr">
        <is>
          <t>Resources</t>
        </is>
      </c>
      <c r="M565" t="inlineStr">
        <is>
          <t>Hidden pickup in the Leverian; not visible until you've mastered Gauss / Gauss Prime.</t>
        </is>
      </c>
      <c r="N565" t="inlineStr">
        <is>
          <t>Decorations/Orbiter Decorations</t>
        </is>
      </c>
      <c r="O565" t="inlineStr">
        <is>
          <t>Saved a concrete acquisition place from the official Warframe Wiki. Orbiter Decorations Prex table and Prex Locations list.</t>
        </is>
      </c>
    </row>
    <row r="566">
      <c r="A566" t="inlineStr">
        <is>
          <t>/Lotus/Types/Items/ShipDecos/Plushies/GaussPrimePlush</t>
        </is>
      </c>
      <c r="B566" t="inlineStr">
        <is>
          <t>Gauss Prime Floof</t>
        </is>
      </c>
      <c r="C566" t="inlineStr">
        <is>
          <t>https://wiki.warframe.com/w/Prime_Resurgence | https://wiki.warframe.com/w/Prime | https://wiki.warframe.com/w/Gauss/Prime | https://wiki.warframe.com/w/Devstream_175</t>
        </is>
      </c>
      <c r="D566" t="inlineStr">
        <is>
          <t>ExportResources</t>
        </is>
      </c>
      <c r="F566" t="inlineStr">
        <is>
          <t>Gauss Prime Floof</t>
        </is>
      </c>
      <c r="H566" t="inlineStr">
        <is>
          <t>Solved: current place verified and archived 2026-10-16.</t>
        </is>
      </c>
      <c r="I566" t="inlineStr">
        <is>
          <t>Resources</t>
        </is>
      </c>
      <c r="M566" t="inlineStr">
        <is>
          <t>Purchase from Varzia in Maroo's Bazaar for 1 Regal Aya while it is in the monthly Prime Resurgence rotation.</t>
        </is>
      </c>
      <c r="N566" t="inlineStr">
        <is>
          <t>Prime Resurgence</t>
        </is>
      </c>
      <c r="O566" t="inlineStr">
        <is>
          <t>Saved a concrete acquisition place from the official Warframe Wiki. Prime Resurgence Current Rewards table lists it at 1 Regal Aya.</t>
        </is>
      </c>
    </row>
    <row r="567">
      <c r="A567" t="inlineStr">
        <is>
          <t>/Lotus/Types/Items/SongItems/GaussPrimeSongItem</t>
        </is>
      </c>
      <c r="B567" t="inlineStr">
        <is>
          <t>Gauss Prime Theme
"Redline"</t>
        </is>
      </c>
      <c r="C567" t="inlineStr">
        <is>
          <t>https://wiki.warframe.com/w/Gauss_Prime_Theme_%22Redline%22 | https://wiki.warframe.com/w/WARFRAME:_1999_(Webcomic) | https://wiki.warframe.com/w/Somachord | https://wiki.warframe.com/w/What_Remains | https://wiki.warframe.com/w/The_Ascension</t>
        </is>
      </c>
      <c r="D567" t="inlineStr">
        <is>
          <t>ExportResources</t>
        </is>
      </c>
      <c r="F567" t="inlineStr">
        <is>
          <t>Gauss Prime Theme
"Redline"</t>
        </is>
      </c>
      <c r="H567" t="inlineStr">
        <is>
          <t>Solved: current place verified and archived 2026-10-16.</t>
        </is>
      </c>
      <c r="I567" t="inlineStr">
        <is>
          <t>Resources</t>
        </is>
      </c>
      <c r="M567" t="inlineStr">
        <is>
          <t>Purchase from Varzia for 5 Aya.</t>
        </is>
      </c>
      <c r="N567" t="inlineStr">
        <is>
          <t>Gauss Prime Theme "Redline"</t>
        </is>
      </c>
      <c r="O567" t="inlineStr">
        <is>
          <t>Saved a concrete acquisition place from the official Warframe Wiki. Track page states the Somachord price.</t>
        </is>
      </c>
    </row>
    <row r="568">
      <c r="A568" t="inlineStr">
        <is>
          <t>/Lotus/Types/Game/KubrowPet/BlankTraitPrint</t>
        </is>
      </c>
      <c r="B568" t="inlineStr">
        <is>
          <t>Genetic Code Template</t>
        </is>
      </c>
      <c r="C568" t="inlineStr">
        <is>
          <t>https://wiki.warframe.com/w/Genetic_Code_Template</t>
        </is>
      </c>
      <c r="D568" t="inlineStr">
        <is>
          <t>ExportResources</t>
        </is>
      </c>
      <c r="G568" t="inlineStr">
        <is>
          <t>Genetic Code Template</t>
        </is>
      </c>
      <c r="H568" t="inlineStr">
        <is>
          <t>Solved: current place verified and archived 2026-10-16.</t>
        </is>
      </c>
      <c r="I568" t="inlineStr">
        <is>
          <t>Resources</t>
        </is>
      </c>
      <c r="J568" t="inlineStr">
        <is>
          <t>Resources_data</t>
        </is>
      </c>
      <c r="K568" t="inlineStr">
        <is>
          <t>Resources/data</t>
        </is>
      </c>
      <c r="L568" t="inlineStr">
        <is>
          <t>listed, no place</t>
        </is>
      </c>
      <c r="M568" t="inlineStr">
        <is>
          <t>Reusable blueprint from the in-game Market for 50,000 Credits, or a built template for 15 Platinum.</t>
        </is>
      </c>
      <c r="N568" t="inlineStr">
        <is>
          <t>Genetic Code Template</t>
        </is>
      </c>
      <c r="O568" t="inlineStr">
        <is>
          <t>Saved a concrete acquisition place from the official Warframe Wiki.</t>
        </is>
      </c>
    </row>
    <row r="569">
      <c r="A569" t="inlineStr">
        <is>
          <t>/Lotus/Types/Items/ShipDecos/Tau/LisetPropORKxLabTableGenericPropI</t>
        </is>
      </c>
      <c r="B569" t="inlineStr">
        <is>
          <t>Gilded Alchemy Stand</t>
        </is>
      </c>
      <c r="C569" t="inlineStr">
        <is>
          <t>https://wiki.warframe.com/w/Lyon</t>
        </is>
      </c>
      <c r="D569" t="inlineStr">
        <is>
          <t>ExportResources</t>
        </is>
      </c>
      <c r="F569" t="inlineStr">
        <is>
          <t>Gilded Alchemy Stand</t>
        </is>
      </c>
      <c r="H569" t="inlineStr">
        <is>
          <t>Solved: current place verified and archived 2026-10-16.</t>
        </is>
      </c>
      <c r="I569" t="inlineStr">
        <is>
          <t>Resources</t>
        </is>
      </c>
      <c r="M569" t="inlineStr">
        <is>
          <t>Purchase from Lyon's daily offerings (5 random decorations); costs 300-450 Agnovidisc, 120-360 Laudavi or 50-150 Servoris.</t>
        </is>
      </c>
      <c r="N569" t="inlineStr">
        <is>
          <t>Lyon</t>
        </is>
      </c>
      <c r="O569" t="inlineStr">
        <is>
          <t>Saved a concrete acquisition place from the official Warframe Wiki. Lyon page lists it in Offerings.</t>
        </is>
      </c>
    </row>
    <row r="570">
      <c r="A570" t="inlineStr">
        <is>
          <t>/Lotus/Types/Items/ShipDecos/Tau/LisetPropSTMxOroQuillPenSet</t>
        </is>
      </c>
      <c r="B570" t="inlineStr">
        <is>
          <t>Gilded Feather Quill Set</t>
        </is>
      </c>
      <c r="C570" t="inlineStr">
        <is>
          <t>https://wiki.warframe.com/w/Lyon</t>
        </is>
      </c>
      <c r="D570" t="inlineStr">
        <is>
          <t>ExportResources</t>
        </is>
      </c>
      <c r="F570" t="inlineStr">
        <is>
          <t>Gilded Feather Quill Set</t>
        </is>
      </c>
      <c r="H570" t="inlineStr">
        <is>
          <t>Solved: current place verified and archived 2026-10-16.</t>
        </is>
      </c>
      <c r="I570" t="inlineStr">
        <is>
          <t>Resources</t>
        </is>
      </c>
      <c r="M570" t="inlineStr">
        <is>
          <t>Purchase from Lyon's daily offerings (5 random decorations); costs 300-450 Agnovidisc, 120-360 Laudavi or 50-150 Servoris.</t>
        </is>
      </c>
      <c r="N570" t="inlineStr">
        <is>
          <t>Lyon</t>
        </is>
      </c>
      <c r="O570" t="inlineStr">
        <is>
          <t>Saved a concrete acquisition place from the official Warframe Wiki. Lyon page lists it in Offerings.</t>
        </is>
      </c>
    </row>
    <row r="571">
      <c r="A571" t="inlineStr">
        <is>
          <t>/Lotus/Types/Items/ShipDecos/LisetPropOstArtisanBulbs</t>
        </is>
      </c>
      <c r="B571" t="inlineStr">
        <is>
          <t>Gilded Illumination</t>
        </is>
      </c>
      <c r="C571" t="inlineStr">
        <is>
          <t>https://wiki.warframe.com/w/Decorations/Orbiter_Decorations</t>
        </is>
      </c>
      <c r="D571" t="inlineStr">
        <is>
          <t>ExportResources</t>
        </is>
      </c>
      <c r="F571" t="inlineStr">
        <is>
          <t>Gilded Illumination</t>
        </is>
      </c>
      <c r="H571" t="inlineStr">
        <is>
          <t>Solved: current place verified and archived 2026-10-16.</t>
        </is>
      </c>
      <c r="I571" t="inlineStr">
        <is>
          <t>Resources</t>
        </is>
      </c>
      <c r="M571" t="inlineStr">
        <is>
          <t>In-game Market as part of the Artisan Pack for 55 Platinum.</t>
        </is>
      </c>
      <c r="N571" t="inlineStr">
        <is>
          <t>Decorations/Orbiter Decorations</t>
        </is>
      </c>
      <c r="O571" t="inlineStr">
        <is>
          <t>We copied where it comes from off the wiki page. See place from wiki page.</t>
        </is>
      </c>
    </row>
    <row r="572">
      <c r="A572" t="inlineStr">
        <is>
          <t>/Lotus/Types/Items/ShipDecos/Tau/LisetPropORKxLabTableGenericPropG</t>
        </is>
      </c>
      <c r="B572" t="inlineStr">
        <is>
          <t>Gilded Microscope</t>
        </is>
      </c>
      <c r="C572" t="inlineStr">
        <is>
          <t>https://wiki.warframe.com/w/Lyon</t>
        </is>
      </c>
      <c r="D572" t="inlineStr">
        <is>
          <t>ExportResources</t>
        </is>
      </c>
      <c r="F572" t="inlineStr">
        <is>
          <t>Gilded Microscope</t>
        </is>
      </c>
      <c r="H572" t="inlineStr">
        <is>
          <t>Solved: current place verified and archived 2026-10-16.</t>
        </is>
      </c>
      <c r="I572" t="inlineStr">
        <is>
          <t>Resources</t>
        </is>
      </c>
      <c r="M572" t="inlineStr">
        <is>
          <t>Purchase from Lyon's daily offerings (5 random decorations); costs 300-450 Agnovidisc, 120-360 Laudavi or 50-150 Servoris.</t>
        </is>
      </c>
      <c r="N572" t="inlineStr">
        <is>
          <t>Lyon</t>
        </is>
      </c>
      <c r="O572" t="inlineStr">
        <is>
          <t>Saved a concrete acquisition place from the official Warframe Wiki. Lyon page lists it in Offerings.</t>
        </is>
      </c>
    </row>
    <row r="573">
      <c r="A573" t="inlineStr">
        <is>
          <t>/Lotus/Types/Items/ShipDecos/Tau/LisetPropSTMxOroPedestal</t>
        </is>
      </c>
      <c r="B573" t="inlineStr">
        <is>
          <t>Gilded Plinth</t>
        </is>
      </c>
      <c r="C573" t="inlineStr">
        <is>
          <t>https://wiki.warframe.com/w/Lyon</t>
        </is>
      </c>
      <c r="D573" t="inlineStr">
        <is>
          <t>ExportResources</t>
        </is>
      </c>
      <c r="F573" t="inlineStr">
        <is>
          <t>Gilded Plinth</t>
        </is>
      </c>
      <c r="H573" t="inlineStr">
        <is>
          <t>Solved: current place verified and archived 2026-10-16.</t>
        </is>
      </c>
      <c r="I573" t="inlineStr">
        <is>
          <t>Resources</t>
        </is>
      </c>
      <c r="M573" t="inlineStr">
        <is>
          <t>Purchase from Lyon's daily offerings (5 random decorations); costs 300-450 Agnovidisc, 120-360 Laudavi or 50-150 Servoris.</t>
        </is>
      </c>
      <c r="N573" t="inlineStr">
        <is>
          <t>Lyon</t>
        </is>
      </c>
      <c r="O573" t="inlineStr">
        <is>
          <t>Saved a concrete acquisition place from the official Warframe Wiki. Lyon page lists it in Offerings.</t>
        </is>
      </c>
    </row>
    <row r="574">
      <c r="A574" t="inlineStr">
        <is>
          <t>/Lotus/Types/Items/ShipDecos/CorpusGreedReliefH</t>
        </is>
      </c>
      <c r="B574" t="inlineStr">
        <is>
          <t>Giving Back</t>
        </is>
      </c>
      <c r="C574" t="inlineStr">
        <is>
          <t>https://wiki.warframe.com/w/Fragments/The_Tenets | https://wiki.warframe.com/w/Parvos_Granum | https://wiki.warframe.com/w/The_Duviri_Paradox | https://wiki.warframe.com/w/Decorations/Orbiter_Decorations | https://wiki.warframe.com/w/Kinemantik_Instant_Messenger/Eleanor</t>
        </is>
      </c>
      <c r="D574" t="inlineStr">
        <is>
          <t>ExportResources</t>
        </is>
      </c>
      <c r="F574" t="inlineStr">
        <is>
          <t>Giving Back</t>
        </is>
      </c>
      <c r="H574" t="inlineStr">
        <is>
          <t>Solved: current place verified and archived 2026-10-16.</t>
        </is>
      </c>
      <c r="I574" t="inlineStr">
        <is>
          <t>Resources</t>
        </is>
      </c>
      <c r="M574" t="inlineStr">
        <is>
          <t>Pay tribute with a Granum Crown at the Corpus Temple Reliefs in the Corpus Ship tileset.</t>
        </is>
      </c>
      <c r="N574" t="inlineStr">
        <is>
          <t>Fragments/The Tenets</t>
        </is>
      </c>
      <c r="O574" t="inlineStr">
        <is>
          <t>Saved a concrete acquisition place from the official Warframe Wiki. Fragments/The Tenets page intro.</t>
        </is>
      </c>
    </row>
    <row r="575">
      <c r="A575" t="inlineStr">
        <is>
          <t>/Lotus/Types/Items/PhotoBooth/Zariman/PhotoboothTileZarMelicaLabTreasureRoom</t>
        </is>
      </c>
      <c r="B575" t="inlineStr">
        <is>
          <t>Glacial Laboratory Scene</t>
        </is>
      </c>
      <c r="C575" t="inlineStr">
        <is>
          <t>https://wiki.warframe.com/w/Entropic_Kuva | https://wiki.warframe.com/w/Cephalon_Melica</t>
        </is>
      </c>
      <c r="D575" t="inlineStr">
        <is>
          <t>ExportResources</t>
        </is>
      </c>
      <c r="F575" t="inlineStr">
        <is>
          <t>Glacial Laboratory Scene</t>
        </is>
      </c>
      <c r="H575" t="inlineStr">
        <is>
          <t>Solved: current place verified and archived 2026-10-16.</t>
        </is>
      </c>
      <c r="I575" t="inlineStr">
        <is>
          <t>Resources</t>
        </is>
      </c>
      <c r="M575" t="inlineStr">
        <is>
          <t>Purchase from Cephalon Melica for 500 Entropic Kuva.</t>
        </is>
      </c>
      <c r="N575" t="inlineStr">
        <is>
          <t>Entropic Kuva | Cephalon Melica</t>
        </is>
      </c>
      <c r="O575" t="inlineStr">
        <is>
          <t>We copied where it comes from off the wiki page. See place from wiki page.</t>
        </is>
      </c>
    </row>
    <row r="576">
      <c r="A576" t="inlineStr">
        <is>
          <t>/Lotus/Types/Items/ShipDecos/NoraSeasonThreeOrnament</t>
        </is>
      </c>
      <c r="B576" t="inlineStr">
        <is>
          <t>Glassmaker Ornament</t>
        </is>
      </c>
      <c r="C576" t="inlineStr">
        <is>
          <t>https://wiki.warframe.com/w/Nightwave/Offerings</t>
        </is>
      </c>
      <c r="D576" t="inlineStr">
        <is>
          <t>ExportResources</t>
        </is>
      </c>
      <c r="F576" t="inlineStr">
        <is>
          <t>Glassmaker Ornament</t>
        </is>
      </c>
      <c r="H576" t="inlineStr">
        <is>
          <t>Solved: current place verified and archived 2026-10-16.</t>
        </is>
      </c>
      <c r="I576" t="inlineStr">
        <is>
          <t>Resources</t>
        </is>
      </c>
      <c r="M576" t="inlineStr">
        <is>
          <t>Purchase from Nightwave Offerings for 40 Nightwave Creds.</t>
        </is>
      </c>
      <c r="N576" t="inlineStr">
        <is>
          <t>Nightwave/Offerings</t>
        </is>
      </c>
      <c r="O576" t="inlineStr">
        <is>
          <t>We copied where it comes from off the wiki page. See place from wiki page.</t>
        </is>
      </c>
    </row>
    <row r="577">
      <c r="A577" t="inlineStr">
        <is>
          <t>/Lotus/Types/Items/ShipDecos/Plants/Nokko/LisetPropOstAlienFoliageC</t>
        </is>
      </c>
      <c r="B577" t="inlineStr">
        <is>
          <t>Glow Plants (Dense)</t>
        </is>
      </c>
      <c r="C577" t="inlineStr">
        <is>
          <t>https://wiki.warframe.com/w/Nightcap</t>
        </is>
      </c>
      <c r="D577" t="inlineStr">
        <is>
          <t>ExportResources</t>
        </is>
      </c>
      <c r="F577" t="inlineStr">
        <is>
          <t>Glow Plants (Dense)</t>
        </is>
      </c>
      <c r="H577" t="inlineStr">
        <is>
          <t>Solved: current place verified and archived 2026-10-16.</t>
        </is>
      </c>
      <c r="I577" t="inlineStr">
        <is>
          <t>Resources</t>
        </is>
      </c>
      <c r="M577" t="inlineStr">
        <is>
          <t>Purchase from Nightcap's Nursery for 10 Fergolyte.</t>
        </is>
      </c>
      <c r="N577" t="inlineStr">
        <is>
          <t>Nightcap</t>
        </is>
      </c>
      <c r="O577" t="inlineStr">
        <is>
          <t>Saved a concrete acquisition place from the official Warframe Wiki. Nightcap page lists it in Offerings &gt; Nursery.</t>
        </is>
      </c>
    </row>
    <row r="578">
      <c r="A578" t="inlineStr">
        <is>
          <t>/Lotus/Types/Items/ShipDecos/Plants/Nokko/LisetPropOstAlienFoliageD</t>
        </is>
      </c>
      <c r="B578" t="inlineStr">
        <is>
          <t>Glow Plants (Sparse)</t>
        </is>
      </c>
      <c r="C578" t="inlineStr">
        <is>
          <t>https://wiki.warframe.com/w/Nightcap</t>
        </is>
      </c>
      <c r="D578" t="inlineStr">
        <is>
          <t>ExportResources</t>
        </is>
      </c>
      <c r="F578" t="inlineStr">
        <is>
          <t>Glow Plants (Sparse)</t>
        </is>
      </c>
      <c r="H578" t="inlineStr">
        <is>
          <t>Solved: current place verified and archived 2026-10-16.</t>
        </is>
      </c>
      <c r="I578" t="inlineStr">
        <is>
          <t>Resources</t>
        </is>
      </c>
      <c r="M578" t="inlineStr">
        <is>
          <t>Purchase from Nightcap's Nursery for 10 Fergolyte.</t>
        </is>
      </c>
      <c r="N578" t="inlineStr">
        <is>
          <t>Nightcap</t>
        </is>
      </c>
      <c r="O578" t="inlineStr">
        <is>
          <t>Saved a concrete acquisition place from the official Warframe Wiki. Nightcap page lists it in Offerings &gt; Nursery.</t>
        </is>
      </c>
    </row>
    <row r="579">
      <c r="A579" t="inlineStr">
        <is>
          <t>/Lotus/Types/Items/ShipDecos/WeGame/LuckyKavatGold</t>
        </is>
      </c>
      <c r="B579" t="inlineStr">
        <is>
          <t>Gold Lucky Kavat</t>
        </is>
      </c>
      <c r="C579" t="inlineStr">
        <is>
          <t>https://wiki.warframe.com/w/Lunar_Renewal | https://wiki.warframe.com/w/Luminous_Brilliance_Bundle | https://wiki.warframe.com/w/Decorations/Orbiter_Decorations</t>
        </is>
      </c>
      <c r="D579" t="inlineStr">
        <is>
          <t>ExportResources</t>
        </is>
      </c>
      <c r="F579" t="inlineStr">
        <is>
          <t>Gold Lucky Kavat</t>
        </is>
      </c>
      <c r="H579" t="inlineStr">
        <is>
          <t>Solved: current place verified and archived 2026-10-16.</t>
        </is>
      </c>
      <c r="I579" t="inlineStr">
        <is>
          <t>Resources</t>
        </is>
      </c>
      <c r="M579" t="inlineStr">
        <is>
          <t>In-game Market for 35 Platinum.</t>
        </is>
      </c>
      <c r="N579" t="inlineStr">
        <is>
          <t>Lunar Renewal | Luminous Brilliance Bundle | Decorations/Orbiter Decorations</t>
        </is>
      </c>
      <c r="O579" t="inlineStr">
        <is>
          <t>We copied where it comes from off the wiki page. See place from wiki page.</t>
        </is>
      </c>
    </row>
    <row r="580">
      <c r="A580" t="inlineStr">
        <is>
          <t>/Lotus/Types/Items/ShipDecos/CorpusShip/LisetPropHandShrine</t>
        </is>
      </c>
      <c r="B580" t="inlineStr">
        <is>
          <t>Golden Hand Decoration</t>
        </is>
      </c>
      <c r="C580" t="inlineStr">
        <is>
          <t>https://wiki.warframe.com/w/Promo_Codes | https://wiki.warframe.com/w/Decorations/Orbiter_Decorations</t>
        </is>
      </c>
      <c r="D580" t="inlineStr">
        <is>
          <t>ExportResources</t>
        </is>
      </c>
      <c r="F580" t="inlineStr">
        <is>
          <t>Golden Hand Decoration</t>
        </is>
      </c>
      <c r="H580" t="inlineStr">
        <is>
          <t>Solved: current place verified and archived 2026-10-16.</t>
        </is>
      </c>
      <c r="I580" t="inlineStr">
        <is>
          <t>Resources</t>
        </is>
      </c>
      <c r="M580" t="inlineStr">
        <is>
          <t>Redeem the promo code Parvos, or get it from random decoration Twitch drops.</t>
        </is>
      </c>
      <c r="N580" t="inlineStr">
        <is>
          <t>Promo Codes | Decorations/Orbiter Decorations</t>
        </is>
      </c>
      <c r="O580" t="inlineStr">
        <is>
          <t>Saved a concrete acquisition place from the official Warframe Wiki. Promo Codes and Orbiter Decorations Miscellaneous section.</t>
        </is>
      </c>
    </row>
    <row r="581">
      <c r="A581" t="inlineStr">
        <is>
          <t>/Lotus/Types/Items/MiscItems/PhotoboothTilePurgatory</t>
        </is>
      </c>
      <c r="B581" t="inlineStr">
        <is>
          <t>Granum Void Scene</t>
        </is>
      </c>
      <c r="C581" t="inlineStr">
        <is>
          <t>https://wiki.warframe.com/w/The_Deadlock_Protocol/Transcript | https://wiki.warframe.com/w/Captura</t>
        </is>
      </c>
      <c r="D581" t="inlineStr">
        <is>
          <t>ExportResources</t>
        </is>
      </c>
      <c r="F581" t="inlineStr">
        <is>
          <t>Granum Void Scene</t>
        </is>
      </c>
      <c r="H581" t="inlineStr">
        <is>
          <t>Solved: current place verified and archived 2026-10-16.</t>
        </is>
      </c>
      <c r="I581" t="inlineStr">
        <is>
          <t>Resources</t>
        </is>
      </c>
      <c r="M581" t="inlineStr">
        <is>
          <t>Inbox reward after completing The Deadlock Protocol quest.</t>
        </is>
      </c>
      <c r="N581" t="inlineStr">
        <is>
          <t>Captura</t>
        </is>
      </c>
      <c r="O581" t="inlineStr">
        <is>
          <t>Saved a concrete acquisition place from the official Warframe Wiki. Captura scene table lists this scene with its acquisition note.</t>
        </is>
      </c>
    </row>
    <row r="582">
      <c r="A582" t="inlineStr">
        <is>
          <t>/Lotus/Types/Items/ShipDecos/TarotCardGrendel</t>
        </is>
      </c>
      <c r="B582" t="inlineStr">
        <is>
          <t>Grendel Prex</t>
        </is>
      </c>
      <c r="C582" t="inlineStr">
        <is>
          <t>https://wiki.warframe.com/w/Grendel/Media</t>
        </is>
      </c>
      <c r="D582" t="inlineStr">
        <is>
          <t>ExportResources</t>
        </is>
      </c>
      <c r="F582" t="inlineStr">
        <is>
          <t>Grendel Prex</t>
        </is>
      </c>
      <c r="H582" t="inlineStr">
        <is>
          <t>Solved: current place verified and archived 2026-10-16.</t>
        </is>
      </c>
      <c r="I582" t="inlineStr">
        <is>
          <t>Resources</t>
        </is>
      </c>
      <c r="M582" t="inlineStr">
        <is>
          <t>Hidden pickup in the Leverian; not visible until you've mastered Grendel / Grendel Prime.</t>
        </is>
      </c>
      <c r="N582" t="inlineStr">
        <is>
          <t>Decorations/Orbiter Decorations</t>
        </is>
      </c>
      <c r="O582" t="inlineStr">
        <is>
          <t>Saved a concrete acquisition place from the official Warframe Wiki. Orbiter Decorations Prex table and Prex Locations list.</t>
        </is>
      </c>
    </row>
    <row r="583">
      <c r="A583" t="inlineStr">
        <is>
          <t>/Lotus/Types/Items/ShipDecos/GrimoireAltar</t>
        </is>
      </c>
      <c r="B583" t="inlineStr">
        <is>
          <t>Grimoire Altar</t>
        </is>
      </c>
      <c r="C583" t="inlineStr">
        <is>
          <t>https://wiki.warframe.com/w/Albrecht's_Laboratories | https://wiki.warframe.com/w/Decorations | https://wiki.warframe.com/w/Decorations/Orbiter_Decorations</t>
        </is>
      </c>
      <c r="D583" t="inlineStr">
        <is>
          <t>ExportResources</t>
        </is>
      </c>
      <c r="F583" t="inlineStr">
        <is>
          <t>Grimoire Altar</t>
        </is>
      </c>
      <c r="H583" t="inlineStr">
        <is>
          <t>Solved: current place verified and archived 2026-10-16.</t>
        </is>
      </c>
      <c r="I583" t="inlineStr">
        <is>
          <t>Resources</t>
        </is>
      </c>
      <c r="M583" t="inlineStr">
        <is>
          <t>In-game Market for 35 Platinum.</t>
        </is>
      </c>
      <c r="N583" t="inlineStr">
        <is>
          <t>Albrecht's Laboratories | Decorations | Update 35 | Decorations/Orbiter Decorations</t>
        </is>
      </c>
      <c r="O583" t="inlineStr">
        <is>
          <t>We copied where it comes from off the wiki page. See place from wiki page.</t>
        </is>
      </c>
    </row>
    <row r="584">
      <c r="A584" t="inlineStr">
        <is>
          <t>/Lotus/Types/Items/ShipDecos/KubrowToyA</t>
        </is>
      </c>
      <c r="B584" t="inlineStr">
        <is>
          <t>Grineer Armor Pet Toy</t>
        </is>
      </c>
      <c r="C584" t="inlineStr">
        <is>
          <t>https://wiki.warframe.com/w/Decorations/Orbiter_Decorations</t>
        </is>
      </c>
      <c r="D584" t="inlineStr">
        <is>
          <t>ExportResources</t>
        </is>
      </c>
      <c r="F584" t="inlineStr">
        <is>
          <t>Grineer Armor Pet Toy</t>
        </is>
      </c>
      <c r="H584" t="inlineStr">
        <is>
          <t>Solved: current place verified and archived 2026-10-16.</t>
        </is>
      </c>
      <c r="I584" t="inlineStr">
        <is>
          <t>Resources</t>
        </is>
      </c>
      <c r="M584" t="inlineStr">
        <is>
          <t>In-game Market for 20 Platinum.</t>
        </is>
      </c>
      <c r="N584" t="inlineStr">
        <is>
          <t>Decorations/Orbiter Decorations</t>
        </is>
      </c>
      <c r="O584" t="inlineStr">
        <is>
          <t>We copied where it comes from off the wiki page. See place from wiki page.</t>
        </is>
      </c>
    </row>
    <row r="585">
      <c r="A585" t="inlineStr">
        <is>
          <t>/Lotus/Types/Items/ShipDecos/Vignettes/Enemies/GrineerAFItem</t>
        </is>
      </c>
      <c r="B585" t="inlineStr">
        <is>
          <t>Grineer Articula</t>
        </is>
      </c>
      <c r="C585" t="inlineStr">
        <is>
          <t>https://wiki.warframe.com/w/Decorations/Orbiter_Decorations</t>
        </is>
      </c>
      <c r="D585" t="inlineStr">
        <is>
          <t>ExportResources</t>
        </is>
      </c>
      <c r="F585" t="inlineStr">
        <is>
          <t>Grineer Articula</t>
        </is>
      </c>
      <c r="H585" t="inlineStr">
        <is>
          <t>Solved: current place verified and archived 2026-10-16.</t>
        </is>
      </c>
      <c r="I585" t="inlineStr">
        <is>
          <t>Resources</t>
        </is>
      </c>
      <c r="M585" t="inlineStr">
        <is>
          <t>In-game Market for 35 Platinum.</t>
        </is>
      </c>
      <c r="N585" t="inlineStr">
        <is>
          <t>Decorations/Orbiter Decorations</t>
        </is>
      </c>
      <c r="O585" t="inlineStr">
        <is>
          <t>We copied where it comes from off the wiki page. See place from wiki page.</t>
        </is>
      </c>
    </row>
    <row r="586">
      <c r="A586" t="inlineStr">
        <is>
          <t>/Lotus/Types/Items/MiscItems/PhotoboothTileGrineerGalleonDefense</t>
        </is>
      </c>
      <c r="B586" t="inlineStr">
        <is>
          <t>Grineer Galleon Cargo Scene</t>
        </is>
      </c>
      <c r="C586" t="inlineStr">
        <is>
          <t>https://wiki.warframe.com/w/Captura</t>
        </is>
      </c>
      <c r="D586" t="inlineStr">
        <is>
          <t>ExportResources</t>
        </is>
      </c>
      <c r="F586" t="inlineStr">
        <is>
          <t>Grineer Galleon Cargo Scene</t>
        </is>
      </c>
      <c r="H586" t="inlineStr">
        <is>
          <t>Solved: current place verified and archived 2026-10-16.</t>
        </is>
      </c>
      <c r="I586" t="inlineStr">
        <is>
          <t>Resources</t>
        </is>
      </c>
      <c r="M586" t="inlineStr">
        <is>
          <t>Unlocked by default.</t>
        </is>
      </c>
      <c r="N586" t="inlineStr">
        <is>
          <t>Captura</t>
        </is>
      </c>
      <c r="O586" t="inlineStr">
        <is>
          <t>Saved a concrete acquisition place from the official Warframe Wiki. Captura scene table lists this scene with its acquisition note.</t>
        </is>
      </c>
    </row>
    <row r="587">
      <c r="A587" t="inlineStr">
        <is>
          <t>/Lotus/Types/Items/ShipDecos/KubrowToyC</t>
        </is>
      </c>
      <c r="B587" t="inlineStr">
        <is>
          <t>Grineer Tech Pet Toy</t>
        </is>
      </c>
      <c r="C587" t="inlineStr">
        <is>
          <t>https://wiki.warframe.com/w/Decorations/Orbiter_Decorations</t>
        </is>
      </c>
      <c r="D587" t="inlineStr">
        <is>
          <t>ExportResources</t>
        </is>
      </c>
      <c r="F587" t="inlineStr">
        <is>
          <t>Grineer Tech Pet Toy</t>
        </is>
      </c>
      <c r="H587" t="inlineStr">
        <is>
          <t>Solved: current place verified and archived 2026-10-16.</t>
        </is>
      </c>
      <c r="I587" t="inlineStr">
        <is>
          <t>Resources</t>
        </is>
      </c>
      <c r="M587" t="inlineStr">
        <is>
          <t>In-game Market for 20 Platinum.</t>
        </is>
      </c>
      <c r="N587" t="inlineStr">
        <is>
          <t>Decorations/Orbiter Decorations</t>
        </is>
      </c>
      <c r="O587" t="inlineStr">
        <is>
          <t>We copied where it comes from off the wiki page. See place from wiki page.</t>
        </is>
      </c>
    </row>
    <row r="588">
      <c r="A588" t="inlineStr">
        <is>
          <t>/Lotus/Types/Items/ShipDecos/Props/LisetPropGrnGrokdrul</t>
        </is>
      </c>
      <c r="B588" t="inlineStr">
        <is>
          <t>Grokdrul Drum Decoration</t>
        </is>
      </c>
      <c r="C588" t="inlineStr">
        <is>
          <t>https://wiki.warframe.com/w/Ostron | https://wiki.warframe.com/w/Decorations/Orbiter_Decorations</t>
        </is>
      </c>
      <c r="D588" t="inlineStr">
        <is>
          <t>ExportResources</t>
        </is>
      </c>
      <c r="F588" t="inlineStr">
        <is>
          <t>Grokdrul Drum Decoration</t>
        </is>
      </c>
      <c r="H588" t="inlineStr">
        <is>
          <t>Solved: current place verified and archived 2026-10-16.</t>
        </is>
      </c>
      <c r="I588" t="inlineStr">
        <is>
          <t>Resources</t>
        </is>
      </c>
      <c r="M588" t="inlineStr">
        <is>
          <t>Purchase from Old Man Suumbaat for 10,000 Standing (Ostron Rank 4: Surah).</t>
        </is>
      </c>
      <c r="N588" t="inlineStr">
        <is>
          <t>Ostron | Decorations/Orbiter Decorations</t>
        </is>
      </c>
      <c r="O588" t="inlineStr">
        <is>
          <t>We copied where it comes from off the wiki page. See place from wiki page.</t>
        </is>
      </c>
    </row>
    <row r="589">
      <c r="A589" t="inlineStr">
        <is>
          <t>/Lotus/Types/Items/ShipDecos/LisetPropGyrePulseDecoration</t>
        </is>
      </c>
      <c r="B589" t="inlineStr">
        <is>
          <t>Gyratory Sphere Decoration</t>
        </is>
      </c>
      <c r="C589" t="inlineStr">
        <is>
          <t>https://wiki.warframe.com/w/Gyre_Collection | https://wiki.warframe.com/w/Decorations/Orbiter_Decorations</t>
        </is>
      </c>
      <c r="D589" t="inlineStr">
        <is>
          <t>ExportResources</t>
        </is>
      </c>
      <c r="F589" t="inlineStr">
        <is>
          <t>Gyratory Sphere Decoration</t>
        </is>
      </c>
      <c r="H589" t="inlineStr">
        <is>
          <t>Solved: current place verified and archived 2026-10-16.</t>
        </is>
      </c>
      <c r="I589" t="inlineStr">
        <is>
          <t>Resources</t>
        </is>
      </c>
      <c r="M589" t="inlineStr">
        <is>
          <t>Only in the Gyre Collection bundle (Market).</t>
        </is>
      </c>
      <c r="N589" t="inlineStr">
        <is>
          <t>Gyre Collection</t>
        </is>
      </c>
      <c r="O589" t="inlineStr">
        <is>
          <t>Saved a concrete acquisition place from the official Warframe Wiki. Gyre Collection page.</t>
        </is>
      </c>
    </row>
    <row r="590">
      <c r="A590" t="inlineStr">
        <is>
          <t>/Lotus/Types/Items/ShipDecos/TarotCardGyre</t>
        </is>
      </c>
      <c r="B590" t="inlineStr">
        <is>
          <t>Gyre Prex</t>
        </is>
      </c>
      <c r="C590" t="inlineStr">
        <is>
          <t>https://wiki.warframe.com/w/Decorations</t>
        </is>
      </c>
      <c r="D590" t="inlineStr">
        <is>
          <t>ExportResources</t>
        </is>
      </c>
      <c r="F590" t="inlineStr">
        <is>
          <t>Gyre Prex</t>
        </is>
      </c>
      <c r="H590" t="inlineStr">
        <is>
          <t>Solved: current place verified and archived 2026-10-16.</t>
        </is>
      </c>
      <c r="I590" t="inlineStr">
        <is>
          <t>Resources</t>
        </is>
      </c>
      <c r="M590" t="inlineStr">
        <is>
          <t>Hidden pickup in Crysalith, Zariman Ten Zero: in the Chrysalith hallway after the docking bays, on top of the lockers across from Cephalon Melica, after Angels of the Zariman.</t>
        </is>
      </c>
      <c r="N590" t="inlineStr">
        <is>
          <t>Decorations/Orbiter Decorations</t>
        </is>
      </c>
      <c r="O590" t="inlineStr">
        <is>
          <t>Saved a concrete acquisition place from the official Warframe Wiki. Orbiter Decorations Prex table and Prex Locations list.</t>
        </is>
      </c>
    </row>
    <row r="591">
      <c r="A591" t="inlineStr">
        <is>
          <t>/Lotus/Types/Items/ShipFeatureItems/InfestedFoundryUpgradeFeatureItem</t>
        </is>
      </c>
      <c r="B591" t="inlineStr">
        <is>
          <t>HELMINTH INVIGORATION SEGMENT</t>
        </is>
      </c>
      <c r="C591" t="inlineStr">
        <is>
          <t>https://wiki.warframe.com/w/Orbiter_Segments | https://wiki.warframe.com/w/Tempered_Bapholite | https://wiki.warframe.com/w/Pustulent_Cognitive_Nodule | https://wiki.warframe.com/w/Helminth</t>
        </is>
      </c>
      <c r="D591" t="inlineStr">
        <is>
          <t>ExportResources</t>
        </is>
      </c>
      <c r="F591" t="inlineStr">
        <is>
          <t>HELMINTH INVIGORATION SEGMENT</t>
        </is>
      </c>
      <c r="H591" t="inlineStr">
        <is>
          <t>Solved: current place verified and archived 2026-10-16.</t>
        </is>
      </c>
      <c r="I591" t="inlineStr">
        <is>
          <t>Resources</t>
        </is>
      </c>
      <c r="M591" t="inlineStr">
        <is>
          <t>Purchase the blueprint from Son in Necralisk for 30,000 Standing (Mastery Rank 8, Entrati Rank 5 - Family), or in the Helminth Segments Bundle (Market, 300 Platinum).</t>
        </is>
      </c>
      <c r="N591" t="inlineStr">
        <is>
          <t>Orbiter Segments | Tempered Bapholite | Pustulent Cognitive Nodule | Helminth</t>
        </is>
      </c>
      <c r="O591" t="inlineStr">
        <is>
          <t>We found more than one answer for where it comes from. Look at place from wiki page — the answers are separated by | — and pick the right one.</t>
        </is>
      </c>
    </row>
    <row r="592">
      <c r="A592" t="inlineStr">
        <is>
          <t>/Lotus/Types/Items/Deimos/AnimalTagInfestedZongroRare</t>
        </is>
      </c>
      <c r="B592" t="inlineStr">
        <is>
          <t>HOWLER UNDAZOA TAG</t>
        </is>
      </c>
      <c r="C592" t="inlineStr">
        <is>
          <t>https://wiki.warframe.com/w/Conservation</t>
        </is>
      </c>
      <c r="D592" t="inlineStr">
        <is>
          <t>ExportResources</t>
        </is>
      </c>
      <c r="G592" t="inlineStr">
        <is>
          <t>Conservation#Undazoa</t>
        </is>
      </c>
      <c r="H592" t="inlineStr">
        <is>
          <t>Solved: current place verified and archived 2026-10-16.</t>
        </is>
      </c>
      <c r="I592" t="inlineStr">
        <is>
          <t>Resources</t>
        </is>
      </c>
      <c r="J592" t="inlineStr">
        <is>
          <t>Resources_data</t>
        </is>
      </c>
      <c r="K592" t="inlineStr">
        <is>
          <t>Resources/data</t>
        </is>
      </c>
      <c r="L592" t="inlineStr">
        <is>
          <t>listed, no place</t>
        </is>
      </c>
      <c r="M592" t="inlineStr">
        <is>
          <t>Capture a Howler Undazoa through Conservation in the Cambion Drift.</t>
        </is>
      </c>
      <c r="N592" t="inlineStr">
        <is>
          <t>Conservation</t>
        </is>
      </c>
      <c r="O592" t="inlineStr">
        <is>
          <t>Saved a concrete acquisition place from the official Warframe Wiki.</t>
        </is>
      </c>
    </row>
    <row r="593">
      <c r="A593" t="inlineStr">
        <is>
          <t>/Lotus/Types/Gameplay/Duviri/Resource/Fish/DuviriFishCItem</t>
        </is>
      </c>
      <c r="B593" t="inlineStr">
        <is>
          <t>Haav</t>
        </is>
      </c>
      <c r="C593" t="inlineStr">
        <is>
          <t>https://wiki.warframe.com/w/Fishing</t>
        </is>
      </c>
      <c r="D593" t="inlineStr">
        <is>
          <t>ExportResources</t>
        </is>
      </c>
      <c r="G593" t="inlineStr">
        <is>
          <t>Haav</t>
        </is>
      </c>
      <c r="H593" t="inlineStr">
        <is>
          <t>Solved: current place verified and archived 2026-10-16.</t>
        </is>
      </c>
      <c r="I593" t="inlineStr">
        <is>
          <t>Resources</t>
        </is>
      </c>
      <c r="J593" t="inlineStr">
        <is>
          <t>Resources_data</t>
        </is>
      </c>
      <c r="K593" t="inlineStr">
        <is>
          <t>Resources/data</t>
        </is>
      </c>
      <c r="L593" t="inlineStr">
        <is>
          <t>listed, no place</t>
        </is>
      </c>
      <c r="M593" t="inlineStr">
        <is>
          <t>Caught while fishing in Duviri.</t>
        </is>
      </c>
      <c r="N593" t="inlineStr">
        <is>
          <t>Fishing</t>
        </is>
      </c>
      <c r="O593" t="inlineStr">
        <is>
          <t>Saved a concrete acquisition place from the official Warframe Wiki.</t>
        </is>
      </c>
    </row>
    <row r="594">
      <c r="A594" t="inlineStr">
        <is>
          <t>/Lotus/Types/Items/Fish/Duviri/DuviriFishCItem</t>
        </is>
      </c>
      <c r="B594" t="inlineStr">
        <is>
          <t>Haav</t>
        </is>
      </c>
      <c r="C594" t="inlineStr">
        <is>
          <t>https://wiki.warframe.com/w/Fishing</t>
        </is>
      </c>
      <c r="D594" t="inlineStr">
        <is>
          <t>ExportResources</t>
        </is>
      </c>
      <c r="F594" t="inlineStr">
        <is>
          <t>Haav</t>
        </is>
      </c>
      <c r="G594" t="inlineStr">
        <is>
          <t>Haav</t>
        </is>
      </c>
      <c r="H594" t="inlineStr">
        <is>
          <t>Solved: current place verified and archived 2026-10-16.</t>
        </is>
      </c>
      <c r="I594" t="inlineStr">
        <is>
          <t>Resources</t>
        </is>
      </c>
      <c r="J594" t="inlineStr">
        <is>
          <t>Resources_data</t>
        </is>
      </c>
      <c r="K594" t="inlineStr">
        <is>
          <t>Resources/data</t>
        </is>
      </c>
      <c r="L594" t="inlineStr">
        <is>
          <t>listed, no place</t>
        </is>
      </c>
      <c r="M594" t="inlineStr">
        <is>
          <t>Caught while fishing in Duviri.</t>
        </is>
      </c>
      <c r="N594" t="inlineStr">
        <is>
          <t>Fishing</t>
        </is>
      </c>
      <c r="O594" t="inlineStr">
        <is>
          <t>Saved a concrete acquisition place from the official Warframe Wiki.</t>
        </is>
      </c>
    </row>
    <row r="595">
      <c r="A595" t="inlineStr">
        <is>
          <t>/Lotus/Types/Items/ShipDecos/Props/Nokko/LisetPropLASxPlanterHangingB</t>
        </is>
      </c>
      <c r="B595" t="inlineStr">
        <is>
          <t>Hanging Flowerpot (Narrow)</t>
        </is>
      </c>
      <c r="C595" t="inlineStr">
        <is>
          <t>https://wiki.warframe.com/w/Nightcap</t>
        </is>
      </c>
      <c r="D595" t="inlineStr">
        <is>
          <t>ExportResources</t>
        </is>
      </c>
      <c r="F595" t="inlineStr">
        <is>
          <t>Hanging Flowerpot (Narrow)</t>
        </is>
      </c>
      <c r="H595" t="inlineStr">
        <is>
          <t>Solved: current place verified and archived 2026-10-16.</t>
        </is>
      </c>
      <c r="I595" t="inlineStr">
        <is>
          <t>Resources</t>
        </is>
      </c>
      <c r="M595" t="inlineStr">
        <is>
          <t>Purchase from Nightcap's Nursery for 10 Fergolyte.</t>
        </is>
      </c>
      <c r="N595" t="inlineStr">
        <is>
          <t>Nightcap</t>
        </is>
      </c>
      <c r="O595" t="inlineStr">
        <is>
          <t>Saved a concrete acquisition place from the official Warframe Wiki. Nightcap page lists it in Offerings &gt; Nursery.</t>
        </is>
      </c>
    </row>
    <row r="596">
      <c r="A596" t="inlineStr">
        <is>
          <t>/Lotus/Types/Items/ShipDecos/Props/Nokko/LisetPropLASxPlanterHangingA</t>
        </is>
      </c>
      <c r="B596" t="inlineStr">
        <is>
          <t>Hanging Flowerpot (Wide)</t>
        </is>
      </c>
      <c r="C596" t="inlineStr">
        <is>
          <t>https://wiki.warframe.com/w/Nightcap</t>
        </is>
      </c>
      <c r="D596" t="inlineStr">
        <is>
          <t>ExportResources</t>
        </is>
      </c>
      <c r="F596" t="inlineStr">
        <is>
          <t>Hanging Flowerpot (Wide)</t>
        </is>
      </c>
      <c r="H596" t="inlineStr">
        <is>
          <t>Solved: current place verified and archived 2026-10-16.</t>
        </is>
      </c>
      <c r="I596" t="inlineStr">
        <is>
          <t>Resources</t>
        </is>
      </c>
      <c r="M596" t="inlineStr">
        <is>
          <t>Purchase from Nightcap's Nursery for 10 Fergolyte.</t>
        </is>
      </c>
      <c r="N596" t="inlineStr">
        <is>
          <t>Nightcap</t>
        </is>
      </c>
      <c r="O596" t="inlineStr">
        <is>
          <t>Saved a concrete acquisition place from the official Warframe Wiki. Nightcap page lists it in Offerings &gt; Nursery.</t>
        </is>
      </c>
    </row>
    <row r="597">
      <c r="A597" t="inlineStr">
        <is>
          <t>/Lotus/Types/Items/ShipDecos/Plants/Nokko/LisetPropLASxIvyOvergrowthA</t>
        </is>
      </c>
      <c r="B597" t="inlineStr">
        <is>
          <t>Hanging Ivy (Narrow)</t>
        </is>
      </c>
      <c r="C597" t="inlineStr">
        <is>
          <t>https://wiki.warframe.com/w/Nightcap</t>
        </is>
      </c>
      <c r="D597" t="inlineStr">
        <is>
          <t>ExportResources</t>
        </is>
      </c>
      <c r="F597" t="inlineStr">
        <is>
          <t>Hanging Ivy (Narrow)</t>
        </is>
      </c>
      <c r="H597" t="inlineStr">
        <is>
          <t>Solved: current place verified and archived 2026-10-16.</t>
        </is>
      </c>
      <c r="I597" t="inlineStr">
        <is>
          <t>Resources</t>
        </is>
      </c>
      <c r="M597" t="inlineStr">
        <is>
          <t>Purchase from Nightcap's Nursery for 10 Fergolyte.</t>
        </is>
      </c>
      <c r="N597" t="inlineStr">
        <is>
          <t>Nightcap</t>
        </is>
      </c>
      <c r="O597" t="inlineStr">
        <is>
          <t>Saved a concrete acquisition place from the official Warframe Wiki. Nightcap page lists it in Offerings &gt; Nursery.</t>
        </is>
      </c>
    </row>
    <row r="598">
      <c r="A598" t="inlineStr">
        <is>
          <t>/Lotus/Types/Items/ShipDecos/Plants/Nokko/LisetPropLASxIvyOvergrowthE</t>
        </is>
      </c>
      <c r="B598" t="inlineStr">
        <is>
          <t>Hanging Ivy (Wide)</t>
        </is>
      </c>
      <c r="C598" t="inlineStr">
        <is>
          <t>https://wiki.warframe.com/w/Nightcap</t>
        </is>
      </c>
      <c r="D598" t="inlineStr">
        <is>
          <t>ExportResources</t>
        </is>
      </c>
      <c r="F598" t="inlineStr">
        <is>
          <t>Hanging Ivy (Wide)</t>
        </is>
      </c>
      <c r="H598" t="inlineStr">
        <is>
          <t>Solved: current place verified and archived 2026-10-16.</t>
        </is>
      </c>
      <c r="I598" t="inlineStr">
        <is>
          <t>Resources</t>
        </is>
      </c>
      <c r="M598" t="inlineStr">
        <is>
          <t>Purchase from Nightcap's Nursery for 10 Fergolyte.</t>
        </is>
      </c>
      <c r="N598" t="inlineStr">
        <is>
          <t>Nightcap</t>
        </is>
      </c>
      <c r="O598" t="inlineStr">
        <is>
          <t>Saved a concrete acquisition place from the official Warframe Wiki. Nightcap page lists it in Offerings &gt; Nursery.</t>
        </is>
      </c>
    </row>
    <row r="599">
      <c r="A599" t="inlineStr">
        <is>
          <t>/Lotus/Types/Items/ShipDecos/FlappyZephyrPoster</t>
        </is>
      </c>
      <c r="B599" t="inlineStr">
        <is>
          <t>Happy Zephyr Poster</t>
        </is>
      </c>
      <c r="C599" t="inlineStr">
        <is>
          <t>https://wiki.warframe.com/w/Happy_Zephyr | https://wiki.warframe.com/w/Decorations/Orbiter_Decorations</t>
        </is>
      </c>
      <c r="D599" t="inlineStr">
        <is>
          <t>ExportResources</t>
        </is>
      </c>
      <c r="F599" t="inlineStr">
        <is>
          <t>Happy Zephyr Poster</t>
        </is>
      </c>
      <c r="H599" t="inlineStr">
        <is>
          <t>Solved: current place verified and archived 2026-10-16.</t>
        </is>
      </c>
      <c r="I599" t="inlineStr">
        <is>
          <t>Resources</t>
        </is>
      </c>
      <c r="M599" t="inlineStr">
        <is>
          <t>Awarded for achieving 50 points in Happy Zephyr.</t>
        </is>
      </c>
      <c r="N599" t="inlineStr">
        <is>
          <t>Happy Zephyr | Decorations/Orbiter Decorations</t>
        </is>
      </c>
      <c r="O599" t="inlineStr">
        <is>
          <t>We copied where it comes from off the wiki page. See place from wiki page.</t>
        </is>
      </c>
    </row>
    <row r="600">
      <c r="A600" t="inlineStr">
        <is>
          <t>/Lotus/Types/Items/ShipDecos/Plushies/PlushyHarddriveHuman</t>
        </is>
      </c>
      <c r="B600" t="inlineStr">
        <is>
          <t>Harddrive Floof</t>
        </is>
      </c>
      <c r="C600" t="inlineStr">
        <is>
          <t>https://wiki.warframe.com/w/Technocyte_Coda/Rewards | https://wiki.warframe.com/w/Adversary_System | https://wiki.warframe.com/w/Decorations/Orbiter_Decorations</t>
        </is>
      </c>
      <c r="D600" t="inlineStr">
        <is>
          <t>ExportResources</t>
        </is>
      </c>
      <c r="F600" t="inlineStr">
        <is>
          <t>Harddrive Floof</t>
        </is>
      </c>
      <c r="H600" t="inlineStr">
        <is>
          <t>Solved: current place verified and archived 2026-10-16.</t>
        </is>
      </c>
      <c r="I600" t="inlineStr">
        <is>
          <t>Resources</t>
        </is>
      </c>
      <c r="M600" t="inlineStr">
        <is>
          <t>Reward from vanquishing a Technocyte Coda (each Coda drops one Floof or Poster).</t>
        </is>
      </c>
      <c r="N600" t="inlineStr">
        <is>
          <t>Technocyte Coda/Rewards</t>
        </is>
      </c>
      <c r="O600" t="inlineStr">
        <is>
          <t>Saved a concrete acquisition place from the official Warframe Wiki. Rewards page: Coda pulls its second cosmetic drop from a Floof or Poster pool.</t>
        </is>
      </c>
    </row>
    <row r="601">
      <c r="A601" t="inlineStr">
        <is>
          <t>/Lotus/Types/Items/MiscItems/PhotoboothTileMuseHub</t>
        </is>
      </c>
      <c r="B601" t="inlineStr">
        <is>
          <t>Haunted Vesper Relay Scene</t>
        </is>
      </c>
      <c r="C601" t="inlineStr">
        <is>
          <t>https://wiki.warframe.com/w/Captura | https://wiki.warframe.com/w/Atramentum | https://wiki.warframe.com/w/Aspirant_Zorba</t>
        </is>
      </c>
      <c r="D601" t="inlineStr">
        <is>
          <t>ExportResources</t>
        </is>
      </c>
      <c r="F601" t="inlineStr">
        <is>
          <t>Haunted Vesper Relay Scene</t>
        </is>
      </c>
      <c r="H601" t="inlineStr">
        <is>
          <t>Solved: current place verified and archived 2026-10-16.</t>
        </is>
      </c>
      <c r="I601" t="inlineStr">
        <is>
          <t>Resources</t>
        </is>
      </c>
      <c r="M601" t="inlineStr">
        <is>
          <t>Purchase from Aspirant Zorba for 600 Atramentum.</t>
        </is>
      </c>
      <c r="N601" t="inlineStr">
        <is>
          <t>Captura | Atramentum | Aspirant Zorba | Update 42: The Shadowgrapher</t>
        </is>
      </c>
      <c r="O601" t="inlineStr">
        <is>
          <t>We copied where it comes from off the wiki page. See place from wiki page.</t>
        </is>
      </c>
    </row>
    <row r="602">
      <c r="A602" t="inlineStr">
        <is>
          <t>/Lotus/Types/Items/ShipDecos/Venus/SolarisPosterC</t>
        </is>
      </c>
      <c r="B602" t="inlineStr">
        <is>
          <t>Heads High, Solaris Poster</t>
        </is>
      </c>
      <c r="C602" t="inlineStr">
        <is>
          <t>https://wiki.warframe.com/w/Decorations/Orbiter_Decorations</t>
        </is>
      </c>
      <c r="D602" t="inlineStr">
        <is>
          <t>ExportResources</t>
        </is>
      </c>
      <c r="F602" t="inlineStr">
        <is>
          <t>Heads High, Solaris Poster</t>
        </is>
      </c>
      <c r="H602" t="inlineStr">
        <is>
          <t>Solved: current place verified and archived 2026-10-16.</t>
        </is>
      </c>
      <c r="I602" t="inlineStr">
        <is>
          <t>Resources</t>
        </is>
      </c>
      <c r="M602" t="inlineStr">
        <is>
          <t>In-game Market for 35 Platinum.</t>
        </is>
      </c>
      <c r="N602" t="inlineStr">
        <is>
          <t>Decorations/Orbiter Decorations</t>
        </is>
      </c>
      <c r="O602" t="inlineStr">
        <is>
          <t>We copied where it comes from off the wiki page. See place from wiki page.</t>
        </is>
      </c>
    </row>
    <row r="603">
      <c r="A603" t="inlineStr">
        <is>
          <t>/Lotus/Types/Items/ShipDecos/Plushies/PlushyHemocyte</t>
        </is>
      </c>
      <c r="B603" t="inlineStr">
        <is>
          <t>Hemocyte Floof</t>
        </is>
      </c>
      <c r="C603" t="inlineStr">
        <is>
          <t>https://wiki.warframe.com/w/Operation:_Plague_Star | https://wiki.warframe.com/w/Operational_Supply</t>
        </is>
      </c>
      <c r="D603" t="inlineStr">
        <is>
          <t>ExportResources</t>
        </is>
      </c>
      <c r="F603" t="inlineStr">
        <is>
          <t>Hemocyte Floof</t>
        </is>
      </c>
      <c r="H603" t="inlineStr">
        <is>
          <t>Solved: current place verified and archived 2026-10-16.</t>
        </is>
      </c>
      <c r="I603" t="inlineStr">
        <is>
          <t>Resources</t>
        </is>
      </c>
      <c r="M603" t="inlineStr">
        <is>
          <t>Purchase from the Operation: Plague Star offerings for 1,000 Standing and 3,500 Credits.</t>
        </is>
      </c>
      <c r="N603" t="inlineStr">
        <is>
          <t>Operation: Plague Star | Operational Supply</t>
        </is>
      </c>
      <c r="O603" t="inlineStr">
        <is>
          <t>We copied where it comes from off the wiki page. See place from wiki page.</t>
        </is>
      </c>
    </row>
    <row r="604">
      <c r="A604" t="inlineStr">
        <is>
          <t>/Lotus/Types/Items/ShipDecos/Duviri/NightwaveDuviriHeroDisplay</t>
        </is>
      </c>
      <c r="B604" t="inlineStr">
        <is>
          <t>Hero of Duviri Display</t>
        </is>
      </c>
      <c r="C604" t="inlineStr">
        <is>
          <t>https://wiki.warframe.com/w/Nightwave/Nora's_Mix_Volume_4 | https://wiki.warframe.com/w/Nightwave/Offerings | https://wiki.warframe.com/w/Decorations/Orbiter_Decorations</t>
        </is>
      </c>
      <c r="D604" t="inlineStr">
        <is>
          <t>ExportResources</t>
        </is>
      </c>
      <c r="F604" t="inlineStr">
        <is>
          <t>Hero of Duviri Display</t>
        </is>
      </c>
      <c r="H604" t="inlineStr">
        <is>
          <t>Solved: current place verified and archived 2026-10-16.</t>
        </is>
      </c>
      <c r="I604" t="inlineStr">
        <is>
          <t>Resources</t>
        </is>
      </c>
      <c r="M604" t="inlineStr">
        <is>
          <t>Purchase from Nightwave Offerings for 40 Nightwave Creds.</t>
        </is>
      </c>
      <c r="N604" t="inlineStr">
        <is>
          <t>Nightwave/Nora's Mix Volume 4 | Nightwave/Offerings | Decorations/Orbiter Decorations | Update 33</t>
        </is>
      </c>
      <c r="O604" t="inlineStr">
        <is>
          <t>We copied where it comes from off the wiki page. See place from wiki page.</t>
        </is>
      </c>
    </row>
    <row r="605">
      <c r="A605" t="inlineStr">
        <is>
          <t>/Lotus/Types/Recipes/Weapons/WeaponParts/DuviriHeavyScytheBlade</t>
        </is>
      </c>
      <c r="B605" t="inlineStr">
        <is>
          <t>Hespar Blade</t>
        </is>
      </c>
      <c r="C605" t="inlineStr">
        <is>
          <t>https://wiki.warframe.com/w/Thrax_Plasm | https://wiki.warframe.com/w/Voidplume_Quill</t>
        </is>
      </c>
      <c r="D605" t="inlineStr">
        <is>
          <t>ExportResources</t>
        </is>
      </c>
      <c r="F605" t="inlineStr">
        <is>
          <t>Hespar Blade</t>
        </is>
      </c>
      <c r="H605" t="inlineStr">
        <is>
          <t>Solved: current place verified and archived 2026-10-16.</t>
        </is>
      </c>
      <c r="I605" t="inlineStr">
        <is>
          <t>Resources</t>
        </is>
      </c>
      <c r="L605" t="inlineStr">
        <is>
          <t>DropTablesJSON_Missions, DropTables_JSON_Missions, DropTables_data, drop_reverse_index_v2</t>
        </is>
      </c>
      <c r="M605" t="inlineStr">
        <is>
          <t>Blueprint drops from Void Armageddon.</t>
        </is>
      </c>
      <c r="N605" t="inlineStr">
        <is>
          <t>Hespar</t>
        </is>
      </c>
      <c r="O605" t="inlineStr">
        <is>
          <t>Saved a concrete acquisition place from the official Warframe Wiki. Hespar page Acquisition.</t>
        </is>
      </c>
    </row>
    <row r="606">
      <c r="A606" t="inlineStr">
        <is>
          <t>/Lotus/Types/Recipes/Weapons/WeaponParts/DuviriHeavyScytheHandle</t>
        </is>
      </c>
      <c r="B606" t="inlineStr">
        <is>
          <t>Hespar Handle</t>
        </is>
      </c>
      <c r="C606" t="inlineStr">
        <is>
          <t>https://wiki.warframe.com/w/Thrax_Plasm | https://wiki.warframe.com/w/Voidplume_Quill</t>
        </is>
      </c>
      <c r="D606" t="inlineStr">
        <is>
          <t>ExportResources</t>
        </is>
      </c>
      <c r="F606" t="inlineStr">
        <is>
          <t>Hespar Handle</t>
        </is>
      </c>
      <c r="H606" t="inlineStr">
        <is>
          <t>Solved: current place verified and archived 2026-10-16.</t>
        </is>
      </c>
      <c r="I606" t="inlineStr">
        <is>
          <t>Resources</t>
        </is>
      </c>
      <c r="L606" t="inlineStr">
        <is>
          <t>DropTablesJSON_Missions, DropTables_JSON_Missions, DropTables_data, drop_reverse_index_v2</t>
        </is>
      </c>
      <c r="M606" t="inlineStr">
        <is>
          <t>Blueprint drops from Void Cascade.</t>
        </is>
      </c>
      <c r="N606" t="inlineStr">
        <is>
          <t>Hespar</t>
        </is>
      </c>
      <c r="O606" t="inlineStr">
        <is>
          <t>Saved a concrete acquisition place from the official Warframe Wiki. Hespar page Acquisition.</t>
        </is>
      </c>
    </row>
    <row r="607">
      <c r="A607" t="inlineStr">
        <is>
          <t>/Lotus/Types/Items/ShipDecos/JadeShadows/LisetPropCalibanDeluxeGhosts</t>
        </is>
      </c>
      <c r="B607" t="inlineStr">
        <is>
          <t>Heurodis Decoration</t>
        </is>
      </c>
      <c r="C607" t="inlineStr">
        <is>
          <t>https://wiki.warframe.com/w/Caliban_Orfeo_Collection | https://wiki.warframe.com/w/Decorations | https://wiki.warframe.com/w/Caliban_Orfeo_Skin</t>
        </is>
      </c>
      <c r="D607" t="inlineStr">
        <is>
          <t>ExportResources</t>
        </is>
      </c>
      <c r="F607" t="inlineStr">
        <is>
          <t>Heurodis Decoration</t>
        </is>
      </c>
      <c r="H607" t="inlineStr">
        <is>
          <t>Solved: current place verified and archived 2026-10-16.</t>
        </is>
      </c>
      <c r="I607" t="inlineStr">
        <is>
          <t>Resources</t>
        </is>
      </c>
      <c r="M607" t="inlineStr">
        <is>
          <t>In-game Market for 35 Platinum, or in the Caliban Orfeo Collection.</t>
        </is>
      </c>
      <c r="N607" t="inlineStr">
        <is>
          <t>Caliban Orfeo Collection | Decorations | Caliban Orfeo Skin | Update 37 | Update 41: The Old Peace</t>
        </is>
      </c>
      <c r="O607" t="inlineStr">
        <is>
          <t>We found more than one answer for where it comes from. Look at place from wiki page — the answers are separated by | — and pick the right one.</t>
        </is>
      </c>
    </row>
    <row r="608">
      <c r="A608" t="inlineStr">
        <is>
          <t>/Lotus/Types/Items/ShipDecos/CorpusGreedReliefA</t>
        </is>
      </c>
      <c r="B608" t="inlineStr">
        <is>
          <t>Humble Beginnings</t>
        </is>
      </c>
      <c r="C608" t="inlineStr">
        <is>
          <t>https://wiki.warframe.com/w/Fragments/The_Tenets | https://wiki.warframe.com/w/Parvos_Granum | https://wiki.warframe.com/w/Decorations/Orbiter_Decorations</t>
        </is>
      </c>
      <c r="D608" t="inlineStr">
        <is>
          <t>ExportResources</t>
        </is>
      </c>
      <c r="F608" t="inlineStr">
        <is>
          <t>Humble Beginnings</t>
        </is>
      </c>
      <c r="H608" t="inlineStr">
        <is>
          <t>Solved: current place verified and archived 2026-10-16.</t>
        </is>
      </c>
      <c r="I608" t="inlineStr">
        <is>
          <t>Resources</t>
        </is>
      </c>
      <c r="M608" t="inlineStr">
        <is>
          <t>Pay tribute with a Granum Crown at the Corpus Temple Reliefs in the Corpus Ship tileset.</t>
        </is>
      </c>
      <c r="N608" t="inlineStr">
        <is>
          <t>Fragments/The Tenets</t>
        </is>
      </c>
      <c r="O608" t="inlineStr">
        <is>
          <t>Saved a concrete acquisition place from the official Warframe Wiki. Fragments/The Tenets page intro.</t>
        </is>
      </c>
    </row>
    <row r="609">
      <c r="A609" t="inlineStr">
        <is>
          <t>/Lotus/Types/Items/MiscItems/PhotoboothTileHydroidRelay</t>
        </is>
      </c>
      <c r="B609" t="inlineStr">
        <is>
          <t>Hydroid's Relay Scene</t>
        </is>
      </c>
      <c r="C609" t="inlineStr">
        <is>
          <t>https://wiki.warframe.com/w/Dog_Days | https://wiki.warframe.com/w/Captura | https://wiki.warframe.com/w/Tactical_Alert/Archive</t>
        </is>
      </c>
      <c r="D609" t="inlineStr">
        <is>
          <t>ExportResources</t>
        </is>
      </c>
      <c r="F609" t="inlineStr">
        <is>
          <t>Hydroid's Relay Scene</t>
        </is>
      </c>
      <c r="H609" t="inlineStr">
        <is>
          <t>Solved: current place verified and archived 2026-10-16.</t>
        </is>
      </c>
      <c r="I609" t="inlineStr">
        <is>
          <t>Resources</t>
        </is>
      </c>
      <c r="M609" t="inlineStr">
        <is>
          <t>Purchase from the Dog Days event store for 490 Nakak Pearls.</t>
        </is>
      </c>
      <c r="N609" t="inlineStr">
        <is>
          <t>Dog Days | Captura | Tactical Alert/Archive</t>
        </is>
      </c>
      <c r="O609" t="inlineStr">
        <is>
          <t>We copied where it comes from off the wiki page. See place from wiki page.</t>
        </is>
      </c>
    </row>
    <row r="610">
      <c r="A610" t="inlineStr">
        <is>
          <t>/Lotus/Types/Items/PhotoBooth/Vania/PhotoboothTileVaniaConMallStargla</t>
        </is>
      </c>
      <c r="B610" t="inlineStr">
        <is>
          <t>Höllvania Central Mall Subway</t>
        </is>
      </c>
      <c r="C610" t="inlineStr">
        <is>
          <t>https://wiki.warframe.com/w/Quincy | https://wiki.warframe.com/w/Captura</t>
        </is>
      </c>
      <c r="D610" t="inlineStr">
        <is>
          <t>ExportResources</t>
        </is>
      </c>
      <c r="F610" t="inlineStr">
        <is>
          <t>Höllvania Central Mall Subway</t>
        </is>
      </c>
      <c r="H610" t="inlineStr">
        <is>
          <t>Solved: current place verified and archived 2026-10-16.</t>
        </is>
      </c>
      <c r="I610" t="inlineStr">
        <is>
          <t>Resources</t>
        </is>
      </c>
      <c r="M610" t="inlineStr">
        <is>
          <t>Purchase from Quincy for 25,000 Standing (Rank 5: Pizza Party with The Hex).</t>
        </is>
      </c>
      <c r="N610" t="inlineStr">
        <is>
          <t>Quincy | Captura | Update 38</t>
        </is>
      </c>
      <c r="O610" t="inlineStr">
        <is>
          <t>We copied where it comes from off the wiki page. See place from wiki page.</t>
        </is>
      </c>
    </row>
    <row r="611">
      <c r="A611" t="inlineStr">
        <is>
          <t>/Lotus/Types/Items/ShipDecos/Props/LisetPropLASxPitchweaveFragmentCluster</t>
        </is>
      </c>
      <c r="B611" t="inlineStr">
        <is>
          <t>Höllvanian Pitchweave Tarps Decoration</t>
        </is>
      </c>
      <c r="C611" t="inlineStr">
        <is>
          <t>https://wiki.warframe.com/w/Velimir</t>
        </is>
      </c>
      <c r="D611" t="inlineStr">
        <is>
          <t>ExportResources</t>
        </is>
      </c>
      <c r="F611" t="inlineStr">
        <is>
          <t>Höllvanian Pitchweave Tarps Decoration</t>
        </is>
      </c>
      <c r="H611" t="inlineStr">
        <is>
          <t>Solved: current place verified and archived 2026-10-16.</t>
        </is>
      </c>
      <c r="I611" t="inlineStr">
        <is>
          <t>Resources</t>
        </is>
      </c>
      <c r="M611" t="inlineStr">
        <is>
          <t>Purchase from Velimir (The Hex) for 5,000 Standing at Rank 5 (Pizza Party).</t>
        </is>
      </c>
      <c r="N611" t="inlineStr">
        <is>
          <t>Velimir</t>
        </is>
      </c>
      <c r="O611" t="inlineStr">
        <is>
          <t>Saved a concrete acquisition place from the official Warframe Wiki. Velimir page lists it in Offerings.</t>
        </is>
      </c>
    </row>
    <row r="612">
      <c r="A612" t="inlineStr">
        <is>
          <t>/Lotus/Types/Items/SongItems/CCIWannaBeYourGOBSongItem</t>
        </is>
      </c>
      <c r="B612" t="inlineStr">
        <is>
          <t>I Wanna Be Your G.O.B.</t>
        </is>
      </c>
      <c r="C612" t="inlineStr">
        <is>
          <t>https://wiki.warframe.com/w/Somachord/Tones</t>
        </is>
      </c>
      <c r="D612" t="inlineStr">
        <is>
          <t>ExportResources</t>
        </is>
      </c>
      <c r="F612" t="inlineStr">
        <is>
          <t>I Wanna Be Your G.O.B.</t>
        </is>
      </c>
      <c r="H612" t="inlineStr">
        <is>
          <t>Solved: current place verified and archived 2026-10-16.</t>
        </is>
      </c>
      <c r="I612" t="inlineStr">
        <is>
          <t>Resources</t>
        </is>
      </c>
      <c r="M612" t="inlineStr">
        <is>
          <t>Somachord Tone from Aoi for 5,000 Standing at Rank 4 (Hot &amp; Fresh) with The Hex.</t>
        </is>
      </c>
      <c r="N612" t="inlineStr">
        <is>
          <t>Somachord/Tones</t>
        </is>
      </c>
      <c r="O612" t="inlineStr">
        <is>
          <t>We copied where it comes from off the wiki page. See place from wiki page.</t>
        </is>
      </c>
    </row>
    <row r="613">
      <c r="A613" t="inlineStr">
        <is>
          <t>/Lotus/Types/Items/MiscItems/NoraIntermissionThreeCreds</t>
        </is>
      </c>
      <c r="B613" t="inlineStr">
        <is>
          <t>INTERMISSION III CRED</t>
        </is>
      </c>
      <c r="C613" t="inlineStr">
        <is>
          <t>https://wiki.warframe.com/w/Nightwave/Intermission_III</t>
        </is>
      </c>
      <c r="D613" t="inlineStr">
        <is>
          <t>ExportResources</t>
        </is>
      </c>
      <c r="G613" t="inlineStr">
        <is>
          <t>Nightwave/Intermission III</t>
        </is>
      </c>
      <c r="H613" t="inlineStr">
        <is>
          <t>Solved: current place verified and archived 2026-10-16.</t>
        </is>
      </c>
      <c r="I613" t="inlineStr">
        <is>
          <t>Resources</t>
        </is>
      </c>
      <c r="J613" t="inlineStr">
        <is>
          <t>Resources_data</t>
        </is>
      </c>
      <c r="K613" t="inlineStr">
        <is>
          <t>Resources/data</t>
        </is>
      </c>
      <c r="L613" t="inlineStr">
        <is>
          <t>listed, no place</t>
        </is>
      </c>
      <c r="M613" t="inlineStr">
        <is>
          <t>Not currently obtainable.</t>
        </is>
      </c>
      <c r="N613" t="inlineStr">
        <is>
          <t>Nightwave/Intermission III</t>
        </is>
      </c>
      <c r="O613" t="inlineStr">
        <is>
          <t>Saved a concrete acquisition place from the official Warframe Wiki.</t>
        </is>
      </c>
    </row>
    <row r="614">
      <c r="A614" t="inlineStr">
        <is>
          <t>/Lotus/Types/Items/SongItems/IceSpeakerSongItem</t>
        </is>
      </c>
      <c r="B614" t="inlineStr">
        <is>
          <t>Ice Speaker</t>
        </is>
      </c>
      <c r="C614" t="inlineStr">
        <is>
          <t>https://wiki.warframe.com/w/Ice_Speaker</t>
        </is>
      </c>
      <c r="D614" t="inlineStr">
        <is>
          <t>ExportResources</t>
        </is>
      </c>
      <c r="F614" t="inlineStr">
        <is>
          <t>Ice Speaker</t>
        </is>
      </c>
      <c r="G614" t="inlineStr">
        <is>
          <t>Ice Speaker</t>
        </is>
      </c>
      <c r="H614" t="inlineStr">
        <is>
          <t>Solved: current place verified and archived 2026-10-16.</t>
        </is>
      </c>
      <c r="I614" t="inlineStr">
        <is>
          <t>Resources</t>
        </is>
      </c>
      <c r="M614" t="inlineStr">
        <is>
          <t>Somachord Tone from Cephalon Melica for 50 Entropic Kuva.</t>
        </is>
      </c>
      <c r="N614" t="inlineStr">
        <is>
          <t>Ice Speaker</t>
        </is>
      </c>
      <c r="O614" t="inlineStr">
        <is>
          <t>Saved a concrete acquisition place from the official Warframe Wiki.</t>
        </is>
      </c>
    </row>
    <row r="615">
      <c r="A615" t="inlineStr">
        <is>
          <t>/Lotus/Types/Items/ShipDecos/Props/LisetPropIceblade</t>
        </is>
      </c>
      <c r="B615" t="inlineStr">
        <is>
          <t>Icebound Neote Decoration</t>
        </is>
      </c>
      <c r="C615" t="inlineStr">
        <is>
          <t>https://wiki.warframe.com/w/Durumi_Syandana | https://wiki.warframe.com/w/Gangrim_Ephemera | https://wiki.warframe.com/w/Narin_Bundle | https://wiki.warframe.com/w/Decorations/Orbiter_Decorations</t>
        </is>
      </c>
      <c r="D615" t="inlineStr">
        <is>
          <t>ExportResources</t>
        </is>
      </c>
      <c r="F615" t="inlineStr">
        <is>
          <t>Icebound Neote Decoration</t>
        </is>
      </c>
      <c r="H615" t="inlineStr">
        <is>
          <t>Solved: current place verified and archived 2026-10-16.</t>
        </is>
      </c>
      <c r="I615" t="inlineStr">
        <is>
          <t>Resources</t>
        </is>
      </c>
      <c r="M615" t="inlineStr">
        <is>
          <t>In-game Market for 35 Platinum, or in the Narin Bundle.</t>
        </is>
      </c>
      <c r="N615" t="inlineStr">
        <is>
          <t>Durumi Syandana | Gangrim Ephemera | Narin Bundle | Decorations/Orbiter Decorations | Update 44: Iceblade of Narin</t>
        </is>
      </c>
      <c r="O615" t="inlineStr">
        <is>
          <t>We found more than one answer for where it comes from. Look at place from wiki page — the answers are separated by | — and pick the right one.</t>
        </is>
      </c>
    </row>
    <row r="616">
      <c r="A616" t="inlineStr">
        <is>
          <t>/Lotus/Types/Gameplay/Duviri/Resource/Fish/DuviriFishAItem</t>
        </is>
      </c>
      <c r="B616" t="inlineStr">
        <is>
          <t>Inaak</t>
        </is>
      </c>
      <c r="C616" t="inlineStr">
        <is>
          <t>https://wiki.warframe.com/w/Fishing</t>
        </is>
      </c>
      <c r="D616" t="inlineStr">
        <is>
          <t>ExportResources</t>
        </is>
      </c>
      <c r="G616" t="inlineStr">
        <is>
          <t>Inaak</t>
        </is>
      </c>
      <c r="H616" t="inlineStr">
        <is>
          <t>Solved: current place verified and archived 2026-10-16.</t>
        </is>
      </c>
      <c r="I616" t="inlineStr">
        <is>
          <t>Resources</t>
        </is>
      </c>
      <c r="J616" t="inlineStr">
        <is>
          <t>Resources_data</t>
        </is>
      </c>
      <c r="K616" t="inlineStr">
        <is>
          <t>Resources/data</t>
        </is>
      </c>
      <c r="L616" t="inlineStr">
        <is>
          <t>listed, no place</t>
        </is>
      </c>
      <c r="M616" t="inlineStr">
        <is>
          <t>Caught while fishing in Duviri.</t>
        </is>
      </c>
      <c r="N616" t="inlineStr">
        <is>
          <t>Fishing</t>
        </is>
      </c>
      <c r="O616" t="inlineStr">
        <is>
          <t>Saved a concrete acquisition place from the official Warframe Wiki.</t>
        </is>
      </c>
    </row>
    <row r="617">
      <c r="A617" t="inlineStr">
        <is>
          <t>/Lotus/Types/Items/Fish/Duviri/DuviriFishAItem</t>
        </is>
      </c>
      <c r="B617" t="inlineStr">
        <is>
          <t>Inaak</t>
        </is>
      </c>
      <c r="C617" t="inlineStr">
        <is>
          <t>https://wiki.warframe.com/w/Fishing</t>
        </is>
      </c>
      <c r="D617" t="inlineStr">
        <is>
          <t>ExportResources</t>
        </is>
      </c>
      <c r="F617" t="inlineStr">
        <is>
          <t>Inaak</t>
        </is>
      </c>
      <c r="G617" t="inlineStr">
        <is>
          <t>Inaak</t>
        </is>
      </c>
      <c r="H617" t="inlineStr">
        <is>
          <t>Solved: current place verified and archived 2026-10-16.</t>
        </is>
      </c>
      <c r="I617" t="inlineStr">
        <is>
          <t>Resources</t>
        </is>
      </c>
      <c r="J617" t="inlineStr">
        <is>
          <t>Resources_data</t>
        </is>
      </c>
      <c r="K617" t="inlineStr">
        <is>
          <t>Resources/data</t>
        </is>
      </c>
      <c r="L617" t="inlineStr">
        <is>
          <t>listed, no place</t>
        </is>
      </c>
      <c r="M617" t="inlineStr">
        <is>
          <t>Caught while fishing in Duviri.</t>
        </is>
      </c>
      <c r="N617" t="inlineStr">
        <is>
          <t>Fishing</t>
        </is>
      </c>
      <c r="O617" t="inlineStr">
        <is>
          <t>Saved a concrete acquisition place from the official Warframe Wiki.</t>
        </is>
      </c>
    </row>
    <row r="618">
      <c r="A618" t="inlineStr">
        <is>
          <t>/Lotus/Types/Items/ShipDecos/InarosCoffin</t>
        </is>
      </c>
      <c r="B618" t="inlineStr">
        <is>
          <t>Inaros Sarcophagus Decoration</t>
        </is>
      </c>
      <c r="C618" t="inlineStr">
        <is>
          <t>https://wiki.warframe.com/w/Decorations/Orbiter_Decorations</t>
        </is>
      </c>
      <c r="D618" t="inlineStr">
        <is>
          <t>ExportResources</t>
        </is>
      </c>
      <c r="F618" t="inlineStr">
        <is>
          <t>Inaros Sarcophagus Decoration</t>
        </is>
      </c>
      <c r="H618" t="inlineStr">
        <is>
          <t>Solved: current place verified and archived 2026-10-16.</t>
        </is>
      </c>
      <c r="I618" t="inlineStr">
        <is>
          <t>Resources</t>
        </is>
      </c>
      <c r="M618" t="inlineStr">
        <is>
          <t>In-game Market for 35 Platinum.</t>
        </is>
      </c>
      <c r="N618" t="inlineStr">
        <is>
          <t>Decorations/Orbiter Decorations | Update 35</t>
        </is>
      </c>
      <c r="O618" t="inlineStr">
        <is>
          <t>We copied where it comes from off the wiki page. See place from wiki page.</t>
        </is>
      </c>
    </row>
    <row r="619">
      <c r="A619" t="inlineStr">
        <is>
          <t>/Lotus/Types/Items/ShipDecos/Plushies/PlushyLNYKaithe</t>
        </is>
      </c>
      <c r="B619" t="inlineStr">
        <is>
          <t>Indomitable Kaithe Floof</t>
        </is>
      </c>
      <c r="C619" t="inlineStr">
        <is>
          <t>https://wiki.warframe.com/w/Dagath_Yfari_Collection | https://wiki.warframe.com/w/Lunar_Renewal | https://wiki.warframe.com/w/Lustrous_Lunar_Renewal_Collection</t>
        </is>
      </c>
      <c r="D619" t="inlineStr">
        <is>
          <t>ExportResources</t>
        </is>
      </c>
      <c r="F619" t="inlineStr">
        <is>
          <t>Indomitable Kaithe Floof</t>
        </is>
      </c>
      <c r="H619" t="inlineStr">
        <is>
          <t>Solved: current place verified and archived 2026-10-16.</t>
        </is>
      </c>
      <c r="I619" t="inlineStr">
        <is>
          <t>Resources</t>
        </is>
      </c>
      <c r="M619" t="inlineStr">
        <is>
          <t>In-game Market for 35 Platinum.</t>
        </is>
      </c>
      <c r="N619" t="inlineStr">
        <is>
          <t>Dagath Yfari Collection | Lunar Renewal | Lustrous Lunar Renewal Collection | Update 41: The Old Peace</t>
        </is>
      </c>
      <c r="O619" t="inlineStr">
        <is>
          <t>We found more than one answer for where it comes from. Look at place from wiki page — the answers are separated by | — and pick the right one.</t>
        </is>
      </c>
    </row>
    <row r="620">
      <c r="A620" t="inlineStr">
        <is>
          <t>/Lotus/Types/Items/ShipDecos/Props/LisetPropRoatheThrone</t>
        </is>
      </c>
      <c r="B620" t="inlineStr">
        <is>
          <t>Infernum Throne</t>
        </is>
      </c>
      <c r="C620" t="inlineStr">
        <is>
          <t>https://wiki.warframe.com/w/Base_of_Operations | https://wiki.warframe.com/w/Decorations | https://wiki.warframe.com/w/The_Old_Peace_Uriel_Bundle | https://wiki.warframe.com/w/Decorations/Orbiter_Decorations</t>
        </is>
      </c>
      <c r="D620" t="inlineStr">
        <is>
          <t>ExportResources</t>
        </is>
      </c>
      <c r="F620" t="inlineStr">
        <is>
          <t>Infernum Throne</t>
        </is>
      </c>
      <c r="H620" t="inlineStr">
        <is>
          <t>Solved: current place verified and archived 2026-10-16.</t>
        </is>
      </c>
      <c r="I620" t="inlineStr">
        <is>
          <t>Resources</t>
        </is>
      </c>
      <c r="M620" t="inlineStr">
        <is>
          <t>In-game Market for 25 Platinum.</t>
        </is>
      </c>
      <c r="N620" t="inlineStr">
        <is>
          <t>Base of Operations | Decorations | The Old Peace Uriel Bundle | Decorations/Orbiter Decorations</t>
        </is>
      </c>
      <c r="O620" t="inlineStr">
        <is>
          <t>We copied where it comes from off the wiki page. See place from wiki page.</t>
        </is>
      </c>
    </row>
    <row r="621">
      <c r="A621" t="inlineStr">
        <is>
          <t>/Lotus/Types/Items/ShipDecos/Plants/Nokko/LisetPropLASxInfFlowerF</t>
        </is>
      </c>
      <c r="B621" t="inlineStr">
        <is>
          <t>Infested Flower (Pair)</t>
        </is>
      </c>
      <c r="C621" t="inlineStr">
        <is>
          <t>https://wiki.warframe.com/w/Nightcap</t>
        </is>
      </c>
      <c r="D621" t="inlineStr">
        <is>
          <t>ExportResources</t>
        </is>
      </c>
      <c r="F621" t="inlineStr">
        <is>
          <t>Infested Flower (Pair)</t>
        </is>
      </c>
      <c r="H621" t="inlineStr">
        <is>
          <t>Solved: current place verified and archived 2026-10-16.</t>
        </is>
      </c>
      <c r="I621" t="inlineStr">
        <is>
          <t>Resources</t>
        </is>
      </c>
      <c r="M621" t="inlineStr">
        <is>
          <t>Purchase from Nightcap's Nursery for 10 Fergolyte.</t>
        </is>
      </c>
      <c r="N621" t="inlineStr">
        <is>
          <t>Nightcap</t>
        </is>
      </c>
      <c r="O621" t="inlineStr">
        <is>
          <t>Saved a concrete acquisition place from the official Warframe Wiki. Nightcap page lists it in Offerings &gt; Nursery.</t>
        </is>
      </c>
    </row>
    <row r="622">
      <c r="A622" t="inlineStr">
        <is>
          <t>/Lotus/Types/Items/ShipDecos/Plants/Nokko/LisetPropLASxInfFlowerE</t>
        </is>
      </c>
      <c r="B622" t="inlineStr">
        <is>
          <t>Infested Flower (Single)</t>
        </is>
      </c>
      <c r="C622" t="inlineStr">
        <is>
          <t>https://wiki.warframe.com/w/Nightcap</t>
        </is>
      </c>
      <c r="D622" t="inlineStr">
        <is>
          <t>ExportResources</t>
        </is>
      </c>
      <c r="F622" t="inlineStr">
        <is>
          <t>Infested Flower (Single)</t>
        </is>
      </c>
      <c r="H622" t="inlineStr">
        <is>
          <t>Solved: current place verified and archived 2026-10-16.</t>
        </is>
      </c>
      <c r="I622" t="inlineStr">
        <is>
          <t>Resources</t>
        </is>
      </c>
      <c r="M622" t="inlineStr">
        <is>
          <t>Purchase from Nightcap's Nursery for 10 Fergolyte.</t>
        </is>
      </c>
      <c r="N622" t="inlineStr">
        <is>
          <t>Nightcap</t>
        </is>
      </c>
      <c r="O622" t="inlineStr">
        <is>
          <t>Saved a concrete acquisition place from the official Warframe Wiki. Nightcap page lists it in Offerings &gt; Nursery.</t>
        </is>
      </c>
    </row>
    <row r="623">
      <c r="A623" t="inlineStr">
        <is>
          <t>/Lotus/Types/Items/MiscItems/PhotoboothTileInfestedPurify02Objective</t>
        </is>
      </c>
      <c r="B623" t="inlineStr">
        <is>
          <t>Infested Ship Hologram Scene</t>
        </is>
      </c>
      <c r="C623" t="inlineStr">
        <is>
          <t>https://wiki.warframe.com/w/Captura</t>
        </is>
      </c>
      <c r="D623" t="inlineStr">
        <is>
          <t>ExportResources</t>
        </is>
      </c>
      <c r="F623" t="inlineStr">
        <is>
          <t>Infested Ship Hologram Scene</t>
        </is>
      </c>
      <c r="H623" t="inlineStr">
        <is>
          <t>Solved: current place verified and archived 2026-10-16.</t>
        </is>
      </c>
      <c r="I623" t="inlineStr">
        <is>
          <t>Resources</t>
        </is>
      </c>
      <c r="M623" t="inlineStr">
        <is>
          <t>Unlocked by default.</t>
        </is>
      </c>
      <c r="N623" t="inlineStr">
        <is>
          <t>Captura</t>
        </is>
      </c>
      <c r="O623" t="inlineStr">
        <is>
          <t>Saved a concrete acquisition place from the official Warframe Wiki. Captura scene table lists this scene with its acquisition note.</t>
        </is>
      </c>
    </row>
    <row r="624">
      <c r="A624" t="inlineStr">
        <is>
          <t>/Lotus/Types/Items/MiscItems/NoraWolfTwoCreds</t>
        </is>
      </c>
      <c r="B624" t="inlineStr">
        <is>
          <t>Intermission I Cred</t>
        </is>
      </c>
      <c r="C624" t="inlineStr">
        <is>
          <t>https://wiki.warframe.com/w/Nightwave/Intermission_I</t>
        </is>
      </c>
      <c r="D624" t="inlineStr">
        <is>
          <t>ExportResources</t>
        </is>
      </c>
      <c r="G624" t="inlineStr">
        <is>
          <t>Nightwave/Intermission</t>
        </is>
      </c>
      <c r="H624" t="inlineStr">
        <is>
          <t>Solved: current place verified and archived 2026-10-16.</t>
        </is>
      </c>
      <c r="I624" t="inlineStr">
        <is>
          <t>Resources</t>
        </is>
      </c>
      <c r="J624" t="inlineStr">
        <is>
          <t>Resources_data</t>
        </is>
      </c>
      <c r="K624" t="inlineStr">
        <is>
          <t>Resources/data</t>
        </is>
      </c>
      <c r="L624" t="inlineStr">
        <is>
          <t>listed, no place</t>
        </is>
      </c>
      <c r="M624" t="inlineStr">
        <is>
          <t>Not currently obtainable.</t>
        </is>
      </c>
      <c r="N624" t="inlineStr">
        <is>
          <t>Nightwave/Intermission I</t>
        </is>
      </c>
      <c r="O624" t="inlineStr">
        <is>
          <t>Saved a concrete acquisition place from the official Warframe Wiki.</t>
        </is>
      </c>
    </row>
    <row r="625">
      <c r="A625" t="inlineStr">
        <is>
          <t>/Lotus/Types/Items/MiscItems/NoraIntermissionTwoCreds</t>
        </is>
      </c>
      <c r="B625" t="inlineStr">
        <is>
          <t>Intermission II Cred</t>
        </is>
      </c>
      <c r="C625" t="inlineStr">
        <is>
          <t>https://wiki.warframe.com/w/Nightwave/Intermission_II</t>
        </is>
      </c>
      <c r="D625" t="inlineStr">
        <is>
          <t>ExportResources</t>
        </is>
      </c>
      <c r="G625" t="inlineStr">
        <is>
          <t>Nightwave/Intermission II</t>
        </is>
      </c>
      <c r="H625" t="inlineStr">
        <is>
          <t>Solved: current place verified and archived 2026-10-16.</t>
        </is>
      </c>
      <c r="I625" t="inlineStr">
        <is>
          <t>Resources</t>
        </is>
      </c>
      <c r="J625" t="inlineStr">
        <is>
          <t>Resources_data</t>
        </is>
      </c>
      <c r="K625" t="inlineStr">
        <is>
          <t>Resources/data</t>
        </is>
      </c>
      <c r="L625" t="inlineStr">
        <is>
          <t>listed, no place</t>
        </is>
      </c>
      <c r="M625" t="inlineStr">
        <is>
          <t>Not currently obtainable.</t>
        </is>
      </c>
      <c r="N625" t="inlineStr">
        <is>
          <t>Nightwave/Intermission II</t>
        </is>
      </c>
      <c r="O625" t="inlineStr">
        <is>
          <t>Saved a concrete acquisition place from the official Warframe Wiki.</t>
        </is>
      </c>
    </row>
    <row r="626">
      <c r="A626" t="inlineStr">
        <is>
          <t>/Lotus/Types/Items/ShipDecos/Props/LisetPropIradite</t>
        </is>
      </c>
      <c r="B626" t="inlineStr">
        <is>
          <t>Iradite Formation Decoration</t>
        </is>
      </c>
      <c r="C626" t="inlineStr">
        <is>
          <t>https://wiki.warframe.com/w/Ostron | https://wiki.warframe.com/w/Decorations/Orbiter_Decorations</t>
        </is>
      </c>
      <c r="D626" t="inlineStr">
        <is>
          <t>ExportResources</t>
        </is>
      </c>
      <c r="F626" t="inlineStr">
        <is>
          <t>Iradite Formation Decoration</t>
        </is>
      </c>
      <c r="H626" t="inlineStr">
        <is>
          <t>Solved: current place verified and archived 2026-10-16.</t>
        </is>
      </c>
      <c r="I626" t="inlineStr">
        <is>
          <t>Resources</t>
        </is>
      </c>
      <c r="M626" t="inlineStr">
        <is>
          <t>Purchase from Old Man Suumbaat for 10,000 Standing (Ostron Rank 4: Surah).</t>
        </is>
      </c>
      <c r="N626" t="inlineStr">
        <is>
          <t>Ostron | Decorations/Orbiter Decorations</t>
        </is>
      </c>
      <c r="O626" t="inlineStr">
        <is>
          <t>We copied where it comes from off the wiki page. See place from wiki page.</t>
        </is>
      </c>
    </row>
    <row r="627">
      <c r="A627" t="inlineStr">
        <is>
          <t>/Lotus/Types/Items/ShipDecos/LisetPropShawzinTwitch</t>
        </is>
      </c>
      <c r="B627" t="inlineStr">
        <is>
          <t>Iridos Shawzin</t>
        </is>
      </c>
      <c r="C627" t="inlineStr">
        <is>
          <t>https://wiki.warframe.com/w/Shawzin | https://wiki.warframe.com/w/Varzia</t>
        </is>
      </c>
      <c r="D627" t="inlineStr">
        <is>
          <t>ExportResources</t>
        </is>
      </c>
      <c r="F627" t="inlineStr">
        <is>
          <t>Iridos Shawzin</t>
        </is>
      </c>
      <c r="H627" t="inlineStr">
        <is>
          <t>Solved: current place verified and archived 2026-10-16.</t>
        </is>
      </c>
      <c r="I627" t="inlineStr">
        <is>
          <t>Resources</t>
        </is>
      </c>
      <c r="M627" t="inlineStr">
        <is>
          <t>Purchase from Varzia for 7 Aya.</t>
        </is>
      </c>
      <c r="N627" t="inlineStr">
        <is>
          <t>Shawzin | Varzia</t>
        </is>
      </c>
      <c r="O627" t="inlineStr">
        <is>
          <t>We copied where it comes from off the wiki page. See place from wiki page.</t>
        </is>
      </c>
    </row>
    <row r="628">
      <c r="A628" t="inlineStr">
        <is>
          <t>/Lotus/Types/Items/MiscItems/PhotoboothTileIronwakeHub</t>
        </is>
      </c>
      <c r="B628" t="inlineStr">
        <is>
          <t>Iron Wake Scene</t>
        </is>
      </c>
      <c r="C628" t="inlineStr">
        <is>
          <t>https://wiki.warframe.com/w/Iron_Wake | https://wiki.warframe.com/w/Riven_Sliver | https://wiki.warframe.com/w/Captura</t>
        </is>
      </c>
      <c r="D628" t="inlineStr">
        <is>
          <t>ExportResources</t>
        </is>
      </c>
      <c r="F628" t="inlineStr">
        <is>
          <t>Iron Wake Scene</t>
        </is>
      </c>
      <c r="H628" t="inlineStr">
        <is>
          <t>Solved: current place verified and archived 2026-10-16.</t>
        </is>
      </c>
      <c r="I628" t="inlineStr">
        <is>
          <t>Resources</t>
        </is>
      </c>
      <c r="M628" t="inlineStr">
        <is>
          <t>Purchase from Palladino for 10 Riven Slivers.</t>
        </is>
      </c>
      <c r="N628" t="inlineStr">
        <is>
          <t>Captura</t>
        </is>
      </c>
      <c r="O628" t="inlineStr">
        <is>
          <t>Saved a concrete acquisition place from the official Warframe Wiki. Captura scene table lists this scene with its acquisition note.</t>
        </is>
      </c>
    </row>
    <row r="629">
      <c r="A629" t="inlineStr">
        <is>
          <t>/Lotus/Types/Items/ShipDecos/TarotCardIvara</t>
        </is>
      </c>
      <c r="B629" t="inlineStr">
        <is>
          <t>Ivara Prex</t>
        </is>
      </c>
      <c r="C629" t="inlineStr">
        <is>
          <t>https://wiki.warframe.com/w/Leverian</t>
        </is>
      </c>
      <c r="D629" t="inlineStr">
        <is>
          <t>ExportResources</t>
        </is>
      </c>
      <c r="F629" t="inlineStr">
        <is>
          <t>Ivara Prex</t>
        </is>
      </c>
      <c r="H629" t="inlineStr">
        <is>
          <t>Solved: current place verified and archived 2026-10-16.</t>
        </is>
      </c>
      <c r="I629" t="inlineStr">
        <is>
          <t>Resources</t>
        </is>
      </c>
      <c r="M629" t="inlineStr">
        <is>
          <t>Hidden pickup in the Leverian; not visible until you've mastered Ivara / Ivara Prime.</t>
        </is>
      </c>
      <c r="N629" t="inlineStr">
        <is>
          <t>Decorations/Orbiter Decorations</t>
        </is>
      </c>
      <c r="O629" t="inlineStr">
        <is>
          <t>Saved a concrete acquisition place from the official Warframe Wiki. Orbiter Decorations Prex table and Prex Locations list.</t>
        </is>
      </c>
    </row>
    <row r="630">
      <c r="A630" t="inlineStr">
        <is>
          <t>/Lotus/Types/Items/ShipDecos/Plants/Nokko/LisetPropLASxParkIvyD</t>
        </is>
      </c>
      <c r="B630" t="inlineStr">
        <is>
          <t>Ivy Patch</t>
        </is>
      </c>
      <c r="C630" t="inlineStr">
        <is>
          <t>https://wiki.warframe.com/w/Nightcap</t>
        </is>
      </c>
      <c r="D630" t="inlineStr">
        <is>
          <t>ExportResources</t>
        </is>
      </c>
      <c r="F630" t="inlineStr">
        <is>
          <t>Ivy Patch</t>
        </is>
      </c>
      <c r="H630" t="inlineStr">
        <is>
          <t>Solved: current place verified and archived 2026-10-16.</t>
        </is>
      </c>
      <c r="I630" t="inlineStr">
        <is>
          <t>Resources</t>
        </is>
      </c>
      <c r="M630" t="inlineStr">
        <is>
          <t>Purchase from Nightcap's Nursery for 10 Fergolyte.</t>
        </is>
      </c>
      <c r="N630" t="inlineStr">
        <is>
          <t>Nightcap</t>
        </is>
      </c>
      <c r="O630" t="inlineStr">
        <is>
          <t>Saved a concrete acquisition place from the official Warframe Wiki. Nightcap page lists it in Offerings &gt; Nursery.</t>
        </is>
      </c>
    </row>
    <row r="631">
      <c r="A631" t="inlineStr">
        <is>
          <t>/Lotus/Types/Items/ShipDecos/Plants/Nokko/LisetPropLASxIvyOvergrowthF</t>
        </is>
      </c>
      <c r="B631" t="inlineStr">
        <is>
          <t>Ivy Tendrils</t>
        </is>
      </c>
      <c r="C631" t="inlineStr">
        <is>
          <t>https://wiki.warframe.com/w/Nightcap</t>
        </is>
      </c>
      <c r="D631" t="inlineStr">
        <is>
          <t>ExportResources</t>
        </is>
      </c>
      <c r="F631" t="inlineStr">
        <is>
          <t>Ivy Tendrils</t>
        </is>
      </c>
      <c r="H631" t="inlineStr">
        <is>
          <t>Solved: current place verified and archived 2026-10-16.</t>
        </is>
      </c>
      <c r="I631" t="inlineStr">
        <is>
          <t>Resources</t>
        </is>
      </c>
      <c r="M631" t="inlineStr">
        <is>
          <t>Purchase from Nightcap's Nursery for 10 Fergolyte.</t>
        </is>
      </c>
      <c r="N631" t="inlineStr">
        <is>
          <t>Nightcap</t>
        </is>
      </c>
      <c r="O631" t="inlineStr">
        <is>
          <t>Saved a concrete acquisition place from the official Warframe Wiki. Nightcap page lists it in Offerings &gt; Nursery.</t>
        </is>
      </c>
    </row>
    <row r="632">
      <c r="A632" t="inlineStr">
        <is>
          <t>/Lotus/Types/Items/ShipDecos/Plants/Nokko/LisetPropLASxParkIvyC</t>
        </is>
      </c>
      <c r="B632" t="inlineStr">
        <is>
          <t>Ivy Vine</t>
        </is>
      </c>
      <c r="C632" t="inlineStr">
        <is>
          <t>https://wiki.warframe.com/w/Nightcap</t>
        </is>
      </c>
      <c r="D632" t="inlineStr">
        <is>
          <t>ExportResources</t>
        </is>
      </c>
      <c r="F632" t="inlineStr">
        <is>
          <t>Ivy Vine</t>
        </is>
      </c>
      <c r="H632" t="inlineStr">
        <is>
          <t>Solved: current place verified and archived 2026-10-16.</t>
        </is>
      </c>
      <c r="I632" t="inlineStr">
        <is>
          <t>Resources</t>
        </is>
      </c>
      <c r="M632" t="inlineStr">
        <is>
          <t>Purchase from Nightcap's Nursery for 10 Fergolyte.</t>
        </is>
      </c>
      <c r="N632" t="inlineStr">
        <is>
          <t>Nightcap</t>
        </is>
      </c>
      <c r="O632" t="inlineStr">
        <is>
          <t>Saved a concrete acquisition place from the official Warframe Wiki. Nightcap page lists it in Offerings &gt; Nursery.</t>
        </is>
      </c>
    </row>
    <row r="633">
      <c r="A633" t="inlineStr">
        <is>
          <t>/Lotus/Types/Items/ShipDecos/Nightwave1999LettieCharacterSheetPoster</t>
        </is>
      </c>
      <c r="B633" t="inlineStr">
        <is>
          <t>Ixchel Balam Character Sheet Poster</t>
        </is>
      </c>
      <c r="C633" t="inlineStr">
        <is>
          <t>https://wiki.warframe.com/w/Fables_%26_Frontiers | https://wiki.warframe.com/w/Amir</t>
        </is>
      </c>
      <c r="D633" t="inlineStr">
        <is>
          <t>ExportResources</t>
        </is>
      </c>
      <c r="F633" t="inlineStr">
        <is>
          <t>Ixchel Balam Character Sheet Poster</t>
        </is>
      </c>
      <c r="H633" t="inlineStr">
        <is>
          <t>Solved: current place verified and archived 2026-10-16.</t>
        </is>
      </c>
      <c r="I633" t="inlineStr">
        <is>
          <t>Resources</t>
        </is>
      </c>
      <c r="M633" t="inlineStr">
        <is>
          <t>Purchase from Amir for 5,000 Standing.</t>
        </is>
      </c>
      <c r="N633" t="inlineStr">
        <is>
          <t>Fables &amp; Frontiers | Amir</t>
        </is>
      </c>
      <c r="O633" t="inlineStr">
        <is>
          <t>We copied where it comes from off the wiki page. See place from wiki page.</t>
        </is>
      </c>
    </row>
    <row r="634">
      <c r="A634" t="inlineStr">
        <is>
          <t>/Lotus/Types/Items/ShipDecos/Nightwave1999FFLettiePoster</t>
        </is>
      </c>
      <c r="B634" t="inlineStr">
        <is>
          <t>Ixchel Balam Poster</t>
        </is>
      </c>
      <c r="C634" t="inlineStr">
        <is>
          <t>https://wiki.warframe.com/w/Fables_%26_Frontiers | https://wiki.warframe.com/w/Amir</t>
        </is>
      </c>
      <c r="D634" t="inlineStr">
        <is>
          <t>ExportResources</t>
        </is>
      </c>
      <c r="F634" t="inlineStr">
        <is>
          <t>Ixchel Balam Poster</t>
        </is>
      </c>
      <c r="H634" t="inlineStr">
        <is>
          <t>Solved: current place verified and archived 2026-10-16.</t>
        </is>
      </c>
      <c r="I634" t="inlineStr">
        <is>
          <t>Resources</t>
        </is>
      </c>
      <c r="M634" t="inlineStr">
        <is>
          <t>Purchase from Amir for 5,000 Standing.</t>
        </is>
      </c>
      <c r="N634" t="inlineStr">
        <is>
          <t>Fables &amp; Frontiers | Amir</t>
        </is>
      </c>
      <c r="O634" t="inlineStr">
        <is>
          <t>We copied where it comes from off the wiki page. See place from wiki page.</t>
        </is>
      </c>
    </row>
    <row r="635">
      <c r="A635" t="inlineStr">
        <is>
          <t>/Lotus/Types/Items/ShipDecos/JadeShadows/JadeEyesShipDeco</t>
        </is>
      </c>
      <c r="B635" t="inlineStr">
        <is>
          <t>Jade Ophanim Decoration</t>
        </is>
      </c>
      <c r="C635" t="inlineStr">
        <is>
          <t>https://wiki.warframe.com/w/Jade_Collection | https://wiki.warframe.com/w/Decorations/Orbiter_Decorations</t>
        </is>
      </c>
      <c r="D635" t="inlineStr">
        <is>
          <t>ExportResources</t>
        </is>
      </c>
      <c r="F635" t="inlineStr">
        <is>
          <t>Jade Ophanim Decoration</t>
        </is>
      </c>
      <c r="H635" t="inlineStr">
        <is>
          <t>Solved: current place verified and archived 2026-10-16.</t>
        </is>
      </c>
      <c r="I635" t="inlineStr">
        <is>
          <t>Resources</t>
        </is>
      </c>
      <c r="M635" t="inlineStr">
        <is>
          <t>In-game Market for 40 Platinum.</t>
        </is>
      </c>
      <c r="N635" t="inlineStr">
        <is>
          <t>Jade Collection | Update 36 | Decorations/Orbiter Decorations</t>
        </is>
      </c>
      <c r="O635" t="inlineStr">
        <is>
          <t>We copied where it comes from off the wiki page. See place from wiki page.</t>
        </is>
      </c>
    </row>
    <row r="636">
      <c r="A636" t="inlineStr">
        <is>
          <t>/Lotus/Types/Items/ShipDecos/TarotCardJade</t>
        </is>
      </c>
      <c r="B636" t="inlineStr">
        <is>
          <t>Jade Prex</t>
        </is>
      </c>
      <c r="C636" t="inlineStr">
        <is>
          <t>https://wiki.warframe.com/w/Ascension</t>
        </is>
      </c>
      <c r="D636" t="inlineStr">
        <is>
          <t>ExportResources</t>
        </is>
      </c>
      <c r="F636" t="inlineStr">
        <is>
          <t>Jade Prex</t>
        </is>
      </c>
      <c r="H636" t="inlineStr">
        <is>
          <t>Solved: current place verified and archived 2026-10-16.</t>
        </is>
      </c>
      <c r="I636" t="inlineStr">
        <is>
          <t>Resources</t>
        </is>
      </c>
      <c r="M636" t="inlineStr">
        <is>
          <t>Hidden pickup in Brutus, Uranus.</t>
        </is>
      </c>
      <c r="N636" t="inlineStr">
        <is>
          <t>Decorations/Orbiter Decorations</t>
        </is>
      </c>
      <c r="O636" t="inlineStr">
        <is>
          <t>Saved a concrete acquisition place from the official Warframe Wiki. Orbiter Decorations Prex table and Prex Locations list.</t>
        </is>
      </c>
    </row>
    <row r="637">
      <c r="A637" t="inlineStr">
        <is>
          <t>/Lotus/Types/Items/ShipDecos/JadeShadows/JadeMemorialShipDeco</t>
        </is>
      </c>
      <c r="B637" t="inlineStr">
        <is>
          <t>Jade's Promise Decoration</t>
        </is>
      </c>
      <c r="C637" t="inlineStr">
        <is>
          <t>https://wiki.warframe.com/w/Operation:_Belly_of_the_Beast | https://wiki.warframe.com/w/Decorations/Orbiter_Decorations</t>
        </is>
      </c>
      <c r="D637" t="inlineStr">
        <is>
          <t>ExportResources</t>
        </is>
      </c>
      <c r="F637" t="inlineStr">
        <is>
          <t>Jade's Promise Decoration</t>
        </is>
      </c>
      <c r="H637" t="inlineStr">
        <is>
          <t>Solved: current place verified and archived 2026-10-16.</t>
        </is>
      </c>
      <c r="I637" t="inlineStr">
        <is>
          <t>Resources</t>
        </is>
      </c>
      <c r="M637" t="inlineStr">
        <is>
          <t>Purchase from Ordis in the Belly of the Beast event store for 40 Volatile Motes.</t>
        </is>
      </c>
      <c r="N637" t="inlineStr">
        <is>
          <t>Operation: Belly of the Beast</t>
        </is>
      </c>
      <c r="O637" t="inlineStr">
        <is>
          <t>Saved a concrete acquisition place from the official Warframe Wiki. Event page lists it in the Commit Volatile Motes store.</t>
        </is>
      </c>
    </row>
    <row r="638">
      <c r="A638" t="inlineStr">
        <is>
          <t>/Lotus/Types/Gameplay/EntratiLab/Quest/GargoyleMiscItem</t>
        </is>
      </c>
      <c r="B638" t="inlineStr">
        <is>
          <t>Jahu Gargoyle</t>
        </is>
      </c>
      <c r="C638" t="inlineStr">
        <is>
          <t>https://wiki.warframe.com/w/Jahu_Gargoyle</t>
        </is>
      </c>
      <c r="D638" t="inlineStr">
        <is>
          <t>ExportResources</t>
        </is>
      </c>
      <c r="F638" t="inlineStr">
        <is>
          <t>Jahu Gargoyle</t>
        </is>
      </c>
      <c r="G638" t="inlineStr">
        <is>
          <t>Jahu Gargoyle</t>
        </is>
      </c>
      <c r="H638" t="inlineStr">
        <is>
          <t>Solved: current place verified and archived 2026-10-16.</t>
        </is>
      </c>
      <c r="I638" t="inlineStr">
        <is>
          <t>Resources</t>
        </is>
      </c>
      <c r="L638" t="inlineStr">
        <is>
          <t>Factions_data, Resources_data</t>
        </is>
      </c>
      <c r="M638" t="inlineStr">
        <is>
          <t>Blueprint from Albrecht Entrati's Pom-2 during Whispers in the Walls.</t>
        </is>
      </c>
      <c r="N638" t="inlineStr">
        <is>
          <t>Jahu Gargoyle</t>
        </is>
      </c>
      <c r="O638" t="inlineStr">
        <is>
          <t>Saved a concrete acquisition place from the official Warframe Wiki.</t>
        </is>
      </c>
    </row>
    <row r="639">
      <c r="A639" t="inlineStr">
        <is>
          <t>/Lotus/Types/Items/ShipDecos/Plushies/PlushyJillian</t>
        </is>
      </c>
      <c r="B639" t="inlineStr">
        <is>
          <t>Jillian Floof</t>
        </is>
      </c>
      <c r="C639" t="inlineStr">
        <is>
          <t>https://wiki.warframe.com/w/Nightwave/Nora's_Mix_Volume_8 | https://wiki.warframe.com/w/H%C3%B6llvania_Central_Mall | https://wiki.warframe.com/w/Amir</t>
        </is>
      </c>
      <c r="D639" t="inlineStr">
        <is>
          <t>ExportResources</t>
        </is>
      </c>
      <c r="F639" t="inlineStr">
        <is>
          <t>Jillian Floof</t>
        </is>
      </c>
      <c r="H639" t="inlineStr">
        <is>
          <t>Solved: current place verified and archived 2026-10-16.</t>
        </is>
      </c>
      <c r="I639" t="inlineStr">
        <is>
          <t>Resources</t>
        </is>
      </c>
      <c r="M639" t="inlineStr">
        <is>
          <t>Purchase from Amir for 10,000 Standing.</t>
        </is>
      </c>
      <c r="N639" t="inlineStr">
        <is>
          <t>Nightwave/Nora's Mix Volume 8 | Höllvania Central Mall | Amir | Update 43: Jade Shadows: Constellations</t>
        </is>
      </c>
      <c r="O639" t="inlineStr">
        <is>
          <t>We copied where it comes from off the wiki page. See place from wiki page.</t>
        </is>
      </c>
    </row>
    <row r="640">
      <c r="A640" t="inlineStr">
        <is>
          <t>/Lotus/Types/Items/MiscItems/KelaArenaToken</t>
        </is>
      </c>
      <c r="B640" t="inlineStr">
        <is>
          <t>Judgement Points</t>
        </is>
      </c>
      <c r="C640" t="inlineStr">
        <is>
          <t>https://wiki.warframe.com/w/Kela_De_Thaym</t>
        </is>
      </c>
      <c r="D640" t="inlineStr">
        <is>
          <t>ExportResources</t>
        </is>
      </c>
      <c r="G640" t="inlineStr">
        <is>
          <t>Kela De Thaym#Judgement Points</t>
        </is>
      </c>
      <c r="H640" t="inlineStr">
        <is>
          <t>Solved: current place verified and archived 2026-10-16.</t>
        </is>
      </c>
      <c r="I640" t="inlineStr">
        <is>
          <t>Resources</t>
        </is>
      </c>
      <c r="J640" t="inlineStr">
        <is>
          <t>Resources_data</t>
        </is>
      </c>
      <c r="K640" t="inlineStr">
        <is>
          <t>Resources/data</t>
        </is>
      </c>
      <c r="L640" t="inlineStr">
        <is>
          <t>listed, no place</t>
        </is>
      </c>
      <c r="M640" t="inlineStr">
        <is>
          <t>Earned by winning Rathuum Arena missions on Sedna.</t>
        </is>
      </c>
      <c r="N640" t="inlineStr">
        <is>
          <t>Kela De Thaym</t>
        </is>
      </c>
      <c r="O640" t="inlineStr">
        <is>
          <t>Saved a concrete acquisition place from the official Warframe Wiki.</t>
        </is>
      </c>
    </row>
    <row r="641">
      <c r="A641" t="inlineStr">
        <is>
          <t>/Lotus/Types/Items/ShipDecos/Venus/VentKidBooster</t>
        </is>
      </c>
      <c r="B641" t="inlineStr">
        <is>
          <t>K-Booster Decoration</t>
        </is>
      </c>
      <c r="C641" t="inlineStr">
        <is>
          <t>https://wiki.warframe.com/w/The_Waverider/Transcript | https://wiki.warframe.com/w/Decorations/Orbiter_Decorations</t>
        </is>
      </c>
      <c r="D641" t="inlineStr">
        <is>
          <t>ExportResources</t>
        </is>
      </c>
      <c r="F641" t="inlineStr">
        <is>
          <t>K-Booster Decoration</t>
        </is>
      </c>
      <c r="H641" t="inlineStr">
        <is>
          <t>Solved: current place verified and archived 2026-10-16.</t>
        </is>
      </c>
      <c r="I641" t="inlineStr">
        <is>
          <t>Resources</t>
        </is>
      </c>
      <c r="M641" t="inlineStr">
        <is>
          <t>Reward for completing The Waverider quest.</t>
        </is>
      </c>
      <c r="N641" t="inlineStr">
        <is>
          <t>Decorations/Orbiter Decorations</t>
        </is>
      </c>
      <c r="O641" t="inlineStr">
        <is>
          <t>Saved a concrete acquisition place from the official Warframe Wiki. Orbiter Decorations Miscellaneous section.</t>
        </is>
      </c>
    </row>
    <row r="642">
      <c r="A642" t="inlineStr">
        <is>
          <t>/Lotus/Types/Items/ShipDecos/Venus/TheNewWarKahlCommunityDisplay</t>
        </is>
      </c>
      <c r="B642" t="inlineStr">
        <is>
          <t>Kahl-175 Community Display</t>
        </is>
      </c>
      <c r="C642" t="inlineStr">
        <is>
          <t>https://wiki.warframe.com/w/Decorations | https://wiki.warframe.com/w/Decorations/Orbiter_Decorations</t>
        </is>
      </c>
      <c r="D642" t="inlineStr">
        <is>
          <t>ExportResources</t>
        </is>
      </c>
      <c r="F642" t="inlineStr">
        <is>
          <t>Kahl-175 Community Display</t>
        </is>
      </c>
      <c r="H642" t="inlineStr">
        <is>
          <t>Solved: current place verified and archived 2026-10-16.</t>
        </is>
      </c>
      <c r="I642" t="inlineStr">
        <is>
          <t>Resources</t>
        </is>
      </c>
      <c r="M642" t="inlineStr">
        <is>
          <t>In-game Market for 30 Platinum.</t>
        </is>
      </c>
      <c r="N642" t="inlineStr">
        <is>
          <t>Decorations | Decorations/Orbiter Decorations | Update 32 | Update 31</t>
        </is>
      </c>
      <c r="O642" t="inlineStr">
        <is>
          <t>We copied where it comes from off the wiki page. See place from wiki page.</t>
        </is>
      </c>
    </row>
    <row r="643">
      <c r="A643" t="inlineStr">
        <is>
          <t>/Lotus/Types/Items/ShipDecos/DuviriCommunityPortrait</t>
        </is>
      </c>
      <c r="B643" t="inlineStr">
        <is>
          <t>Kaithe Community Display</t>
        </is>
      </c>
      <c r="C643" t="inlineStr">
        <is>
          <t>https://wiki.warframe.com/w/Decorations/Orbiter_Decorations</t>
        </is>
      </c>
      <c r="D643" t="inlineStr">
        <is>
          <t>ExportResources</t>
        </is>
      </c>
      <c r="F643" t="inlineStr">
        <is>
          <t>Kaithe Community Display</t>
        </is>
      </c>
      <c r="H643" t="inlineStr">
        <is>
          <t>Solved: current place verified and archived 2026-10-16.</t>
        </is>
      </c>
      <c r="I643" t="inlineStr">
        <is>
          <t>Resources</t>
        </is>
      </c>
      <c r="M643" t="inlineStr">
        <is>
          <t>In-game Market for 30 Platinum.</t>
        </is>
      </c>
      <c r="N643" t="inlineStr">
        <is>
          <t>Decorations/Orbiter Decorations | Update 33</t>
        </is>
      </c>
      <c r="O643" t="inlineStr">
        <is>
          <t>We copied where it comes from off the wiki page. See place from wiki page.</t>
        </is>
      </c>
    </row>
    <row r="644">
      <c r="A644" t="inlineStr">
        <is>
          <t>/Lotus/Types/Items/MiscItems/VayHekCoordinateFragmentC</t>
        </is>
      </c>
      <c r="B644" t="inlineStr">
        <is>
          <t>Kappa Beacon</t>
        </is>
      </c>
      <c r="C644" t="inlineStr">
        <is>
          <t>https://wiki.warframe.com/w/Beacons_(Prosecutor)</t>
        </is>
      </c>
      <c r="D644" t="inlineStr">
        <is>
          <t>ExportResources</t>
        </is>
      </c>
      <c r="G644" t="inlineStr">
        <is>
          <t>Kappa Beacon</t>
        </is>
      </c>
      <c r="H644" t="inlineStr">
        <is>
          <t>Solved: current place verified and archived 2026-10-16.</t>
        </is>
      </c>
      <c r="I644" t="inlineStr">
        <is>
          <t>Resources</t>
        </is>
      </c>
      <c r="J644" t="inlineStr">
        <is>
          <t>Resources_data</t>
        </is>
      </c>
      <c r="K644" t="inlineStr">
        <is>
          <t>Resources/data</t>
        </is>
      </c>
      <c r="L644" t="inlineStr">
        <is>
          <t>listed, no place</t>
        </is>
      </c>
      <c r="M644" t="inlineStr">
        <is>
          <t>Not currently obtainable.</t>
        </is>
      </c>
      <c r="N644" t="inlineStr">
        <is>
          <t>Beacons (Prosecutor)</t>
        </is>
      </c>
      <c r="O644" t="inlineStr">
        <is>
          <t>Saved a concrete acquisition place from the official Warframe Wiki.</t>
        </is>
      </c>
    </row>
    <row r="645">
      <c r="A645" t="inlineStr">
        <is>
          <t>/Lotus/Types/Recipes/Weapons/WeaponParts/KestrelPrimeBlade</t>
        </is>
      </c>
      <c r="B645" t="inlineStr">
        <is>
          <t>Kestrel Prime Blade</t>
        </is>
      </c>
      <c r="C645" t="inlineStr">
        <is>
          <t>https://wiki.warframe.com/w/Kestrel_Prime | https://wiki.warframe.com/w/Lith_L8 | https://wiki.warframe.com/w/Lith_S18 | https://wiki.warframe.com/w/Lith_D7 | https://wiki.warframe.com/w/Lith_C14</t>
        </is>
      </c>
      <c r="D645" t="inlineStr">
        <is>
          <t>ExportResources</t>
        </is>
      </c>
      <c r="F645" t="inlineStr">
        <is>
          <t>Kestrel Prime Blade</t>
        </is>
      </c>
      <c r="H645" t="inlineStr">
        <is>
          <t>Solved: current place verified and archived 2026-10-16.</t>
        </is>
      </c>
      <c r="I645" t="inlineStr">
        <is>
          <t>Resources</t>
        </is>
      </c>
      <c r="J645" t="inlineStr">
        <is>
          <t>Lith C14 Relic (Common) | Lith D7 Relic (Common) | Lith L8 Relic (Common) | Lith S18 Relic (Common)</t>
        </is>
      </c>
      <c r="K645" t="inlineStr">
        <is>
          <t>Void/data</t>
        </is>
      </c>
      <c r="L645" t="inlineStr">
        <is>
          <t>name</t>
        </is>
      </c>
      <c r="M645" t="inlineStr">
        <is>
          <t>Lith L8 and Lith S18 relic drops.</t>
        </is>
      </c>
      <c r="N645" t="inlineStr">
        <is>
          <t>Lith L8 | Lith S18 | Lith D7 | Lith C14</t>
        </is>
      </c>
      <c r="O645" t="inlineStr">
        <is>
          <t>Saved a concrete acquisition place from the official Warframe Wiki. Relic pages list this part in their reward table.</t>
        </is>
      </c>
    </row>
    <row r="646">
      <c r="A646" t="inlineStr">
        <is>
          <t>/Lotus/Types/Recipes/Weapons/WeaponParts/KestrelPrimeGrip</t>
        </is>
      </c>
      <c r="B646" t="inlineStr">
        <is>
          <t>Kestrel Prime Grip</t>
        </is>
      </c>
      <c r="C646" t="inlineStr">
        <is>
          <t>https://wiki.warframe.com/w/Meso_K9 | https://wiki.warframe.com/w/Meso_K8 | https://wiki.warframe.com/w/Neo_K9 | https://wiki.warframe.com/w/Void_Relic/ByRelic | https://wiki.warframe.com/w/Void_Relic/ByRarity</t>
        </is>
      </c>
      <c r="D646" t="inlineStr">
        <is>
          <t>ExportResources</t>
        </is>
      </c>
      <c r="F646" t="inlineStr">
        <is>
          <t>Kestrel Prime Grip</t>
        </is>
      </c>
      <c r="H646" t="inlineStr">
        <is>
          <t>Solved: current place verified and archived 2026-10-16.</t>
        </is>
      </c>
      <c r="I646" t="inlineStr">
        <is>
          <t>Resources</t>
        </is>
      </c>
      <c r="J646" t="inlineStr">
        <is>
          <t>Meso K8 Relic (Rare) | Meso K9 Relic (Rare) | Neo K9 Relic (Rare)</t>
        </is>
      </c>
      <c r="K646" t="inlineStr">
        <is>
          <t>Void/data</t>
        </is>
      </c>
      <c r="L646" t="inlineStr">
        <is>
          <t>name</t>
        </is>
      </c>
      <c r="M646" t="inlineStr">
        <is>
          <t>Meso K9 relic drop.</t>
        </is>
      </c>
      <c r="N646" t="inlineStr">
        <is>
          <t>Meso K9 | Meso K8 | Neo K9</t>
        </is>
      </c>
      <c r="O646" t="inlineStr">
        <is>
          <t>Saved a concrete acquisition place from the official Warframe Wiki. Relic pages list this part in their reward table.</t>
        </is>
      </c>
    </row>
    <row r="647">
      <c r="A647" t="inlineStr">
        <is>
          <t>/Lotus/Types/Items/ShipDecos/KubrowBedB</t>
        </is>
      </c>
      <c r="B647" t="inlineStr">
        <is>
          <t>Ketu Pet Bed</t>
        </is>
      </c>
      <c r="C647" t="inlineStr">
        <is>
          <t>https://wiki.warframe.com/w/Decorations/Orbiter_Decorations</t>
        </is>
      </c>
      <c r="D647" t="inlineStr">
        <is>
          <t>ExportResources</t>
        </is>
      </c>
      <c r="F647" t="inlineStr">
        <is>
          <t>Ketu Pet Bed</t>
        </is>
      </c>
      <c r="H647" t="inlineStr">
        <is>
          <t>Solved: current place verified and archived 2026-10-16.</t>
        </is>
      </c>
      <c r="I647" t="inlineStr">
        <is>
          <t>Resources</t>
        </is>
      </c>
      <c r="M647" t="inlineStr">
        <is>
          <t>In-game Market for 20 Platinum.</t>
        </is>
      </c>
      <c r="N647" t="inlineStr">
        <is>
          <t>Decorations/Orbiter Decorations</t>
        </is>
      </c>
      <c r="O647" t="inlineStr">
        <is>
          <t>We copied where it comes from off the wiki page. See place from wiki page.</t>
        </is>
      </c>
    </row>
    <row r="648">
      <c r="A648" t="inlineStr">
        <is>
          <t>/Lotus/Types/Items/ShipDecos/LisetPropShawzinZariman</t>
        </is>
      </c>
      <c r="B648" t="inlineStr">
        <is>
          <t>Kira's Shawzin</t>
        </is>
      </c>
      <c r="C648" t="inlineStr">
        <is>
          <t>https://wiki.warframe.com/w/Kira | https://wiki.warframe.com/w/Shawzin | https://wiki.warframe.com/w/Decorations/Orbiter_Decorations</t>
        </is>
      </c>
      <c r="D648" t="inlineStr">
        <is>
          <t>ExportResources</t>
        </is>
      </c>
      <c r="F648" t="inlineStr">
        <is>
          <t>Kira's Shawzin</t>
        </is>
      </c>
      <c r="H648" t="inlineStr">
        <is>
          <t>Solved: current place verified and archived 2026-10-16.</t>
        </is>
      </c>
      <c r="I648" t="inlineStr">
        <is>
          <t>Resources</t>
        </is>
      </c>
      <c r="M648" t="inlineStr">
        <is>
          <t>In-game Market for 60 Platinum.</t>
        </is>
      </c>
      <c r="N648" t="inlineStr">
        <is>
          <t>Kira | Shawzin | Decorations/Orbiter Decorations</t>
        </is>
      </c>
      <c r="O648" t="inlineStr">
        <is>
          <t>We copied where it comes from off the wiki page. See place from wiki page.</t>
        </is>
      </c>
    </row>
    <row r="649">
      <c r="A649" t="inlineStr">
        <is>
          <t>/Lotus/Types/Recipes/Weapons/WeaponParts/KompressaPrimeBarrel</t>
        </is>
      </c>
      <c r="B649" t="inlineStr">
        <is>
          <t>Kompressa Prime Barrel</t>
        </is>
      </c>
      <c r="C649" t="inlineStr">
        <is>
          <t>https://wiki.warframe.com/w/Neo_K10 | https://wiki.warframe.com/w/Lith_K12 | https://wiki.warframe.com/w/Meso_K7 | https://wiki.warframe.com/w/Void_Relic/ByRarity | https://wiki.warframe.com/w/Void_Relic/ByRelic</t>
        </is>
      </c>
      <c r="D649" t="inlineStr">
        <is>
          <t>ExportResources</t>
        </is>
      </c>
      <c r="F649" t="inlineStr">
        <is>
          <t>Kompressa Prime Barrel</t>
        </is>
      </c>
      <c r="H649" t="inlineStr">
        <is>
          <t>Solved: current place verified and archived 2026-10-16.</t>
        </is>
      </c>
      <c r="I649" t="inlineStr">
        <is>
          <t>Resources</t>
        </is>
      </c>
      <c r="J649" t="inlineStr">
        <is>
          <t>Lith K12 Relic (Rare) | Neo K10 Relic (Rare) | Meso K7 Relic (Rare)</t>
        </is>
      </c>
      <c r="K649" t="inlineStr">
        <is>
          <t>Void/data</t>
        </is>
      </c>
      <c r="L649" t="inlineStr">
        <is>
          <t>name</t>
        </is>
      </c>
      <c r="M649" t="inlineStr">
        <is>
          <t>Neo K10 relic drop.</t>
        </is>
      </c>
      <c r="N649" t="inlineStr">
        <is>
          <t>Neo K10 | Lith K12 | Meso K7</t>
        </is>
      </c>
      <c r="O649" t="inlineStr">
        <is>
          <t>Saved a concrete acquisition place from the official Warframe Wiki. Relic pages list this part in their reward table.</t>
        </is>
      </c>
    </row>
    <row r="650">
      <c r="A650" t="inlineStr">
        <is>
          <t>/Lotus/Types/Recipes/Weapons/WeaponParts/KompressaPrimeReceiver</t>
        </is>
      </c>
      <c r="B650" t="inlineStr">
        <is>
          <t>Kompressa Prime Receiver</t>
        </is>
      </c>
      <c r="C650" t="inlineStr">
        <is>
          <t>https://wiki.warframe.com/w/Axi_A22 | https://wiki.warframe.com/w/Axi_V14 | https://wiki.warframe.com/w/Axi_A20 | https://wiki.warframe.com/w/Axi_N13 | https://wiki.warframe.com/w/Void_Relic/ByRelic</t>
        </is>
      </c>
      <c r="D650" t="inlineStr">
        <is>
          <t>ExportResources</t>
        </is>
      </c>
      <c r="F650" t="inlineStr">
        <is>
          <t>Kompressa Prime Receiver</t>
        </is>
      </c>
      <c r="H650" t="inlineStr">
        <is>
          <t>Solved: current place verified and archived 2026-10-16.</t>
        </is>
      </c>
      <c r="I650" t="inlineStr">
        <is>
          <t>Resources</t>
        </is>
      </c>
      <c r="J650" t="inlineStr">
        <is>
          <t>Axi V14 Relic (Uncommon) | Axi A20 Relic (Uncommon) | Axi A22 Relic (Uncommon) | Axi N13 Relic (Uncommon)</t>
        </is>
      </c>
      <c r="K650" t="inlineStr">
        <is>
          <t>Void/data</t>
        </is>
      </c>
      <c r="L650" t="inlineStr">
        <is>
          <t>name</t>
        </is>
      </c>
      <c r="M650" t="inlineStr">
        <is>
          <t>Axi A22 and Axi V14 relic drops.</t>
        </is>
      </c>
      <c r="N650" t="inlineStr">
        <is>
          <t>Axi A22 | Axi V14 | Axi A20 | Axi N13</t>
        </is>
      </c>
      <c r="O650" t="inlineStr">
        <is>
          <t>Saved a concrete acquisition place from the official Warframe Wiki. Relic pages list this part in their reward table.</t>
        </is>
      </c>
    </row>
    <row r="651">
      <c r="A651" t="inlineStr">
        <is>
          <t>/Lotus/Types/Items/ShipDecos/KoumeiShrineDeco</t>
        </is>
      </c>
      <c r="B651" t="inlineStr">
        <is>
          <t>Koumei Engimono</t>
        </is>
      </c>
      <c r="C651" t="inlineStr">
        <is>
          <t>https://wiki.warframe.com/w/Koumei_Orihime_Helmet | https://wiki.warframe.com/w/Decorations | https://wiki.warframe.com/w/Decorations/Orbiter_Decorations</t>
        </is>
      </c>
      <c r="D651" t="inlineStr">
        <is>
          <t>ExportResources</t>
        </is>
      </c>
      <c r="F651" t="inlineStr">
        <is>
          <t>Koumei Engimono</t>
        </is>
      </c>
      <c r="H651" t="inlineStr">
        <is>
          <t>Solved: current place verified and archived 2026-10-16.</t>
        </is>
      </c>
      <c r="I651" t="inlineStr">
        <is>
          <t>Resources</t>
        </is>
      </c>
      <c r="M651" t="inlineStr">
        <is>
          <t>In-game Market for 35 Platinum, or in the Koumei Fate Bundle.</t>
        </is>
      </c>
      <c r="N651" t="inlineStr">
        <is>
          <t>Koumei Orihime Helmet | Decorations | Koumei Fate Bundle | Update 37 | Decorations/Orbiter Decorations</t>
        </is>
      </c>
      <c r="O651" t="inlineStr">
        <is>
          <t>We found more than one answer for where it comes from. Look at place from wiki page — the answers are separated by | — and pick the right one.</t>
        </is>
      </c>
    </row>
    <row r="652">
      <c r="A652" t="inlineStr">
        <is>
          <t>/Lotus/Types/Items/ShipDecos/KubrowBedC</t>
        </is>
      </c>
      <c r="B652" t="inlineStr">
        <is>
          <t>Kukkura Pet Bed</t>
        </is>
      </c>
      <c r="C652" t="inlineStr">
        <is>
          <t>https://wiki.warframe.com/w/Decorations/Orbiter_Decorations</t>
        </is>
      </c>
      <c r="D652" t="inlineStr">
        <is>
          <t>ExportResources</t>
        </is>
      </c>
      <c r="F652" t="inlineStr">
        <is>
          <t>Kukkura Pet Bed</t>
        </is>
      </c>
      <c r="H652" t="inlineStr">
        <is>
          <t>Solved: current place verified and archived 2026-10-16.</t>
        </is>
      </c>
      <c r="I652" t="inlineStr">
        <is>
          <t>Resources</t>
        </is>
      </c>
      <c r="M652" t="inlineStr">
        <is>
          <t>In-game Market for 20 Platinum.</t>
        </is>
      </c>
      <c r="N652" t="inlineStr">
        <is>
          <t>Decorations/Orbiter Decorations | Update 22</t>
        </is>
      </c>
      <c r="O652" t="inlineStr">
        <is>
          <t>We copied where it comes from off the wiki page. See place from wiki page.</t>
        </is>
      </c>
    </row>
    <row r="653">
      <c r="A653" t="inlineStr">
        <is>
          <t>/Lotus/Types/Items/MiscItems/PhotoboothTileDuviriIsleSignatureDungeon</t>
        </is>
      </c>
      <c r="B653" t="inlineStr">
        <is>
          <t>Kullervo's Hold Scene</t>
        </is>
      </c>
      <c r="C653" t="inlineStr">
        <is>
          <t>https://wiki.warframe.com/w/Kullervo's_Bane | https://wiki.warframe.com/w/Acrithis | https://wiki.warframe.com/w/Captura</t>
        </is>
      </c>
      <c r="D653" t="inlineStr">
        <is>
          <t>ExportResources</t>
        </is>
      </c>
      <c r="F653" t="inlineStr">
        <is>
          <t>Kullervo's Hold Scene</t>
        </is>
      </c>
      <c r="H653" t="inlineStr">
        <is>
          <t>Solved: current place verified and archived 2026-10-16.</t>
        </is>
      </c>
      <c r="I653" t="inlineStr">
        <is>
          <t>Resources</t>
        </is>
      </c>
      <c r="M653" t="inlineStr">
        <is>
          <t>Purchase from Acrithis' Kullervo's Archive for 15 Kullervo's Bane.</t>
        </is>
      </c>
      <c r="N653" t="inlineStr">
        <is>
          <t>Captura</t>
        </is>
      </c>
      <c r="O653" t="inlineStr">
        <is>
          <t>Saved a concrete acquisition place from the official Warframe Wiki. Captura scene table lists this scene with its acquisition note.</t>
        </is>
      </c>
    </row>
    <row r="654">
      <c r="A654" t="inlineStr">
        <is>
          <t>/Lotus/Types/Items/ShipDecos/KuvaMetaBallOrnament</t>
        </is>
      </c>
      <c r="B654" t="inlineStr">
        <is>
          <t>Kuva Globule</t>
        </is>
      </c>
      <c r="C654" t="inlineStr">
        <is>
          <t>https://wiki.warframe.com/w/Decorations/Orbiter_Decorations</t>
        </is>
      </c>
      <c r="D654" t="inlineStr">
        <is>
          <t>ExportResources</t>
        </is>
      </c>
      <c r="F654" t="inlineStr">
        <is>
          <t>Kuva Globule</t>
        </is>
      </c>
      <c r="H654" t="inlineStr">
        <is>
          <t>Solved: current place verified and archived 2026-10-16.</t>
        </is>
      </c>
      <c r="I654" t="inlineStr">
        <is>
          <t>Resources</t>
        </is>
      </c>
      <c r="M654" t="inlineStr">
        <is>
          <t>In-game Market for 35 Platinum.</t>
        </is>
      </c>
      <c r="N654" t="inlineStr">
        <is>
          <t>Decorations/Orbiter Decorations</t>
        </is>
      </c>
      <c r="O654" t="inlineStr">
        <is>
          <t>We copied where it comes from off the wiki page. See place from wiki page.</t>
        </is>
      </c>
    </row>
    <row r="655">
      <c r="A655" t="inlineStr">
        <is>
          <t>/Lotus/Types/Items/PhotoBooth/JadeShadows/PhotoboothTileJS2GarShipInterior</t>
        </is>
      </c>
      <c r="B655" t="inlineStr">
        <is>
          <t>Kuva Wytch Scene</t>
        </is>
      </c>
      <c r="C655" t="inlineStr">
        <is>
          <t>https://wiki.warframe.com/w/Pontis_Tower | https://wiki.warframe.com/w/Crimson_Talent | https://wiki.warframe.com/w/Hunhow</t>
        </is>
      </c>
      <c r="D655" t="inlineStr">
        <is>
          <t>ExportResources</t>
        </is>
      </c>
      <c r="F655" t="inlineStr">
        <is>
          <t>Kuva Wytch Scene</t>
        </is>
      </c>
      <c r="H655" t="inlineStr">
        <is>
          <t>Solved: current place verified and archived 2026-10-16.</t>
        </is>
      </c>
      <c r="I655" t="inlineStr">
        <is>
          <t>Resources</t>
        </is>
      </c>
      <c r="M655" t="inlineStr">
        <is>
          <t>Purchase from Hunhow's Keepsakes in Pontis Tower for 50 Crimson Talents.</t>
        </is>
      </c>
      <c r="N655" t="inlineStr">
        <is>
          <t>Pontis Tower | Crimson Talent | Hunhow</t>
        </is>
      </c>
      <c r="O655" t="inlineStr">
        <is>
          <t>We copied where it comes from off the wiki page. See place from wiki page.</t>
        </is>
      </c>
    </row>
    <row r="656">
      <c r="A656" t="inlineStr">
        <is>
          <t>/Lotus/Types/Items/PhotoBooth/TauOldPeace/PhotoboothTileTauOldPeaceCathedral1799ProtoframeRoom</t>
        </is>
      </c>
      <c r="B656" t="inlineStr">
        <is>
          <t>La Cathédrale Scene</t>
        </is>
      </c>
      <c r="C656" t="inlineStr">
        <is>
          <t>https://wiki.warframe.com/w/Lyon | https://wiki.warframe.com/w/Echo_Voca | https://wiki.warframe.com/w/Captura</t>
        </is>
      </c>
      <c r="D656" t="inlineStr">
        <is>
          <t>ExportResources</t>
        </is>
      </c>
      <c r="F656" t="inlineStr">
        <is>
          <t>La Cathédrale Scene</t>
        </is>
      </c>
      <c r="H656" t="inlineStr">
        <is>
          <t>Solved: current place verified and archived 2026-10-16.</t>
        </is>
      </c>
      <c r="I656" t="inlineStr">
        <is>
          <t>Resources</t>
        </is>
      </c>
      <c r="M656" t="inlineStr">
        <is>
          <t>Purchase from Lyon for 10 Echo Voca or 20 Servoris.</t>
        </is>
      </c>
      <c r="N656" t="inlineStr">
        <is>
          <t>Lyon | Echo Voca | Captura</t>
        </is>
      </c>
      <c r="O656" t="inlineStr">
        <is>
          <t>We copied where it comes from off the wiki page. See place from wiki page.</t>
        </is>
      </c>
    </row>
    <row r="657">
      <c r="A657" t="inlineStr">
        <is>
          <t>/Lotus/Types/Items/ShipDecos/Plants/Nokko/LisetPropDuvxZarimanPlantB</t>
        </is>
      </c>
      <c r="B657" t="inlineStr">
        <is>
          <t>Lanceleaf Plant</t>
        </is>
      </c>
      <c r="C657" t="inlineStr">
        <is>
          <t>https://wiki.warframe.com/w/Nightcap</t>
        </is>
      </c>
      <c r="D657" t="inlineStr">
        <is>
          <t>ExportResources</t>
        </is>
      </c>
      <c r="F657" t="inlineStr">
        <is>
          <t>Lanceleaf Plant</t>
        </is>
      </c>
      <c r="H657" t="inlineStr">
        <is>
          <t>Solved: current place verified and archived 2026-10-16.</t>
        </is>
      </c>
      <c r="I657" t="inlineStr">
        <is>
          <t>Resources</t>
        </is>
      </c>
      <c r="M657" t="inlineStr">
        <is>
          <t>Purchase from Nightcap's Nursery for 10 Fergolyte.</t>
        </is>
      </c>
      <c r="N657" t="inlineStr">
        <is>
          <t>Nightcap</t>
        </is>
      </c>
      <c r="O657" t="inlineStr">
        <is>
          <t>Saved a concrete acquisition place from the official Warframe Wiki. Nightcap page lists it in Offerings &gt; Nursery.</t>
        </is>
      </c>
    </row>
    <row r="658">
      <c r="A658" t="inlineStr">
        <is>
          <t>/Lotus/Types/Items/ShipDecos/TarotCardLavos</t>
        </is>
      </c>
      <c r="B658" t="inlineStr">
        <is>
          <t>Lavos Prex</t>
        </is>
      </c>
      <c r="C658" t="inlineStr">
        <is>
          <t>https://wiki.warframe.com/w/Codex</t>
        </is>
      </c>
      <c r="D658" t="inlineStr">
        <is>
          <t>ExportResources</t>
        </is>
      </c>
      <c r="F658" t="inlineStr">
        <is>
          <t>Lavos Prex</t>
        </is>
      </c>
      <c r="H658" t="inlineStr">
        <is>
          <t>Solved: current place verified and archived 2026-10-16.</t>
        </is>
      </c>
      <c r="I658" t="inlineStr">
        <is>
          <t>Resources</t>
        </is>
      </c>
      <c r="M658" t="inlineStr">
        <is>
          <t>Hidden pickup in the Leverian; not visible until you've mastered Lavos / Lavos Prime.</t>
        </is>
      </c>
      <c r="N658" t="inlineStr">
        <is>
          <t>Decorations/Orbiter Decorations</t>
        </is>
      </c>
      <c r="O658" t="inlineStr">
        <is>
          <t>Saved a concrete acquisition place from the official Warframe Wiki. Orbiter Decorations Prex table and Prex Locations list.</t>
        </is>
      </c>
    </row>
    <row r="659">
      <c r="A659" t="inlineStr">
        <is>
          <t>/Lotus/Types/Items/ShipDecos/Plushies/PlushyLettie</t>
        </is>
      </c>
      <c r="B659" t="inlineStr">
        <is>
          <t>Lettie Floof</t>
        </is>
      </c>
      <c r="C659" t="inlineStr">
        <is>
          <t>https://wiki.warframe.com/w/Update_38</t>
        </is>
      </c>
      <c r="D659" t="inlineStr">
        <is>
          <t>ExportResources</t>
        </is>
      </c>
      <c r="F659" t="inlineStr">
        <is>
          <t>Lettie Floof</t>
        </is>
      </c>
      <c r="H659" t="inlineStr">
        <is>
          <t>Solved: current place verified and archived 2026-10-16.</t>
        </is>
      </c>
      <c r="I659" t="inlineStr">
        <is>
          <t>Resources</t>
        </is>
      </c>
      <c r="M659" t="inlineStr">
        <is>
          <t>In-game Market (Hex Floof collection).</t>
        </is>
      </c>
      <c r="N659" t="inlineStr">
        <is>
          <t>Update 38</t>
        </is>
      </c>
      <c r="O659" t="inlineStr">
        <is>
          <t>Saved a concrete acquisition place from the official Warframe Wiki. Update 38 patch notes: the collection and all individual Floofs are available in the in-game Market.</t>
        </is>
      </c>
    </row>
    <row r="660">
      <c r="A660" t="inlineStr">
        <is>
          <t>/Lotus/Types/Items/ShipDecos/Plushies/PlushyLillian</t>
        </is>
      </c>
      <c r="B660" t="inlineStr">
        <is>
          <t>Lillian Floof</t>
        </is>
      </c>
      <c r="C660" t="inlineStr">
        <is>
          <t>https://wiki.warframe.com/w/Nightwave/Nora's_Mix_Volume_8 | https://wiki.warframe.com/w/H%C3%B6llvania_Central_Mall | https://wiki.warframe.com/w/Amir</t>
        </is>
      </c>
      <c r="D660" t="inlineStr">
        <is>
          <t>ExportResources</t>
        </is>
      </c>
      <c r="F660" t="inlineStr">
        <is>
          <t>Lillian Floof</t>
        </is>
      </c>
      <c r="H660" t="inlineStr">
        <is>
          <t>Solved: current place verified and archived 2026-10-16.</t>
        </is>
      </c>
      <c r="I660" t="inlineStr">
        <is>
          <t>Resources</t>
        </is>
      </c>
      <c r="M660" t="inlineStr">
        <is>
          <t>Purchase from Amir for 10,000 Standing.</t>
        </is>
      </c>
      <c r="N660" t="inlineStr">
        <is>
          <t>Nightwave/Nora's Mix Volume 8 | Höllvania Central Mall | Amir | Update 43: Jade Shadows: Constellations</t>
        </is>
      </c>
      <c r="O660" t="inlineStr">
        <is>
          <t>We copied where it comes from off the wiki page. See place from wiki page.</t>
        </is>
      </c>
    </row>
    <row r="661">
      <c r="A661" t="inlineStr">
        <is>
          <t>/Lotus/Types/Keys/LimboQuest/LimboChassisTheorem</t>
        </is>
      </c>
      <c r="B661" t="inlineStr">
        <is>
          <t>Limbo Chassis Theorem</t>
        </is>
      </c>
      <c r="C661" t="inlineStr">
        <is>
          <t>https://wiki.warframe.com/w/The_Limbo_Theorem/Transcript | https://wiki.warframe.com/w/The_Limbo_Theorem</t>
        </is>
      </c>
      <c r="D661" t="inlineStr">
        <is>
          <t>ExportResources</t>
        </is>
      </c>
      <c r="F661" t="inlineStr">
        <is>
          <t>Limbo Chassis Theorem</t>
        </is>
      </c>
      <c r="H661" t="inlineStr">
        <is>
          <t>Solved: current place verified and archived 2026-10-16.</t>
        </is>
      </c>
      <c r="I661" t="inlineStr">
        <is>
          <t>Resources</t>
        </is>
      </c>
      <c r="M661" t="inlineStr">
        <is>
          <t>Obtained during The Limbo Theorem quest (craft with 1 Proof Fragment).</t>
        </is>
      </c>
      <c r="N661" t="inlineStr">
        <is>
          <t>The Limbo Theorem/Transcript | Ordis/Quotes/Quests | The Limbo Theorem</t>
        </is>
      </c>
      <c r="O661" t="inlineStr">
        <is>
          <t>We copied where it comes from off the wiki page. See place from wiki page.</t>
        </is>
      </c>
    </row>
    <row r="662">
      <c r="A662" t="inlineStr">
        <is>
          <t>/Lotus/Types/Keys/LimboQuest/LimboHelmetTheorem</t>
        </is>
      </c>
      <c r="B662" t="inlineStr">
        <is>
          <t>Limbo Neuroptics Theorem</t>
        </is>
      </c>
      <c r="C662" t="inlineStr">
        <is>
          <t>https://wiki.warframe.com/w/The_Limbo_Theorem/Transcript | https://wiki.warframe.com/w/The_Limbo_Theorem | https://wiki.warframe.com/w/Limbo_Theorem</t>
        </is>
      </c>
      <c r="D662" t="inlineStr">
        <is>
          <t>ExportResources</t>
        </is>
      </c>
      <c r="F662" t="inlineStr">
        <is>
          <t>Limbo Neuroptics Theorem</t>
        </is>
      </c>
      <c r="H662" t="inlineStr">
        <is>
          <t>Solved: current place verified and archived 2026-10-16.</t>
        </is>
      </c>
      <c r="I662" t="inlineStr">
        <is>
          <t>Resources</t>
        </is>
      </c>
      <c r="M662" t="inlineStr">
        <is>
          <t>Obtained during The Limbo Theorem quest (craft with 3 Proof Fragments and 6,500 Credits).</t>
        </is>
      </c>
      <c r="N662" t="inlineStr">
        <is>
          <t>The Limbo Theorem | Limbo Theorem</t>
        </is>
      </c>
      <c r="O662" t="inlineStr">
        <is>
          <t>Saved a concrete acquisition place from the official Warframe Wiki. Limbo Theorem page.</t>
        </is>
      </c>
    </row>
    <row r="663">
      <c r="A663" t="inlineStr">
        <is>
          <t>/Lotus/Types/Keys/LimboQuest/LimboSystemsTheorem</t>
        </is>
      </c>
      <c r="B663" t="inlineStr">
        <is>
          <t>Limbo Systems Theorem</t>
        </is>
      </c>
      <c r="C663" t="inlineStr">
        <is>
          <t>https://wiki.warframe.com/w/The_Limbo_Theorem/Transcript | https://wiki.warframe.com/w/The_Limbo_Theorem</t>
        </is>
      </c>
      <c r="D663" t="inlineStr">
        <is>
          <t>ExportResources</t>
        </is>
      </c>
      <c r="F663" t="inlineStr">
        <is>
          <t>Limbo Systems Theorem</t>
        </is>
      </c>
      <c r="H663" t="inlineStr">
        <is>
          <t>Solved: current place verified and archived 2026-10-16.</t>
        </is>
      </c>
      <c r="I663" t="inlineStr">
        <is>
          <t>Resources</t>
        </is>
      </c>
      <c r="M663" t="inlineStr">
        <is>
          <t>Obtained during The Limbo Theorem quest (craft with 1 Proof Fragment).</t>
        </is>
      </c>
      <c r="N663" t="inlineStr">
        <is>
          <t>The Limbo Theorem/Transcript | The Limbo Theorem | Ordis/Quotes/Quests</t>
        </is>
      </c>
      <c r="O663" t="inlineStr">
        <is>
          <t>We copied where it comes from off the wiki page. See place from wiki page.</t>
        </is>
      </c>
    </row>
    <row r="664">
      <c r="A664" t="inlineStr">
        <is>
          <t>/Lotus/Types/Items/Ships/DefaultShip</t>
        </is>
      </c>
      <c r="B664" t="inlineStr">
        <is>
          <t>Liset</t>
        </is>
      </c>
      <c r="C664" t="inlineStr">
        <is>
          <t>https://wiki.warframe.com/w/Liset</t>
        </is>
      </c>
      <c r="D664" t="inlineStr">
        <is>
          <t>ExportResources</t>
        </is>
      </c>
      <c r="F664" t="inlineStr">
        <is>
          <t>Liset</t>
        </is>
      </c>
      <c r="G664" t="inlineStr">
        <is>
          <t>Liset</t>
        </is>
      </c>
      <c r="H664" t="inlineStr">
        <is>
          <t>Solved: current place verified and archived 2026-10-16.</t>
        </is>
      </c>
      <c r="I664" t="inlineStr">
        <is>
          <t>Resources</t>
        </is>
      </c>
      <c r="J664" t="inlineStr">
        <is>
          <t>Cosmetics_data</t>
        </is>
      </c>
      <c r="K664" t="inlineStr">
        <is>
          <t>name or path</t>
        </is>
      </c>
      <c r="M664" t="inlineStr">
        <is>
          <t>Acquired during the Awakening quest.</t>
        </is>
      </c>
      <c r="N664" t="inlineStr">
        <is>
          <t>Liset</t>
        </is>
      </c>
      <c r="O664" t="inlineStr">
        <is>
          <t>Saved a concrete acquisition place from the official Warframe Wiki.</t>
        </is>
      </c>
    </row>
    <row r="665">
      <c r="A665" t="inlineStr">
        <is>
          <t>/Lotus/Types/Items/ShipDecos/LisetPropCleaningDroneTenno</t>
        </is>
      </c>
      <c r="B665" t="inlineStr">
        <is>
          <t>Liset Domestik Drone</t>
        </is>
      </c>
      <c r="C665" t="inlineStr">
        <is>
          <t>https://wiki.warframe.com/w/Nightwave/Nora's_Mix_Volume_7 | https://wiki.warframe.com/w/Nightwave/Nora's_Mix_Volume_1 | https://wiki.warframe.com/w/Domestik_Drone | https://wiki.warframe.com/w/H%C3%B6llvania_Central_Mall | https://wiki.warframe.com/w/Amir</t>
        </is>
      </c>
      <c r="D665" t="inlineStr">
        <is>
          <t>ExportResources</t>
        </is>
      </c>
      <c r="F665" t="inlineStr">
        <is>
          <t>Liset Domestik Drone</t>
        </is>
      </c>
      <c r="H665" t="inlineStr">
        <is>
          <t>Solved: current place verified and archived 2026-10-16.</t>
        </is>
      </c>
      <c r="I665" t="inlineStr">
        <is>
          <t>Resources</t>
        </is>
      </c>
      <c r="M665" t="inlineStr">
        <is>
          <t>Purchase from Amir for 55,000 Standing.</t>
        </is>
      </c>
      <c r="N665" t="inlineStr">
        <is>
          <t>Nightwave/Nora's Mix Volume 7 | Nightwave/Nora's Mix Volume 1 | Domestik Drone | Höllvania Central Mall | Amir</t>
        </is>
      </c>
      <c r="O665" t="inlineStr">
        <is>
          <t>We copied where it comes from off the wiki page. See place from wiki page.</t>
        </is>
      </c>
    </row>
    <row r="666">
      <c r="A666" t="inlineStr">
        <is>
          <t>/Lotus/Types/Game/Projections/T1VoidProjectionProteaIvaraVaultABronze</t>
        </is>
      </c>
      <c r="B666" t="inlineStr">
        <is>
          <t>Lith B12 Relic</t>
        </is>
      </c>
      <c r="C666" t="inlineStr">
        <is>
          <t>https://wiki.warframe.com/w/Lith_B12</t>
        </is>
      </c>
      <c r="D666" t="inlineStr">
        <is>
          <t>ExportResources</t>
        </is>
      </c>
      <c r="E666" t="inlineStr">
        <is>
          <t>Intact</t>
        </is>
      </c>
      <c r="H666" t="inlineStr">
        <is>
          <t>Solved: current place verified and archived 2026-10-16.</t>
        </is>
      </c>
      <c r="I666" t="inlineStr">
        <is>
          <t>RelicArcane</t>
        </is>
      </c>
      <c r="M666" t="inlineStr">
        <is>
          <t>Vaulted: obtain by trading with other players.</t>
        </is>
      </c>
      <c r="N666" t="inlineStr">
        <is>
          <t>Lith B12</t>
        </is>
      </c>
      <c r="O666" t="inlineStr">
        <is>
          <t>Saved a concrete acquisition place from the official Warframe Wiki. Lith B12 relic page: vaulted.</t>
        </is>
      </c>
    </row>
    <row r="667">
      <c r="A667" t="inlineStr">
        <is>
          <t>/Lotus/Types/Game/Projections/T1VoidProjectionProteaIvaraVaultAGold</t>
        </is>
      </c>
      <c r="B667" t="inlineStr">
        <is>
          <t>Lith B12 Relic</t>
        </is>
      </c>
      <c r="C667" t="inlineStr">
        <is>
          <t>https://wiki.warframe.com/w/Lith_B12</t>
        </is>
      </c>
      <c r="D667" t="inlineStr">
        <is>
          <t>ExportResources</t>
        </is>
      </c>
      <c r="E667" t="inlineStr">
        <is>
          <t>Flawless</t>
        </is>
      </c>
      <c r="H667" t="inlineStr">
        <is>
          <t>Solved: current place verified and archived 2026-10-16.</t>
        </is>
      </c>
      <c r="I667" t="inlineStr">
        <is>
          <t>RelicArcane</t>
        </is>
      </c>
      <c r="M667" t="inlineStr">
        <is>
          <t>Vaulted: obtain by trading with other players.</t>
        </is>
      </c>
      <c r="N667" t="inlineStr">
        <is>
          <t>Lith B12</t>
        </is>
      </c>
      <c r="O667" t="inlineStr">
        <is>
          <t>Saved a concrete acquisition place from the official Warframe Wiki. Lith B12 relic page: vaulted.</t>
        </is>
      </c>
    </row>
    <row r="668">
      <c r="A668" t="inlineStr">
        <is>
          <t>/Lotus/Types/Game/Projections/T1VoidProjectionProteaIvaraVaultAPlatinum</t>
        </is>
      </c>
      <c r="B668" t="inlineStr">
        <is>
          <t>Lith B12 Relic</t>
        </is>
      </c>
      <c r="C668" t="inlineStr">
        <is>
          <t>https://wiki.warframe.com/w/Lith_B12</t>
        </is>
      </c>
      <c r="D668" t="inlineStr">
        <is>
          <t>ExportResources</t>
        </is>
      </c>
      <c r="E668" t="inlineStr">
        <is>
          <t>Radiant</t>
        </is>
      </c>
      <c r="H668" t="inlineStr">
        <is>
          <t>Solved: current place verified and archived 2026-10-16.</t>
        </is>
      </c>
      <c r="I668" t="inlineStr">
        <is>
          <t>RelicArcane</t>
        </is>
      </c>
      <c r="M668" t="inlineStr">
        <is>
          <t>Vaulted: obtain by trading with other players.</t>
        </is>
      </c>
      <c r="N668" t="inlineStr">
        <is>
          <t>Lith B12</t>
        </is>
      </c>
      <c r="O668" t="inlineStr">
        <is>
          <t>Saved a concrete acquisition place from the official Warframe Wiki. Lith B12 relic page: vaulted.</t>
        </is>
      </c>
    </row>
    <row r="669">
      <c r="A669" t="inlineStr">
        <is>
          <t>/Lotus/Types/Game/Projections/T1VoidProjectionProteaIvaraVaultASilver</t>
        </is>
      </c>
      <c r="B669" t="inlineStr">
        <is>
          <t>Lith B12 Relic</t>
        </is>
      </c>
      <c r="C669" t="inlineStr">
        <is>
          <t>https://wiki.warframe.com/w/Lith_B12</t>
        </is>
      </c>
      <c r="D669" t="inlineStr">
        <is>
          <t>ExportResources</t>
        </is>
      </c>
      <c r="E669" t="inlineStr">
        <is>
          <t>Exceptional</t>
        </is>
      </c>
      <c r="H669" t="inlineStr">
        <is>
          <t>Solved: current place verified and archived 2026-10-16.</t>
        </is>
      </c>
      <c r="I669" t="inlineStr">
        <is>
          <t>RelicArcane</t>
        </is>
      </c>
      <c r="M669" t="inlineStr">
        <is>
          <t>Vaulted: obtain by trading with other players.</t>
        </is>
      </c>
      <c r="N669" t="inlineStr">
        <is>
          <t>Lith B12</t>
        </is>
      </c>
      <c r="O669" t="inlineStr">
        <is>
          <t>Saved a concrete acquisition place from the official Warframe Wiki. Lith B12 relic page: vaulted.</t>
        </is>
      </c>
    </row>
    <row r="670">
      <c r="A670" t="inlineStr">
        <is>
          <t>/Lotus/Types/Game/Projections/T1VoidProjection</t>
        </is>
      </c>
      <c r="B670" t="inlineStr">
        <is>
          <t>Lith Relic</t>
        </is>
      </c>
      <c r="C670" t="inlineStr">
        <is>
          <t>https://wiki.warframe.com/w/Excavation | https://wiki.warframe.com/w/Public_Export | https://wiki.warframe.com/w/Disruption</t>
        </is>
      </c>
      <c r="D670" t="inlineStr">
        <is>
          <t>ExportResources</t>
        </is>
      </c>
      <c r="F670" t="inlineStr">
        <is>
          <t>Lith Relic</t>
        </is>
      </c>
      <c r="H670" t="inlineStr">
        <is>
          <t>Solved: current place verified and archived 2026-10-16.</t>
        </is>
      </c>
      <c r="I670" t="inlineStr">
        <is>
          <t>Resources</t>
        </is>
      </c>
      <c r="M670" t="inlineStr">
        <is>
          <t>Mission reward from Void missions. Packs of 3 cost 20,000 Standing from syndicates, 50 Platinum in the Market or 15 Steel Essence from Teshin.</t>
        </is>
      </c>
      <c r="N670" t="inlineStr">
        <is>
          <t>Excavation | Public Export | Disruption | Update 25</t>
        </is>
      </c>
      <c r="O670" t="inlineStr">
        <is>
          <t>Replaced a bad "1500 credits" place with the generic relic acquisition text from the Void Relic wiki page.</t>
        </is>
      </c>
    </row>
    <row r="671">
      <c r="A671" t="inlineStr">
        <is>
          <t>/Lotus/Types/Items/MiscItems/PhotoboothTileDuviriIsleCapD</t>
        </is>
      </c>
      <c r="B671" t="inlineStr">
        <is>
          <t>Little Cay Scene</t>
        </is>
      </c>
      <c r="C671" t="inlineStr">
        <is>
          <t>https://wiki.warframe.com/w/Acrithis | https://wiki.warframe.com/w/Captura</t>
        </is>
      </c>
      <c r="D671" t="inlineStr">
        <is>
          <t>ExportResources</t>
        </is>
      </c>
      <c r="F671" t="inlineStr">
        <is>
          <t>Little Cay Scene</t>
        </is>
      </c>
      <c r="H671" t="inlineStr">
        <is>
          <t>Solved: current place verified and archived 2026-10-16.</t>
        </is>
      </c>
      <c r="I671" t="inlineStr">
        <is>
          <t>Resources</t>
        </is>
      </c>
      <c r="M671" t="inlineStr">
        <is>
          <t>Purchase from Acrithis' rotating Wares in Duviri.</t>
        </is>
      </c>
      <c r="N671" t="inlineStr">
        <is>
          <t>Captura</t>
        </is>
      </c>
      <c r="O671" t="inlineStr">
        <is>
          <t>Saved a concrete acquisition place from the official Warframe Wiki. Captura scene table lists this scene with its acquisition note.</t>
        </is>
      </c>
    </row>
    <row r="672">
      <c r="A672" t="inlineStr">
        <is>
          <t>/Lotus/Types/Items/ShipDecos/TempleGuitarSpeakerShipDeco</t>
        </is>
      </c>
      <c r="B672" t="inlineStr">
        <is>
          <t>Lizzie Guitar Decoration</t>
        </is>
      </c>
      <c r="C672" t="inlineStr">
        <is>
          <t>https://wiki.warframe.com/w/Ovation_Temple_Bundle | https://wiki.warframe.com/w/Decorations/Orbiter_Decorations</t>
        </is>
      </c>
      <c r="D672" t="inlineStr">
        <is>
          <t>ExportResources</t>
        </is>
      </c>
      <c r="F672" t="inlineStr">
        <is>
          <t>Lizzie Guitar Decoration</t>
        </is>
      </c>
      <c r="H672" t="inlineStr">
        <is>
          <t>Solved: current place verified and archived 2026-10-16.</t>
        </is>
      </c>
      <c r="I672" t="inlineStr">
        <is>
          <t>Resources</t>
        </is>
      </c>
      <c r="M672" t="inlineStr">
        <is>
          <t>In-game Market for 35 Platinum.</t>
        </is>
      </c>
      <c r="N672" t="inlineStr">
        <is>
          <t>Ovation Temple Bundle | Decorations/Orbiter Decorations | Update 38</t>
        </is>
      </c>
      <c r="O672" t="inlineStr">
        <is>
          <t>We copied where it comes from off the wiki page. See place from wiki page.</t>
        </is>
      </c>
    </row>
    <row r="673">
      <c r="A673" t="inlineStr">
        <is>
          <t>/Lotus/Types/Items/ShipDecos/Venus/SUSupplyCartB</t>
        </is>
      </c>
      <c r="B673" t="inlineStr">
        <is>
          <t>Localized Air Purifier Decoration</t>
        </is>
      </c>
      <c r="C673" t="inlineStr">
        <is>
          <t>https://wiki.warframe.com/w/Ticker | https://wiki.warframe.com/w/Decorations/Orbiter_Decorations</t>
        </is>
      </c>
      <c r="D673" t="inlineStr">
        <is>
          <t>ExportResources</t>
        </is>
      </c>
      <c r="F673" t="inlineStr">
        <is>
          <t>Localized Air Purifier Decoration</t>
        </is>
      </c>
      <c r="H673" t="inlineStr">
        <is>
          <t>Solved: current place verified and archived 2026-10-16.</t>
        </is>
      </c>
      <c r="I673" t="inlineStr">
        <is>
          <t>Resources</t>
        </is>
      </c>
      <c r="M673" t="inlineStr">
        <is>
          <t>Purchase from Ticker's Secondhand in Fortuna with Debt-Bonds; stock and price rotate daily (Cheap tier).</t>
        </is>
      </c>
      <c r="N673" t="inlineStr">
        <is>
          <t>Ticker</t>
        </is>
      </c>
      <c r="O673" t="inlineStr">
        <is>
          <t>Saved a concrete acquisition place from the official Warframe Wiki. Ticker page Secondhand section.</t>
        </is>
      </c>
    </row>
    <row r="674">
      <c r="A674" t="inlineStr">
        <is>
          <t>/Lotus/Types/Items/ShipDecos/LisetPropShawzinDuviriErsatz</t>
        </is>
      </c>
      <c r="B674" t="inlineStr">
        <is>
          <t>Lonesome Shawzin</t>
        </is>
      </c>
      <c r="C674" t="inlineStr">
        <is>
          <t>https://wiki.warframe.com/w/Pip | https://wiki.warframe.com/w/Shawzin | https://wiki.warframe.com/w/Fabled_Warrior_Pack</t>
        </is>
      </c>
      <c r="D674" t="inlineStr">
        <is>
          <t>ExportResources</t>
        </is>
      </c>
      <c r="F674" t="inlineStr">
        <is>
          <t>Lonesome Shawzin</t>
        </is>
      </c>
      <c r="H674" t="inlineStr">
        <is>
          <t>Solved: current place verified and archived 2026-10-16.</t>
        </is>
      </c>
      <c r="I674" t="inlineStr">
        <is>
          <t>Resources</t>
        </is>
      </c>
      <c r="M674" t="inlineStr">
        <is>
          <t>In-game Market for 40 Platinum.</t>
        </is>
      </c>
      <c r="N674" t="inlineStr">
        <is>
          <t>Pip | Shawzin | Fabled Warrior Pack | Update 33</t>
        </is>
      </c>
      <c r="O674" t="inlineStr">
        <is>
          <t>We copied where it comes from off the wiki page. See place from wiki page.</t>
        </is>
      </c>
    </row>
    <row r="675">
      <c r="A675" t="inlineStr">
        <is>
          <t>/Lotus/Types/Items/ShipDecos/NokkoMushroomScrawlPosterF</t>
        </is>
      </c>
      <c r="B675" t="inlineStr">
        <is>
          <t>Lookout Cave Art</t>
        </is>
      </c>
      <c r="C675" t="inlineStr">
        <is>
          <t>https://wiki.warframe.com/w/Nonono | https://wiki.warframe.com/w/Borica | https://wiki.warframe.com/w/Reeking_Puffball | https://wiki.warframe.com/w/Deepmines | https://wiki.warframe.com/w/Decorations/Orbiter_Decorations</t>
        </is>
      </c>
      <c r="D675" t="inlineStr">
        <is>
          <t>ExportResources</t>
        </is>
      </c>
      <c r="F675" t="inlineStr">
        <is>
          <t>Lookout Cave Art</t>
        </is>
      </c>
      <c r="H675" t="inlineStr">
        <is>
          <t>Solved: current place verified and archived 2026-10-16.</t>
        </is>
      </c>
      <c r="I675" t="inlineStr">
        <is>
          <t>Resources</t>
        </is>
      </c>
      <c r="M675" t="inlineStr">
        <is>
          <t>Interact with the Sprodling in the hidden cave in the Deepmines Forward Base tile (Orb Vallis) to get the blueprint.</t>
        </is>
      </c>
      <c r="N675" t="inlineStr">
        <is>
          <t>Deepmines</t>
        </is>
      </c>
      <c r="O675" t="inlineStr">
        <is>
          <t>Saved a concrete acquisition place from the official Warframe Wiki. Deepmines page Cave Art and Somachords table gives the location and Foundry cost.</t>
        </is>
      </c>
    </row>
    <row r="676">
      <c r="A676" t="inlineStr">
        <is>
          <t>/Lotus/Types/Items/ShipDecos/Nightwave1999QuincyCharacterSheetPoster</t>
        </is>
      </c>
      <c r="B676" t="inlineStr">
        <is>
          <t>Lord Reyland Kingsacre Character Sheet Poster</t>
        </is>
      </c>
      <c r="C676" t="inlineStr">
        <is>
          <t>https://wiki.warframe.com/w/Fables_%26_Frontiers | https://wiki.warframe.com/w/Amir</t>
        </is>
      </c>
      <c r="D676" t="inlineStr">
        <is>
          <t>ExportResources</t>
        </is>
      </c>
      <c r="F676" t="inlineStr">
        <is>
          <t>Lord Reyland Kingsacre Character Sheet Poster</t>
        </is>
      </c>
      <c r="H676" t="inlineStr">
        <is>
          <t>Solved: current place verified and archived 2026-10-16.</t>
        </is>
      </c>
      <c r="I676" t="inlineStr">
        <is>
          <t>Resources</t>
        </is>
      </c>
      <c r="M676" t="inlineStr">
        <is>
          <t>Purchase from Amir for 5,000 Standing.</t>
        </is>
      </c>
      <c r="N676" t="inlineStr">
        <is>
          <t>Fables &amp; Frontiers | Amir</t>
        </is>
      </c>
      <c r="O676" t="inlineStr">
        <is>
          <t>We copied where it comes from off the wiki page. See place from wiki page.</t>
        </is>
      </c>
    </row>
    <row r="677">
      <c r="A677" t="inlineStr">
        <is>
          <t>/Lotus/Types/Items/ShipDecos/Nightwave1999FFQuincyPoster</t>
        </is>
      </c>
      <c r="B677" t="inlineStr">
        <is>
          <t>Lord Reyland Kingsacre Poster</t>
        </is>
      </c>
      <c r="C677" t="inlineStr">
        <is>
          <t>https://wiki.warframe.com/w/Fables_%26_Frontiers | https://wiki.warframe.com/w/Amir</t>
        </is>
      </c>
      <c r="D677" t="inlineStr">
        <is>
          <t>ExportResources</t>
        </is>
      </c>
      <c r="F677" t="inlineStr">
        <is>
          <t>Lord Reyland Kingsacre Poster</t>
        </is>
      </c>
      <c r="H677" t="inlineStr">
        <is>
          <t>Solved: current place verified and archived 2026-10-16.</t>
        </is>
      </c>
      <c r="I677" t="inlineStr">
        <is>
          <t>Resources</t>
        </is>
      </c>
      <c r="M677" t="inlineStr">
        <is>
          <t>Purchase from Amir for 5,000 Standing.</t>
        </is>
      </c>
      <c r="N677" t="inlineStr">
        <is>
          <t>Fables &amp; Frontiers | Amir</t>
        </is>
      </c>
      <c r="O677" t="inlineStr">
        <is>
          <t>We copied where it comes from off the wiki page. See place from wiki page.</t>
        </is>
      </c>
    </row>
    <row r="678">
      <c r="A678" t="inlineStr">
        <is>
          <t>/Lotus/Types/Items/ShipDecos/Plushies/PlushyLotus</t>
        </is>
      </c>
      <c r="B678" t="inlineStr">
        <is>
          <t>Lotus Floof</t>
        </is>
      </c>
      <c r="C678" t="inlineStr">
        <is>
          <t>https://wiki.warframe.com/w/Devstream_170 | https://wiki.warframe.com/w/Decorations/Orbiter_Decorations</t>
        </is>
      </c>
      <c r="D678" t="inlineStr">
        <is>
          <t>ExportResources</t>
        </is>
      </c>
      <c r="F678" t="inlineStr">
        <is>
          <t>Lotus Floof</t>
        </is>
      </c>
      <c r="H678" t="inlineStr">
        <is>
          <t>Solved: current place verified and archived 2026-10-16.</t>
        </is>
      </c>
      <c r="I678" t="inlineStr">
        <is>
          <t>Resources</t>
        </is>
      </c>
      <c r="M678" t="inlineStr">
        <is>
          <t>Included in the TennoCon 2023 Digital Pack.</t>
        </is>
      </c>
      <c r="N678" t="inlineStr">
        <is>
          <t>Devstream 170 | Decorations/Orbiter Decorations</t>
        </is>
      </c>
      <c r="O678" t="inlineStr">
        <is>
          <t>We copied where it comes from off the wiki page. See place from wiki page.</t>
        </is>
      </c>
    </row>
    <row r="679">
      <c r="A679" t="inlineStr">
        <is>
          <t>/Lotus/Types/Items/ShipDecos/Tennocon2018PlanterB</t>
        </is>
      </c>
      <c r="B679" t="inlineStr">
        <is>
          <t>Lua Planter</t>
        </is>
      </c>
      <c r="C679" t="inlineStr">
        <is>
          <t>https://wiki.warframe.com/w/Drifter's_Camp | https://wiki.warframe.com/w/Pride_(Event) | https://wiki.warframe.com/w/Decorations/Orbiter_Decorations</t>
        </is>
      </c>
      <c r="D679" t="inlineStr">
        <is>
          <t>ExportResources</t>
        </is>
      </c>
      <c r="F679" t="inlineStr">
        <is>
          <t>Lua Planter</t>
        </is>
      </c>
      <c r="H679" t="inlineStr">
        <is>
          <t>Solved: current place verified and archived 2026-10-16.</t>
        </is>
      </c>
      <c r="I679" t="inlineStr">
        <is>
          <t>Resources</t>
        </is>
      </c>
      <c r="M679" t="inlineStr">
        <is>
          <t>In-game Market for 50 Platinum.</t>
        </is>
      </c>
      <c r="N679" t="inlineStr">
        <is>
          <t>Drifter's Camp | Pride (Event) | Decorations/Orbiter Decorations | Update 35</t>
        </is>
      </c>
      <c r="O679" t="inlineStr">
        <is>
          <t>We found more than one answer for where it comes from. Look at place from wiki page — the answers are separated by | — and pick the right one.</t>
        </is>
      </c>
    </row>
    <row r="680">
      <c r="A680" t="inlineStr">
        <is>
          <t>/Lotus/Types/Items/ShipDecos/Leverian/LisetPropMuralCycle</t>
        </is>
      </c>
      <c r="B680" t="inlineStr">
        <is>
          <t>Lua's Pack Mural</t>
        </is>
      </c>
      <c r="C680" t="inlineStr">
        <is>
          <t>https://wiki.warframe.com/w/The_Pack's_Heart_Bundle | https://wiki.warframe.com/w/Decorations/Orbiter_Decorations | https://wiki.warframe.com/w/Voruna_Voidshell_Collection</t>
        </is>
      </c>
      <c r="D680" t="inlineStr">
        <is>
          <t>ExportResources</t>
        </is>
      </c>
      <c r="F680" t="inlineStr">
        <is>
          <t>Lua's Pack Mural</t>
        </is>
      </c>
      <c r="H680" t="inlineStr">
        <is>
          <t>Solved: current place verified and archived 2026-10-16.</t>
        </is>
      </c>
      <c r="I680" t="inlineStr">
        <is>
          <t>Resources</t>
        </is>
      </c>
      <c r="M680" t="inlineStr">
        <is>
          <t>In-game Market as part of The Pack's Heart Bundle for 775 Platinum (bundle only).</t>
        </is>
      </c>
      <c r="N680" t="inlineStr">
        <is>
          <t>The Pack's Heart Bundle | Decorations/Orbiter Decorations | Voruna Voidshell Collection</t>
        </is>
      </c>
      <c r="O680" t="inlineStr">
        <is>
          <t>We found more than one answer for where it comes from. Look at place from wiki page — the answers are separated by | — and pick the right one.</t>
        </is>
      </c>
    </row>
    <row r="681">
      <c r="A681" t="inlineStr">
        <is>
          <t>/Lotus/Types/Items/ShipDecos/Plants/Nokko/LisetPropZenPitcherPlant</t>
        </is>
      </c>
      <c r="B681" t="inlineStr">
        <is>
          <t>Lunar Pitcher Decoration</t>
        </is>
      </c>
      <c r="C681" t="inlineStr">
        <is>
          <t>https://wiki.warframe.com/w/Nightcap</t>
        </is>
      </c>
      <c r="D681" t="inlineStr">
        <is>
          <t>ExportResources</t>
        </is>
      </c>
      <c r="F681" t="inlineStr">
        <is>
          <t>Lunar Pitcher Decoration</t>
        </is>
      </c>
      <c r="H681" t="inlineStr">
        <is>
          <t>Solved: current place verified and archived 2026-10-16.</t>
        </is>
      </c>
      <c r="I681" t="inlineStr">
        <is>
          <t>Resources</t>
        </is>
      </c>
      <c r="M681" t="inlineStr">
        <is>
          <t>Purchase from Nightcap's Nursery for 10 Fergolyte.</t>
        </is>
      </c>
      <c r="N681" t="inlineStr">
        <is>
          <t>Nightcap</t>
        </is>
      </c>
      <c r="O681" t="inlineStr">
        <is>
          <t>Saved a concrete acquisition place from the official Warframe Wiki. Nightcap page lists it in Offerings &gt; Nursery.</t>
        </is>
      </c>
    </row>
    <row r="682">
      <c r="A682" t="inlineStr">
        <is>
          <t>/Lotus/Types/Items/ShipDecos/CNY2021Poster</t>
        </is>
      </c>
      <c r="B682" t="inlineStr">
        <is>
          <t>Lunar Renewal Calligraphy Poster</t>
        </is>
      </c>
      <c r="C682" t="inlineStr">
        <is>
          <t>https://wiki.warframe.com/w/Lunar_Renewal | https://wiki.warframe.com/w/Decorations/Orbiter_Decorations</t>
        </is>
      </c>
      <c r="D682" t="inlineStr">
        <is>
          <t>ExportResources</t>
        </is>
      </c>
      <c r="F682" t="inlineStr">
        <is>
          <t>Lunar Renewal Calligraphy Poster</t>
        </is>
      </c>
      <c r="H682" t="inlineStr">
        <is>
          <t>Solved: current place verified and archived 2026-10-16.</t>
        </is>
      </c>
      <c r="I682" t="inlineStr">
        <is>
          <t>Resources</t>
        </is>
      </c>
      <c r="M682" t="inlineStr">
        <is>
          <t>In-game Market for 1 Credit during Lunar New Year.</t>
        </is>
      </c>
      <c r="N682" t="inlineStr">
        <is>
          <t>Lunar Renewal | Decorations/Orbiter Decorations | Update 32 | Update 31</t>
        </is>
      </c>
      <c r="O682" t="inlineStr">
        <is>
          <t>We copied where it comes from off the wiki page. See place from wiki page.</t>
        </is>
      </c>
    </row>
    <row r="683">
      <c r="A683" t="inlineStr">
        <is>
          <t>/Lotus/Types/Items/ShipDecos/CommunityLyonDisplay</t>
        </is>
      </c>
      <c r="B683" t="inlineStr">
        <is>
          <t>Lyon Allard Community Display</t>
        </is>
      </c>
      <c r="C683" t="inlineStr">
        <is>
          <t>https://wiki.warframe.com/w/The_Devil's_Triad_Community_Bundle | https://wiki.warframe.com/w/Decorations/Orbiter_Decorations</t>
        </is>
      </c>
      <c r="D683" t="inlineStr">
        <is>
          <t>ExportResources</t>
        </is>
      </c>
      <c r="F683" t="inlineStr">
        <is>
          <t>Lyon Allard Community Display</t>
        </is>
      </c>
      <c r="H683" t="inlineStr">
        <is>
          <t>Solved: current place verified and archived 2026-10-16.</t>
        </is>
      </c>
      <c r="I683" t="inlineStr">
        <is>
          <t>Resources</t>
        </is>
      </c>
      <c r="M683" t="inlineStr">
        <is>
          <t>In-game Market for 20 Platinum.</t>
        </is>
      </c>
      <c r="N683" t="inlineStr">
        <is>
          <t>The Devil's Triad Community Bundle | Decorations/Orbiter Decorations | Update 41: The Old Peace</t>
        </is>
      </c>
      <c r="O683" t="inlineStr">
        <is>
          <t>We copied where it comes from off the wiki page. See place from wiki page.</t>
        </is>
      </c>
    </row>
    <row r="684">
      <c r="A684" t="inlineStr">
        <is>
          <t>/Lotus/Types/Items/ShipDecos/Plushies/PlushyLyon</t>
        </is>
      </c>
      <c r="B684" t="inlineStr">
        <is>
          <t>Lyon Floof</t>
        </is>
      </c>
      <c r="C684" t="inlineStr">
        <is>
          <t>https://wiki.warframe.com/w/Update_41:_The_Old_Peace</t>
        </is>
      </c>
      <c r="D684" t="inlineStr">
        <is>
          <t>ExportResources</t>
        </is>
      </c>
      <c r="F684" t="inlineStr">
        <is>
          <t>Lyon Floof</t>
        </is>
      </c>
      <c r="H684" t="inlineStr">
        <is>
          <t>Solved: current place verified and archived 2026-10-16.</t>
        </is>
      </c>
      <c r="I684" t="inlineStr">
        <is>
          <t>Resources</t>
        </is>
      </c>
      <c r="M684" t="inlineStr">
        <is>
          <t>In-game Market; also in the Floof collection.</t>
        </is>
      </c>
      <c r="N684" t="inlineStr">
        <is>
          <t>Update 41: The Old Peace</t>
        </is>
      </c>
      <c r="O684" t="inlineStr">
        <is>
          <t>Saved a concrete acquisition place from the official Warframe Wiki. Update 41 patch notes.</t>
        </is>
      </c>
    </row>
    <row r="685">
      <c r="A685" t="inlineStr">
        <is>
          <t>/Lotus/Types/Items/MiscItems/PhotoboothTileDateLyonZarParkHub</t>
        </is>
      </c>
      <c r="B685" t="inlineStr">
        <is>
          <t>Lyon's Chrysalith Date</t>
        </is>
      </c>
      <c r="C685" t="inlineStr">
        <is>
          <t>https://wiki.warframe.com/w/Captura | https://wiki.warframe.com/w/Kinemantik_Instant_Messenger</t>
        </is>
      </c>
      <c r="D685" t="inlineStr">
        <is>
          <t>ExportResources</t>
        </is>
      </c>
      <c r="F685" t="inlineStr">
        <is>
          <t>Lyon's Chrysalith Date</t>
        </is>
      </c>
      <c r="H685" t="inlineStr">
        <is>
          <t>Solved: current place verified and archived 2026-10-16.</t>
        </is>
      </c>
      <c r="I685" t="inlineStr">
        <is>
          <t>Resources</t>
        </is>
      </c>
      <c r="M685" t="inlineStr">
        <is>
          <t>Rewarded weekly by inbox after romancing Lyon Allard.</t>
        </is>
      </c>
      <c r="N685" t="inlineStr">
        <is>
          <t>Captura</t>
        </is>
      </c>
      <c r="O685" t="inlineStr">
        <is>
          <t>Saved a concrete acquisition place from the official Warframe Wiki. Captura scene table lists this scene with its acquisition note.</t>
        </is>
      </c>
    </row>
    <row r="686">
      <c r="A686" t="inlineStr">
        <is>
          <t>/Lotus/Types/Items/MiscItems/PhotoboothTileDateLyonWraithQuestVallaGlariosArena</t>
        </is>
      </c>
      <c r="B686" t="inlineStr">
        <is>
          <t>Lyon's Cold Below Date</t>
        </is>
      </c>
      <c r="C686" t="inlineStr">
        <is>
          <t>https://wiki.warframe.com/w/Rell | https://wiki.warframe.com/w/Lyon | https://wiki.warframe.com/w/Captura | https://wiki.warframe.com/w/Kinemantik_Instant_Messenger</t>
        </is>
      </c>
      <c r="D686" t="inlineStr">
        <is>
          <t>ExportResources</t>
        </is>
      </c>
      <c r="F686" t="inlineStr">
        <is>
          <t>Lyon's Cold Below Date</t>
        </is>
      </c>
      <c r="H686" t="inlineStr">
        <is>
          <t>Solved: current place verified and archived 2026-10-16.</t>
        </is>
      </c>
      <c r="I686" t="inlineStr">
        <is>
          <t>Resources</t>
        </is>
      </c>
      <c r="M686" t="inlineStr">
        <is>
          <t>Rewarded weekly by inbox after romancing Lyon Allard.</t>
        </is>
      </c>
      <c r="N686" t="inlineStr">
        <is>
          <t>Captura</t>
        </is>
      </c>
      <c r="O686" t="inlineStr">
        <is>
          <t>Saved a concrete acquisition place from the official Warframe Wiki. Captura scene table lists this scene with its acquisition note.</t>
        </is>
      </c>
    </row>
    <row r="687">
      <c r="A687" t="inlineStr">
        <is>
          <t>/Lotus/Types/Items/MiscItems/PhotoboothTileDateLyonLuasPrey</t>
        </is>
      </c>
      <c r="B687" t="inlineStr">
        <is>
          <t>Lyon's Lua Circulus Date</t>
        </is>
      </c>
      <c r="C687" t="inlineStr">
        <is>
          <t>https://wiki.warframe.com/w/Captura | https://wiki.warframe.com/w/Kinemantik_Instant_Messenger</t>
        </is>
      </c>
      <c r="D687" t="inlineStr">
        <is>
          <t>ExportResources</t>
        </is>
      </c>
      <c r="F687" t="inlineStr">
        <is>
          <t>Lyon's Lua Circulus Date</t>
        </is>
      </c>
      <c r="H687" t="inlineStr">
        <is>
          <t>Solved: current place verified and archived 2026-10-16.</t>
        </is>
      </c>
      <c r="I687" t="inlineStr">
        <is>
          <t>Resources</t>
        </is>
      </c>
      <c r="M687" t="inlineStr">
        <is>
          <t>Rewarded weekly by inbox after romancing Lyon Allard.</t>
        </is>
      </c>
      <c r="N687" t="inlineStr">
        <is>
          <t>Captura</t>
        </is>
      </c>
      <c r="O687" t="inlineStr">
        <is>
          <t>Saved a concrete acquisition place from the official Warframe Wiki. Captura scene table lists this scene with its acquisition note.</t>
        </is>
      </c>
    </row>
    <row r="688">
      <c r="A688" t="inlineStr">
        <is>
          <t>/Lotus/Types/Items/MiscItems/PhotoboothTileDateLyonHarrowRedVeilTemple</t>
        </is>
      </c>
      <c r="B688" t="inlineStr">
        <is>
          <t>Lyon's Temple Date</t>
        </is>
      </c>
      <c r="C688" t="inlineStr">
        <is>
          <t>https://wiki.warframe.com/w/Captura | https://wiki.warframe.com/w/Kinemantik_Instant_Messenger</t>
        </is>
      </c>
      <c r="D688" t="inlineStr">
        <is>
          <t>ExportResources</t>
        </is>
      </c>
      <c r="F688" t="inlineStr">
        <is>
          <t>Lyon's Temple Date</t>
        </is>
      </c>
      <c r="H688" t="inlineStr">
        <is>
          <t>Solved: current place verified and archived 2026-10-16.</t>
        </is>
      </c>
      <c r="I688" t="inlineStr">
        <is>
          <t>Resources</t>
        </is>
      </c>
      <c r="M688" t="inlineStr">
        <is>
          <t>Rewarded weekly by inbox after romancing Lyon Allard.</t>
        </is>
      </c>
      <c r="N688" t="inlineStr">
        <is>
          <t>Captura</t>
        </is>
      </c>
      <c r="O688" t="inlineStr">
        <is>
          <t>Saved a concrete acquisition place from the official Warframe Wiki. Captura scene table lists this scene with its acquisition note.</t>
        </is>
      </c>
    </row>
    <row r="689">
      <c r="A689" t="inlineStr">
        <is>
          <t>/Lotus/Types/Items/MiscItems/PhotoboothTileDateLyonUmbraShrine</t>
        </is>
      </c>
      <c r="B689" t="inlineStr">
        <is>
          <t>Lyon's Umbra Courtyard Date</t>
        </is>
      </c>
      <c r="C689" t="inlineStr">
        <is>
          <t>https://wiki.warframe.com/w/Captura | https://wiki.warframe.com/w/Kinemantik_Instant_Messenger</t>
        </is>
      </c>
      <c r="D689" t="inlineStr">
        <is>
          <t>ExportResources</t>
        </is>
      </c>
      <c r="F689" t="inlineStr">
        <is>
          <t>Lyon's Umbra Courtyard Date</t>
        </is>
      </c>
      <c r="H689" t="inlineStr">
        <is>
          <t>Solved: current place verified and archived 2026-10-16.</t>
        </is>
      </c>
      <c r="I689" t="inlineStr">
        <is>
          <t>Resources</t>
        </is>
      </c>
      <c r="M689" t="inlineStr">
        <is>
          <t>Rewarded weekly by inbox after romancing Lyon Allard.</t>
        </is>
      </c>
      <c r="N689" t="inlineStr">
        <is>
          <t>Captura</t>
        </is>
      </c>
      <c r="O689" t="inlineStr">
        <is>
          <t>Saved a concrete acquisition place from the official Warframe Wiki. Captura scene table lists this scene with its acquisition note.</t>
        </is>
      </c>
    </row>
    <row r="690">
      <c r="A690" t="inlineStr">
        <is>
          <t>/Lotus/Types/Items/ShipDecos/LisetProp1999TankDrone</t>
        </is>
      </c>
      <c r="B690" t="inlineStr">
        <is>
          <t>M-09 Efervon Tank Domestik Drone</t>
        </is>
      </c>
      <c r="C690" t="inlineStr">
        <is>
          <t>https://wiki.warframe.com/w/Base_of_Operations | https://wiki.warframe.com/w/Pride_(Event) | https://wiki.warframe.com/w/Domestik_Drone | https://wiki.warframe.com/w/Decorations | https://wiki.warframe.com/w/Scaldra_Authority_Pack</t>
        </is>
      </c>
      <c r="D690" t="inlineStr">
        <is>
          <t>ExportResources</t>
        </is>
      </c>
      <c r="F690" t="inlineStr">
        <is>
          <t>M-09 Efervon Tank Domestik Drone</t>
        </is>
      </c>
      <c r="H690" t="inlineStr">
        <is>
          <t>Solved: current place verified and archived 2026-10-16.</t>
        </is>
      </c>
      <c r="I690" t="inlineStr">
        <is>
          <t>Resources</t>
        </is>
      </c>
      <c r="M690" t="inlineStr">
        <is>
          <t>In-game Market for 100 Platinum.</t>
        </is>
      </c>
      <c r="N690" t="inlineStr">
        <is>
          <t>Base of Operations | Pride (Event) | Domestik Drone | Decorations | Scaldra Authority Pack</t>
        </is>
      </c>
      <c r="O690" t="inlineStr">
        <is>
          <t>We copied where it comes from off the wiki page. See place from wiki page.</t>
        </is>
      </c>
    </row>
    <row r="691">
      <c r="A691" t="inlineStr">
        <is>
          <t>/Lotus/Types/Items/ShipDecos/InfestationPrimeShipMaggot</t>
        </is>
      </c>
      <c r="B691" t="inlineStr">
        <is>
          <t>Maggot Prime</t>
        </is>
      </c>
      <c r="C691" t="inlineStr">
        <is>
          <t>https://wiki.warframe.com/w/Nidus/Prime | https://wiki.warframe.com/w/Prime_Resurgence | https://wiki.warframe.com/w/Tennobaum | https://wiki.warframe.com/w/Prime</t>
        </is>
      </c>
      <c r="D691" t="inlineStr">
        <is>
          <t>ExportResources</t>
        </is>
      </c>
      <c r="F691" t="inlineStr">
        <is>
          <t>Maggot Prime</t>
        </is>
      </c>
      <c r="H691" t="inlineStr">
        <is>
          <t>Solved: current place verified and archived 2026-10-16.</t>
        </is>
      </c>
      <c r="I691" t="inlineStr">
        <is>
          <t>Resources</t>
        </is>
      </c>
      <c r="M691" t="inlineStr">
        <is>
          <t>Included in the Nidus Prime Accessories (Prime Access).</t>
        </is>
      </c>
      <c r="N691" t="inlineStr">
        <is>
          <t>Nidus/Prime | Prime Resurgence | Tennobaum | Prime</t>
        </is>
      </c>
      <c r="O691" t="inlineStr">
        <is>
          <t>We copied where it comes from off the wiki page. See place from wiki page.</t>
        </is>
      </c>
    </row>
    <row r="692">
      <c r="A692" t="inlineStr">
        <is>
          <t>/Lotus/Types/Items/MiscItems/PhotoboothTileDuviriMainlandA</t>
        </is>
      </c>
      <c r="B692" t="inlineStr">
        <is>
          <t>Mainland Hamlets Scene</t>
        </is>
      </c>
      <c r="C692" t="inlineStr">
        <is>
          <t>https://wiki.warframe.com/w/Acrithis | https://wiki.warframe.com/w/Captura</t>
        </is>
      </c>
      <c r="D692" t="inlineStr">
        <is>
          <t>ExportResources</t>
        </is>
      </c>
      <c r="F692" t="inlineStr">
        <is>
          <t>Mainland Hamlets Scene</t>
        </is>
      </c>
      <c r="H692" t="inlineStr">
        <is>
          <t>Solved: current place verified and archived 2026-10-16.</t>
        </is>
      </c>
      <c r="I692" t="inlineStr">
        <is>
          <t>Resources</t>
        </is>
      </c>
      <c r="L692" t="inlineStr">
        <is>
          <t>Vendors_data</t>
        </is>
      </c>
      <c r="M692" t="inlineStr">
        <is>
          <t>Purchase from Acrithis' rotating Wares in Duviri.</t>
        </is>
      </c>
      <c r="N692" t="inlineStr">
        <is>
          <t>Captura</t>
        </is>
      </c>
      <c r="O692" t="inlineStr">
        <is>
          <t>Saved a concrete acquisition place from the official Warframe Wiki. Captura scene table lists this scene with its acquisition note.</t>
        </is>
      </c>
    </row>
    <row r="693">
      <c r="A693" t="inlineStr">
        <is>
          <t>/Lotus/Types/Items/ShipDecos/Duviri/Mitw/RusalkaHat</t>
        </is>
      </c>
      <c r="B693" t="inlineStr">
        <is>
          <t>Major Rusalka's Hat Memento</t>
        </is>
      </c>
      <c r="C693" t="inlineStr">
        <is>
          <t>https://wiki.warframe.com/w/Isleweaver | https://wiki.warframe.com/w/Decorations/Orbiter_Decorations</t>
        </is>
      </c>
      <c r="D693" t="inlineStr">
        <is>
          <t>ExportResources</t>
        </is>
      </c>
      <c r="F693" t="inlineStr">
        <is>
          <t>Major Rusalka's Hat Memento</t>
        </is>
      </c>
      <c r="H693" t="inlineStr">
        <is>
          <t>Solved: current place verified and archived 2026-10-16.</t>
        </is>
      </c>
      <c r="I693" t="inlineStr">
        <is>
          <t>Resources</t>
        </is>
      </c>
      <c r="M693" t="inlineStr">
        <is>
          <t>Inbox reward for finding all 15 Isleweaver Fragments in the Isleweaver mission (Duviri).</t>
        </is>
      </c>
      <c r="N693" t="inlineStr">
        <is>
          <t>Isleweaver</t>
        </is>
      </c>
      <c r="O693" t="inlineStr">
        <is>
          <t>Saved a concrete acquisition place from the official Warframe Wiki. Isleweaver page.</t>
        </is>
      </c>
    </row>
    <row r="694">
      <c r="A694" t="inlineStr">
        <is>
          <t>/Lotus/Types/Items/ShipDecos/Duviri/Mitw/RusalkaMedals</t>
        </is>
      </c>
      <c r="B694" t="inlineStr">
        <is>
          <t>Major Rusalka's Medals Memento</t>
        </is>
      </c>
      <c r="C694" t="inlineStr">
        <is>
          <t>https://wiki.warframe.com/w/Isleweaver | https://wiki.warframe.com/w/Decorations/Orbiter_Decorations</t>
        </is>
      </c>
      <c r="D694" t="inlineStr">
        <is>
          <t>ExportResources</t>
        </is>
      </c>
      <c r="F694" t="inlineStr">
        <is>
          <t>Major Rusalka's Medals Memento</t>
        </is>
      </c>
      <c r="H694" t="inlineStr">
        <is>
          <t>Solved: current place verified and archived 2026-10-16.</t>
        </is>
      </c>
      <c r="I694" t="inlineStr">
        <is>
          <t>Resources</t>
        </is>
      </c>
      <c r="M694" t="inlineStr">
        <is>
          <t>Inbox reward for finding all 15 Isleweaver Fragments in the Isleweaver mission (Duviri).</t>
        </is>
      </c>
      <c r="N694" t="inlineStr">
        <is>
          <t>Isleweaver</t>
        </is>
      </c>
      <c r="O694" t="inlineStr">
        <is>
          <t>Saved a concrete acquisition place from the official Warframe Wiki. Isleweaver page.</t>
        </is>
      </c>
    </row>
    <row r="695">
      <c r="A695" t="inlineStr">
        <is>
          <t>/Lotus/Types/Recipes/LandingCraftRecipes/Mantys/MantysStarChartComponent</t>
        </is>
      </c>
      <c r="B695" t="inlineStr">
        <is>
          <t>Mantis Avionics</t>
        </is>
      </c>
      <c r="C695" t="inlineStr">
        <is>
          <t>https://wiki.warframe.com/w/Control_Module | https://wiki.warframe.com/w/Nano_Spores | https://wiki.warframe.com/w/Storage_Container | https://wiki.warframe.com/w/Plastids</t>
        </is>
      </c>
      <c r="D695" t="inlineStr">
        <is>
          <t>ExportResources</t>
        </is>
      </c>
      <c r="F695" t="inlineStr">
        <is>
          <t>Mantis Avionics</t>
        </is>
      </c>
      <c r="H695" t="inlineStr">
        <is>
          <t>Solved: current place verified and archived 2026-10-16.</t>
        </is>
      </c>
      <c r="I695" t="inlineStr">
        <is>
          <t>Resources</t>
        </is>
      </c>
      <c r="L695" t="inlineStr">
        <is>
          <t>DropTables_JSON_slim, DropTables_data, drop_reverse_index_v2</t>
        </is>
      </c>
      <c r="M695" t="inlineStr">
        <is>
          <t>Blueprint drops from Orokin variants of Reinforced and Rare Storage Containers.</t>
        </is>
      </c>
      <c r="N695" t="inlineStr">
        <is>
          <t>Mantis</t>
        </is>
      </c>
      <c r="O695" t="inlineStr">
        <is>
          <t>Saved a concrete acquisition place from the official Warframe Wiki. Mantis page Acquisition.</t>
        </is>
      </c>
    </row>
    <row r="696">
      <c r="A696" t="inlineStr">
        <is>
          <t>/Lotus/Types/Recipes/LandingCraftRecipes/Mantys/MantysPowerCoreComponent</t>
        </is>
      </c>
      <c r="B696" t="inlineStr">
        <is>
          <t>Mantis Engines</t>
        </is>
      </c>
      <c r="C696" t="inlineStr">
        <is>
          <t>https://wiki.warframe.com/w/Rubedo | https://wiki.warframe.com/w/Ferrite | https://wiki.warframe.com/w/Polymer_Bundle | https://wiki.warframe.com/w/Storage_Container</t>
        </is>
      </c>
      <c r="D696" t="inlineStr">
        <is>
          <t>ExportResources</t>
        </is>
      </c>
      <c r="F696" t="inlineStr">
        <is>
          <t>Mantis Engines</t>
        </is>
      </c>
      <c r="H696" t="inlineStr">
        <is>
          <t>Solved: current place verified and archived 2026-10-16.</t>
        </is>
      </c>
      <c r="I696" t="inlineStr">
        <is>
          <t>Resources</t>
        </is>
      </c>
      <c r="L696" t="inlineStr">
        <is>
          <t>DropTables_JSON_slim, DropTables_data, drop_reverse_index_v2</t>
        </is>
      </c>
      <c r="M696" t="inlineStr">
        <is>
          <t>Blueprint drops from Grineer variants of Reinforced and Rare Storage Containers.</t>
        </is>
      </c>
      <c r="N696" t="inlineStr">
        <is>
          <t>Mantis</t>
        </is>
      </c>
      <c r="O696" t="inlineStr">
        <is>
          <t>Saved a concrete acquisition place from the official Warframe Wiki. Mantis page Acquisition.</t>
        </is>
      </c>
    </row>
    <row r="697">
      <c r="A697" t="inlineStr">
        <is>
          <t>/Lotus/Types/Recipes/LandingCraftRecipes/Mantys/MantysExoskeletonComponent</t>
        </is>
      </c>
      <c r="B697" t="inlineStr">
        <is>
          <t>Mantis Fuselage</t>
        </is>
      </c>
      <c r="C697" t="inlineStr">
        <is>
          <t>https://wiki.warframe.com/w/Morphics | https://wiki.warframe.com/w/Circuits | https://wiki.warframe.com/w/Salvage | https://wiki.warframe.com/w/Storage_Container</t>
        </is>
      </c>
      <c r="D697" t="inlineStr">
        <is>
          <t>ExportResources</t>
        </is>
      </c>
      <c r="F697" t="inlineStr">
        <is>
          <t>Mantis Fuselage</t>
        </is>
      </c>
      <c r="H697" t="inlineStr">
        <is>
          <t>Solved: current place verified and archived 2026-10-16.</t>
        </is>
      </c>
      <c r="I697" t="inlineStr">
        <is>
          <t>Resources</t>
        </is>
      </c>
      <c r="L697" t="inlineStr">
        <is>
          <t>DropTables_JSON_slim, DropTables_data, drop_reverse_index_v2</t>
        </is>
      </c>
      <c r="M697" t="inlineStr">
        <is>
          <t>Blueprint drops from Corpus variants of Reinforced and Rare Storage Containers.</t>
        </is>
      </c>
      <c r="N697" t="inlineStr">
        <is>
          <t>Mantis</t>
        </is>
      </c>
      <c r="O697" t="inlineStr">
        <is>
          <t>Saved a concrete acquisition place from the official Warframe Wiki. Mantis page Acquisition.</t>
        </is>
      </c>
    </row>
    <row r="698">
      <c r="A698" t="inlineStr">
        <is>
          <t>/Lotus/Types/Items/ShipDecos/Plushies/PlushyMarie</t>
        </is>
      </c>
      <c r="B698" t="inlineStr">
        <is>
          <t>Marie Floof</t>
        </is>
      </c>
      <c r="C698" t="inlineStr">
        <is>
          <t>https://wiki.warframe.com/w/Update_41:_The_Old_Peace</t>
        </is>
      </c>
      <c r="D698" t="inlineStr">
        <is>
          <t>ExportResources</t>
        </is>
      </c>
      <c r="F698" t="inlineStr">
        <is>
          <t>Marie Floof</t>
        </is>
      </c>
      <c r="H698" t="inlineStr">
        <is>
          <t>Solved: current place verified and archived 2026-10-16.</t>
        </is>
      </c>
      <c r="I698" t="inlineStr">
        <is>
          <t>Resources</t>
        </is>
      </c>
      <c r="M698" t="inlineStr">
        <is>
          <t>In-game Market; also in the Floof collection.</t>
        </is>
      </c>
      <c r="N698" t="inlineStr">
        <is>
          <t>Update 41: The Old Peace</t>
        </is>
      </c>
      <c r="O698" t="inlineStr">
        <is>
          <t>Saved a concrete acquisition place from the official Warframe Wiki. Update 41 patch notes.</t>
        </is>
      </c>
    </row>
    <row r="699">
      <c r="A699" t="inlineStr">
        <is>
          <t>/Lotus/Types/Items/ShipDecos/CommunityMarieDisplay</t>
        </is>
      </c>
      <c r="B699" t="inlineStr">
        <is>
          <t>Marie Leroux Community Display</t>
        </is>
      </c>
      <c r="C699" t="inlineStr">
        <is>
          <t>https://wiki.warframe.com/w/The_Devil's_Triad_Community_Bundle | https://wiki.warframe.com/w/Decorations/Orbiter_Decorations</t>
        </is>
      </c>
      <c r="D699" t="inlineStr">
        <is>
          <t>ExportResources</t>
        </is>
      </c>
      <c r="F699" t="inlineStr">
        <is>
          <t>Marie Leroux Community Display</t>
        </is>
      </c>
      <c r="H699" t="inlineStr">
        <is>
          <t>Solved: current place verified and archived 2026-10-16.</t>
        </is>
      </c>
      <c r="I699" t="inlineStr">
        <is>
          <t>Resources</t>
        </is>
      </c>
      <c r="M699" t="inlineStr">
        <is>
          <t>In-game Market for 20 Platinum.</t>
        </is>
      </c>
      <c r="N699" t="inlineStr">
        <is>
          <t>The Devil's Triad Community Bundle | Decorations/Orbiter Decorations | Update 41: The Old Peace</t>
        </is>
      </c>
      <c r="O699" t="inlineStr">
        <is>
          <t>We copied where it comes from off the wiki page. See place from wiki page.</t>
        </is>
      </c>
    </row>
    <row r="700">
      <c r="A700" t="inlineStr">
        <is>
          <t>/Lotus/Types/Items/MiscItems/PhotoboothTileDateMarieDuviriIsleSignatureAmphitheatre</t>
        </is>
      </c>
      <c r="B700" t="inlineStr">
        <is>
          <t>Marie's Amphitheater Date</t>
        </is>
      </c>
      <c r="C700" t="inlineStr">
        <is>
          <t>https://wiki.warframe.com/w/Captura | https://wiki.warframe.com/w/Kinemantik_Instant_Messenger</t>
        </is>
      </c>
      <c r="D700" t="inlineStr">
        <is>
          <t>ExportResources</t>
        </is>
      </c>
      <c r="F700" t="inlineStr">
        <is>
          <t>Marie's Amphitheater Date</t>
        </is>
      </c>
      <c r="H700" t="inlineStr">
        <is>
          <t>Solved: current place verified and archived 2026-10-16.</t>
        </is>
      </c>
      <c r="I700" t="inlineStr">
        <is>
          <t>Resources</t>
        </is>
      </c>
      <c r="M700" t="inlineStr">
        <is>
          <t>Rewarded weekly by inbox after romancing Marie Leroux.</t>
        </is>
      </c>
      <c r="N700" t="inlineStr">
        <is>
          <t>Captura</t>
        </is>
      </c>
      <c r="O700" t="inlineStr">
        <is>
          <t>Saved a concrete acquisition place from the official Warframe Wiki. Captura scene table lists this scene with its acquisition note.</t>
        </is>
      </c>
    </row>
    <row r="701">
      <c r="A701" t="inlineStr">
        <is>
          <t>/Lotus/Types/Items/MiscItems/PhotoboothTileDateMarieCetusTown</t>
        </is>
      </c>
      <c r="B701" t="inlineStr">
        <is>
          <t>Marie's Cetus Date</t>
        </is>
      </c>
      <c r="C701" t="inlineStr">
        <is>
          <t>https://wiki.warframe.com/w/Captura | https://wiki.warframe.com/w/Kinemantik_Instant_Messenger</t>
        </is>
      </c>
      <c r="D701" t="inlineStr">
        <is>
          <t>ExportResources</t>
        </is>
      </c>
      <c r="F701" t="inlineStr">
        <is>
          <t>Marie's Cetus Date</t>
        </is>
      </c>
      <c r="H701" t="inlineStr">
        <is>
          <t>Solved: current place verified and archived 2026-10-16.</t>
        </is>
      </c>
      <c r="I701" t="inlineStr">
        <is>
          <t>Resources</t>
        </is>
      </c>
      <c r="M701" t="inlineStr">
        <is>
          <t>Rewarded weekly by inbox after romancing Marie Leroux.</t>
        </is>
      </c>
      <c r="N701" t="inlineStr">
        <is>
          <t>Captura</t>
        </is>
      </c>
      <c r="O701" t="inlineStr">
        <is>
          <t>Saved a concrete acquisition place from the official Warframe Wiki. Captura scene table lists this scene with its acquisition note.</t>
        </is>
      </c>
    </row>
    <row r="702">
      <c r="A702" t="inlineStr">
        <is>
          <t>/Lotus/Types/Items/MiscItems/PhotoboothTileDateMarieDrifterCamp</t>
        </is>
      </c>
      <c r="B702" t="inlineStr">
        <is>
          <t>Marie's Drifter Camp Date</t>
        </is>
      </c>
      <c r="C702" t="inlineStr">
        <is>
          <t>https://wiki.warframe.com/w/Captura | https://wiki.warframe.com/w/Kinemantik_Instant_Messenger</t>
        </is>
      </c>
      <c r="D702" t="inlineStr">
        <is>
          <t>ExportResources</t>
        </is>
      </c>
      <c r="F702" t="inlineStr">
        <is>
          <t>Marie's Drifter Camp Date</t>
        </is>
      </c>
      <c r="H702" t="inlineStr">
        <is>
          <t>Solved: current place verified and archived 2026-10-16.</t>
        </is>
      </c>
      <c r="I702" t="inlineStr">
        <is>
          <t>Resources</t>
        </is>
      </c>
      <c r="M702" t="inlineStr">
        <is>
          <t>Rewarded weekly by inbox after romancing Marie Leroux.</t>
        </is>
      </c>
      <c r="N702" t="inlineStr">
        <is>
          <t>Captura</t>
        </is>
      </c>
      <c r="O702" t="inlineStr">
        <is>
          <t>Saved a concrete acquisition place from the official Warframe Wiki. Captura scene table lists this scene with its acquisition note.</t>
        </is>
      </c>
    </row>
    <row r="703">
      <c r="A703" t="inlineStr">
        <is>
          <t>/Lotus/Types/Items/MiscItems/PhotoboothTileDateMarieCapRoomNarrow</t>
        </is>
      </c>
      <c r="B703" t="inlineStr">
        <is>
          <t>Marie's Sanctum Date</t>
        </is>
      </c>
      <c r="C703" t="inlineStr">
        <is>
          <t>https://wiki.warframe.com/w/Captura | https://wiki.warframe.com/w/Kinemantik_Instant_Messenger</t>
        </is>
      </c>
      <c r="D703" t="inlineStr">
        <is>
          <t>ExportResources</t>
        </is>
      </c>
      <c r="F703" t="inlineStr">
        <is>
          <t>Marie's Sanctum Date</t>
        </is>
      </c>
      <c r="H703" t="inlineStr">
        <is>
          <t>Solved: current place verified and archived 2026-10-16.</t>
        </is>
      </c>
      <c r="I703" t="inlineStr">
        <is>
          <t>Resources</t>
        </is>
      </c>
      <c r="M703" t="inlineStr">
        <is>
          <t>Rewarded weekly by inbox after romancing Marie Leroux.</t>
        </is>
      </c>
      <c r="N703" t="inlineStr">
        <is>
          <t>Captura</t>
        </is>
      </c>
      <c r="O703" t="inlineStr">
        <is>
          <t>Saved a concrete acquisition place from the official Warframe Wiki. Captura scene table lists this scene with its acquisition note.</t>
        </is>
      </c>
    </row>
    <row r="704">
      <c r="A704" t="inlineStr">
        <is>
          <t>/Lotus/Types/Items/MiscItems/PhotoboothTileDateMarieVentKids</t>
        </is>
      </c>
      <c r="B704" t="inlineStr">
        <is>
          <t>Marie's Ventkid Clubhouse Date</t>
        </is>
      </c>
      <c r="C704" t="inlineStr">
        <is>
          <t>https://wiki.warframe.com/w/Captura | https://wiki.warframe.com/w/Kinemantik_Instant_Messenger</t>
        </is>
      </c>
      <c r="D704" t="inlineStr">
        <is>
          <t>ExportResources</t>
        </is>
      </c>
      <c r="F704" t="inlineStr">
        <is>
          <t>Marie's Ventkid Clubhouse Date</t>
        </is>
      </c>
      <c r="H704" t="inlineStr">
        <is>
          <t>Solved: current place verified and archived 2026-10-16.</t>
        </is>
      </c>
      <c r="I704" t="inlineStr">
        <is>
          <t>Resources</t>
        </is>
      </c>
      <c r="M704" t="inlineStr">
        <is>
          <t>Rewarded weekly by inbox after romancing Marie Leroux.</t>
        </is>
      </c>
      <c r="N704" t="inlineStr">
        <is>
          <t>Captura</t>
        </is>
      </c>
      <c r="O704" t="inlineStr">
        <is>
          <t>Saved a concrete acquisition place from the official Warframe Wiki. Captura scene table lists this scene with its acquisition note.</t>
        </is>
      </c>
    </row>
    <row r="705">
      <c r="A705" t="inlineStr">
        <is>
          <t>/Lotus/Types/Items/Deimos/AnimalTagInfestedPredatorRare</t>
        </is>
      </c>
      <c r="B705" t="inlineStr">
        <is>
          <t>Medjay Predasite Tag</t>
        </is>
      </c>
      <c r="C705" t="inlineStr">
        <is>
          <t>https://wiki.warframe.com/w/Conservation</t>
        </is>
      </c>
      <c r="D705" t="inlineStr">
        <is>
          <t>ExportResources</t>
        </is>
      </c>
      <c r="G705" t="inlineStr">
        <is>
          <t>Conservation#Predasite</t>
        </is>
      </c>
      <c r="H705" t="inlineStr">
        <is>
          <t>Solved: current place verified and archived 2026-10-16.</t>
        </is>
      </c>
      <c r="I705" t="inlineStr">
        <is>
          <t>Resources</t>
        </is>
      </c>
      <c r="J705" t="inlineStr">
        <is>
          <t>Resources_data</t>
        </is>
      </c>
      <c r="K705" t="inlineStr">
        <is>
          <t>Resources/data</t>
        </is>
      </c>
      <c r="L705" t="inlineStr">
        <is>
          <t>listed, no place</t>
        </is>
      </c>
      <c r="M705" t="inlineStr">
        <is>
          <t>Capture a Medjay Predasite through Conservation in the Cambion Drift.</t>
        </is>
      </c>
      <c r="N705" t="inlineStr">
        <is>
          <t>Conservation</t>
        </is>
      </c>
      <c r="O705" t="inlineStr">
        <is>
          <t>Saved a concrete acquisition place from the official Warframe Wiki.</t>
        </is>
      </c>
    </row>
    <row r="706">
      <c r="A706" t="inlineStr">
        <is>
          <t>/Lotus/Types/Items/PhotoBooth/Zariman/PhotoboothTileZarMelicaLab</t>
        </is>
      </c>
      <c r="B706" t="inlineStr">
        <is>
          <t>Melica's Laboratory Scene</t>
        </is>
      </c>
      <c r="C706" t="inlineStr">
        <is>
          <t>https://wiki.warframe.com/w/Entropic_Kuva | https://wiki.warframe.com/w/Cephalon_Melica</t>
        </is>
      </c>
      <c r="D706" t="inlineStr">
        <is>
          <t>ExportResources</t>
        </is>
      </c>
      <c r="F706" t="inlineStr">
        <is>
          <t>Melica's Laboratory Scene</t>
        </is>
      </c>
      <c r="H706" t="inlineStr">
        <is>
          <t>Solved: current place verified and archived 2026-10-16.</t>
        </is>
      </c>
      <c r="I706" t="inlineStr">
        <is>
          <t>Resources</t>
        </is>
      </c>
      <c r="M706" t="inlineStr">
        <is>
          <t>Purchase from Cephalon Melica for 500 Entropic Kuva.</t>
        </is>
      </c>
      <c r="N706" t="inlineStr">
        <is>
          <t>Entropic Kuva | Cephalon Melica</t>
        </is>
      </c>
      <c r="O706" t="inlineStr">
        <is>
          <t>We copied where it comes from off the wiki page. See place from wiki page.</t>
        </is>
      </c>
    </row>
    <row r="707">
      <c r="A707" t="inlineStr">
        <is>
          <t>/Lotus/Types/Items/ShipDecos/LisetPropCleaningDroneYareli</t>
        </is>
      </c>
      <c r="B707" t="inlineStr">
        <is>
          <t>Merulina Domestik Drone</t>
        </is>
      </c>
      <c r="C707" t="inlineStr">
        <is>
          <t>https://wiki.warframe.com/w/Domestik_Drone | https://wiki.warframe.com/w/Sisters_of_Parvos_Riptide_Pack | https://wiki.warframe.com/w/Sisters_of_Parvos_Waverider_Pack</t>
        </is>
      </c>
      <c r="D707" t="inlineStr">
        <is>
          <t>ExportResources</t>
        </is>
      </c>
      <c r="F707" t="inlineStr">
        <is>
          <t>Merulina Domestik Drone</t>
        </is>
      </c>
      <c r="H707" t="inlineStr">
        <is>
          <t>Solved: current place verified and archived 2026-10-16.</t>
        </is>
      </c>
      <c r="I707" t="inlineStr">
        <is>
          <t>Resources</t>
        </is>
      </c>
      <c r="M707" t="inlineStr">
        <is>
          <t>Included in the Sisters of Parvos Riptide Pack.</t>
        </is>
      </c>
      <c r="N707" t="inlineStr">
        <is>
          <t>Domestik Drone</t>
        </is>
      </c>
      <c r="O707" t="inlineStr">
        <is>
          <t>Saved a concrete acquisition place from the official Warframe Wiki. Domestik Drone page table.</t>
        </is>
      </c>
    </row>
    <row r="708">
      <c r="A708" t="inlineStr">
        <is>
          <t>/Lotus/Types/Items/ShipDecos/LisetPropCleaningDroneYareliDeluxe</t>
        </is>
      </c>
      <c r="B708" t="inlineStr">
        <is>
          <t>Merulina Pandea Domestik Drone</t>
        </is>
      </c>
      <c r="C708" t="inlineStr">
        <is>
          <t>https://wiki.warframe.com/w/Yareli_Pandea_Skin_Bundle | https://wiki.warframe.com/w/Domestik_Drone | https://wiki.warframe.com/w/Nidoblast_Kompressa_Skin | https://wiki.warframe.com/w/Yareli_Pandea_Skin</t>
        </is>
      </c>
      <c r="D708" t="inlineStr">
        <is>
          <t>ExportResources</t>
        </is>
      </c>
      <c r="F708" t="inlineStr">
        <is>
          <t>Merulina Pandea Domestik Drone</t>
        </is>
      </c>
      <c r="H708" t="inlineStr">
        <is>
          <t>Solved: current place verified and archived 2026-10-16.</t>
        </is>
      </c>
      <c r="I708" t="inlineStr">
        <is>
          <t>Resources</t>
        </is>
      </c>
      <c r="M708" t="inlineStr">
        <is>
          <t>In-game Market for 100 Platinum, or in the Yareli Pandea Skin Bundle.</t>
        </is>
      </c>
      <c r="N708" t="inlineStr">
        <is>
          <t>Yareli Pandea Skin Bundle | Domestik Drone | Nidoblast Kompressa Skin | Yareli Pandea Skin | Update 36</t>
        </is>
      </c>
      <c r="O708" t="inlineStr">
        <is>
          <t>We found more than one answer for where it comes from. Look at place from wiki page — the answers are separated by | — and pick the right one.</t>
        </is>
      </c>
    </row>
    <row r="709">
      <c r="A709" t="inlineStr">
        <is>
          <t>/Lotus/Types/Items/ShipDecos/LisetPropCleaningDroneYareliPrime</t>
        </is>
      </c>
      <c r="B709" t="inlineStr">
        <is>
          <t>Merulina Prime Domestik Drone</t>
        </is>
      </c>
      <c r="C709" t="inlineStr">
        <is>
          <t>https://wiki.warframe.com/w/Prime | https://wiki.warframe.com/w/Devstream_188 | https://wiki.warframe.com/w/Domestik_Drone | https://wiki.warframe.com/w/Prime_Access</t>
        </is>
      </c>
      <c r="D709" t="inlineStr">
        <is>
          <t>ExportResources</t>
        </is>
      </c>
      <c r="F709" t="inlineStr">
        <is>
          <t>Merulina Prime Domestik Drone</t>
        </is>
      </c>
      <c r="H709" t="inlineStr">
        <is>
          <t>Solved: current place verified and archived 2026-10-16.</t>
        </is>
      </c>
      <c r="I709" t="inlineStr">
        <is>
          <t>Resources</t>
        </is>
      </c>
      <c r="M709" t="inlineStr">
        <is>
          <t>Included in Yareli Prime Access.</t>
        </is>
      </c>
      <c r="N709" t="inlineStr">
        <is>
          <t>Domestik Drone | Devstream 188</t>
        </is>
      </c>
      <c r="O709" t="inlineStr">
        <is>
          <t>Saved a concrete acquisition place from the official Warframe Wiki. Domestik Drone page table.</t>
        </is>
      </c>
    </row>
    <row r="710">
      <c r="A710" t="inlineStr">
        <is>
          <t>/Lotus/Types/Items/ShipDecos/TarotCardMesaHeirloom</t>
        </is>
      </c>
      <c r="B710" t="inlineStr">
        <is>
          <t>Mesa Heirloom Prex</t>
        </is>
      </c>
      <c r="C710" t="inlineStr">
        <is>
          <t>https://wiki.warframe.com/w/Mesa_Heirloom_Collection | https://wiki.warframe.com/w/Heirloom_Skins</t>
        </is>
      </c>
      <c r="D710" t="inlineStr">
        <is>
          <t>ExportResources</t>
        </is>
      </c>
      <c r="F710" t="inlineStr">
        <is>
          <t>Mesa Heirloom Prex</t>
        </is>
      </c>
      <c r="H710" t="inlineStr">
        <is>
          <t>Solved: current place verified and archived 2026-10-16.</t>
        </is>
      </c>
      <c r="I710" t="inlineStr">
        <is>
          <t>Resources</t>
        </is>
      </c>
      <c r="M710" t="inlineStr">
        <is>
          <t>In-game Market for 35 Platinum.</t>
        </is>
      </c>
      <c r="N710" t="inlineStr">
        <is>
          <t>Mesa Heirloom Collection | Heirloom Skins | Update 43: Jade Shadows: Constellations</t>
        </is>
      </c>
      <c r="O710" t="inlineStr">
        <is>
          <t>We copied where it comes from off the wiki page. See place from wiki page.</t>
        </is>
      </c>
    </row>
    <row r="711">
      <c r="A711" t="inlineStr">
        <is>
          <t>/Lotus/Types/Game/Projections/T2VoidProjectionProteaIvaraVaultABronze</t>
        </is>
      </c>
      <c r="B711" t="inlineStr">
        <is>
          <t>Meso I3 Relic</t>
        </is>
      </c>
      <c r="C711" t="inlineStr">
        <is>
          <t>https://wiki.warframe.com/w/Meso_I3</t>
        </is>
      </c>
      <c r="D711" t="inlineStr">
        <is>
          <t>ExportResources</t>
        </is>
      </c>
      <c r="E711" t="inlineStr">
        <is>
          <t>Intact</t>
        </is>
      </c>
      <c r="H711" t="inlineStr">
        <is>
          <t>Solved: current place verified and archived 2026-10-16.</t>
        </is>
      </c>
      <c r="I711" t="inlineStr">
        <is>
          <t>RelicArcane</t>
        </is>
      </c>
      <c r="M711" t="inlineStr">
        <is>
          <t>Vaulted: obtain by trading with other players.</t>
        </is>
      </c>
      <c r="N711" t="inlineStr">
        <is>
          <t>Meso I3</t>
        </is>
      </c>
      <c r="O711" t="inlineStr">
        <is>
          <t>Saved a concrete acquisition place from the official Warframe Wiki. Meso I3 relic page: vaulted.</t>
        </is>
      </c>
    </row>
    <row r="712">
      <c r="A712" t="inlineStr">
        <is>
          <t>/Lotus/Types/Game/Projections/T2VoidProjectionProteaIvaraVaultAGold</t>
        </is>
      </c>
      <c r="B712" t="inlineStr">
        <is>
          <t>Meso I3 Relic</t>
        </is>
      </c>
      <c r="C712" t="inlineStr">
        <is>
          <t>https://wiki.warframe.com/w/Meso_I3</t>
        </is>
      </c>
      <c r="D712" t="inlineStr">
        <is>
          <t>ExportResources</t>
        </is>
      </c>
      <c r="E712" t="inlineStr">
        <is>
          <t>Flawless</t>
        </is>
      </c>
      <c r="H712" t="inlineStr">
        <is>
          <t>Solved: current place verified and archived 2026-10-16.</t>
        </is>
      </c>
      <c r="I712" t="inlineStr">
        <is>
          <t>RelicArcane</t>
        </is>
      </c>
      <c r="M712" t="inlineStr">
        <is>
          <t>Vaulted: obtain by trading with other players.</t>
        </is>
      </c>
      <c r="N712" t="inlineStr">
        <is>
          <t>Meso I3</t>
        </is>
      </c>
      <c r="O712" t="inlineStr">
        <is>
          <t>Saved a concrete acquisition place from the official Warframe Wiki. Meso I3 relic page: vaulted.</t>
        </is>
      </c>
    </row>
    <row r="713">
      <c r="A713" t="inlineStr">
        <is>
          <t>/Lotus/Types/Game/Projections/T2VoidProjectionProteaIvaraVaultAPlatinum</t>
        </is>
      </c>
      <c r="B713" t="inlineStr">
        <is>
          <t>Meso I3 Relic</t>
        </is>
      </c>
      <c r="C713" t="inlineStr">
        <is>
          <t>https://wiki.warframe.com/w/Meso_I3</t>
        </is>
      </c>
      <c r="D713" t="inlineStr">
        <is>
          <t>ExportResources</t>
        </is>
      </c>
      <c r="E713" t="inlineStr">
        <is>
          <t>Radiant</t>
        </is>
      </c>
      <c r="H713" t="inlineStr">
        <is>
          <t>Solved: current place verified and archived 2026-10-16.</t>
        </is>
      </c>
      <c r="I713" t="inlineStr">
        <is>
          <t>RelicArcane</t>
        </is>
      </c>
      <c r="M713" t="inlineStr">
        <is>
          <t>Vaulted: obtain by trading with other players.</t>
        </is>
      </c>
      <c r="N713" t="inlineStr">
        <is>
          <t>Meso I3</t>
        </is>
      </c>
      <c r="O713" t="inlineStr">
        <is>
          <t>Saved a concrete acquisition place from the official Warframe Wiki. Meso I3 relic page: vaulted.</t>
        </is>
      </c>
    </row>
    <row r="714">
      <c r="A714" t="inlineStr">
        <is>
          <t>/Lotus/Types/Game/Projections/T2VoidProjectionProteaIvaraVaultASilver</t>
        </is>
      </c>
      <c r="B714" t="inlineStr">
        <is>
          <t>Meso I3 Relic</t>
        </is>
      </c>
      <c r="C714" t="inlineStr">
        <is>
          <t>https://wiki.warframe.com/w/Meso_I3</t>
        </is>
      </c>
      <c r="D714" t="inlineStr">
        <is>
          <t>ExportResources</t>
        </is>
      </c>
      <c r="E714" t="inlineStr">
        <is>
          <t>Exceptional</t>
        </is>
      </c>
      <c r="H714" t="inlineStr">
        <is>
          <t>Solved: current place verified and archived 2026-10-16.</t>
        </is>
      </c>
      <c r="I714" t="inlineStr">
        <is>
          <t>RelicArcane</t>
        </is>
      </c>
      <c r="M714" t="inlineStr">
        <is>
          <t>Vaulted: obtain by trading with other players.</t>
        </is>
      </c>
      <c r="N714" t="inlineStr">
        <is>
          <t>Meso I3</t>
        </is>
      </c>
      <c r="O714" t="inlineStr">
        <is>
          <t>Saved a concrete acquisition place from the official Warframe Wiki. Meso I3 relic page: vaulted.</t>
        </is>
      </c>
    </row>
    <row r="715">
      <c r="A715" t="inlineStr">
        <is>
          <t>/Lotus/Types/Game/Projections/T2VoidProjection</t>
        </is>
      </c>
      <c r="B715" t="inlineStr">
        <is>
          <t>Meso Relic</t>
        </is>
      </c>
      <c r="C715" t="inlineStr">
        <is>
          <t>https://wiki.warframe.com/w/Void_Relic</t>
        </is>
      </c>
      <c r="D715" t="inlineStr">
        <is>
          <t>ExportResources</t>
        </is>
      </c>
      <c r="F715" t="inlineStr">
        <is>
          <t>Meso Relic</t>
        </is>
      </c>
      <c r="H715" t="inlineStr">
        <is>
          <t>Solved: current place verified and archived 2026-10-16.</t>
        </is>
      </c>
      <c r="I715" t="inlineStr">
        <is>
          <t>Resources</t>
        </is>
      </c>
      <c r="M715" t="inlineStr">
        <is>
          <t>Mission reward from Void missions. Packs of 3 cost 20,000 Standing from syndicates, 50 Platinum in the Market or 15 Steel Essence from Teshin.</t>
        </is>
      </c>
      <c r="N715" t="inlineStr">
        <is>
          <t>Void Relic</t>
        </is>
      </c>
      <c r="O715" t="inlineStr">
        <is>
          <t>Saved a concrete acquisition place from the official Warframe Wiki. Void Relic page Acquisition section (generic; no era-specific relic named on the page).</t>
        </is>
      </c>
    </row>
    <row r="716">
      <c r="A716" t="inlineStr">
        <is>
          <t>/Lotus/Types/Game/Projections/T2VoidProjectionProteaIvaraVaultBBronze</t>
        </is>
      </c>
      <c r="B716" t="inlineStr">
        <is>
          <t>Meso V16 Relic</t>
        </is>
      </c>
      <c r="C716" t="inlineStr">
        <is>
          <t>https://wiki.warframe.com/w/Meso_V16</t>
        </is>
      </c>
      <c r="D716" t="inlineStr">
        <is>
          <t>ExportResources</t>
        </is>
      </c>
      <c r="E716" t="inlineStr">
        <is>
          <t>Intact</t>
        </is>
      </c>
      <c r="H716" t="inlineStr">
        <is>
          <t>Solved: current place verified and archived 2026-10-16.</t>
        </is>
      </c>
      <c r="I716" t="inlineStr">
        <is>
          <t>RelicArcane</t>
        </is>
      </c>
      <c r="M716" t="inlineStr">
        <is>
          <t>Vaulted: obtain by trading with other players.</t>
        </is>
      </c>
      <c r="N716" t="inlineStr">
        <is>
          <t>Meso V16</t>
        </is>
      </c>
      <c r="O716" t="inlineStr">
        <is>
          <t>Saved a concrete acquisition place from the official Warframe Wiki. Meso V16 relic page: vaulted.</t>
        </is>
      </c>
    </row>
    <row r="717">
      <c r="A717" t="inlineStr">
        <is>
          <t>/Lotus/Types/Game/Projections/T2VoidProjectionProteaIvaraVaultBGold</t>
        </is>
      </c>
      <c r="B717" t="inlineStr">
        <is>
          <t>Meso V16 Relic</t>
        </is>
      </c>
      <c r="C717" t="inlineStr">
        <is>
          <t>https://wiki.warframe.com/w/Meso_V16</t>
        </is>
      </c>
      <c r="D717" t="inlineStr">
        <is>
          <t>ExportResources</t>
        </is>
      </c>
      <c r="E717" t="inlineStr">
        <is>
          <t>Flawless</t>
        </is>
      </c>
      <c r="H717" t="inlineStr">
        <is>
          <t>Solved: current place verified and archived 2026-10-16.</t>
        </is>
      </c>
      <c r="I717" t="inlineStr">
        <is>
          <t>RelicArcane</t>
        </is>
      </c>
      <c r="M717" t="inlineStr">
        <is>
          <t>Vaulted: obtain by trading with other players.</t>
        </is>
      </c>
      <c r="N717" t="inlineStr">
        <is>
          <t>Meso V16</t>
        </is>
      </c>
      <c r="O717" t="inlineStr">
        <is>
          <t>Saved a concrete acquisition place from the official Warframe Wiki. Meso V16 relic page: vaulted.</t>
        </is>
      </c>
    </row>
    <row r="718">
      <c r="A718" t="inlineStr">
        <is>
          <t>/Lotus/Types/Game/Projections/T2VoidProjectionProteaIvaraVaultBPlatinum</t>
        </is>
      </c>
      <c r="B718" t="inlineStr">
        <is>
          <t>Meso V16 Relic</t>
        </is>
      </c>
      <c r="C718" t="inlineStr">
        <is>
          <t>https://wiki.warframe.com/w/Meso_V16</t>
        </is>
      </c>
      <c r="D718" t="inlineStr">
        <is>
          <t>ExportResources</t>
        </is>
      </c>
      <c r="E718" t="inlineStr">
        <is>
          <t>Radiant</t>
        </is>
      </c>
      <c r="H718" t="inlineStr">
        <is>
          <t>Solved: current place verified and archived 2026-10-16.</t>
        </is>
      </c>
      <c r="I718" t="inlineStr">
        <is>
          <t>RelicArcane</t>
        </is>
      </c>
      <c r="M718" t="inlineStr">
        <is>
          <t>Vaulted: obtain by trading with other players.</t>
        </is>
      </c>
      <c r="N718" t="inlineStr">
        <is>
          <t>Meso V16</t>
        </is>
      </c>
      <c r="O718" t="inlineStr">
        <is>
          <t>Saved a concrete acquisition place from the official Warframe Wiki. Meso V16 relic page: vaulted.</t>
        </is>
      </c>
    </row>
    <row r="719">
      <c r="A719" t="inlineStr">
        <is>
          <t>/Lotus/Types/Game/Projections/T2VoidProjectionProteaIvaraVaultBSilver</t>
        </is>
      </c>
      <c r="B719" t="inlineStr">
        <is>
          <t>Meso V16 Relic</t>
        </is>
      </c>
      <c r="C719" t="inlineStr">
        <is>
          <t>https://wiki.warframe.com/w/Meso_V16</t>
        </is>
      </c>
      <c r="D719" t="inlineStr">
        <is>
          <t>ExportResources</t>
        </is>
      </c>
      <c r="E719" t="inlineStr">
        <is>
          <t>Exceptional</t>
        </is>
      </c>
      <c r="H719" t="inlineStr">
        <is>
          <t>Solved: current place verified and archived 2026-10-16.</t>
        </is>
      </c>
      <c r="I719" t="inlineStr">
        <is>
          <t>RelicArcane</t>
        </is>
      </c>
      <c r="M719" t="inlineStr">
        <is>
          <t>Vaulted: obtain by trading with other players.</t>
        </is>
      </c>
      <c r="N719" t="inlineStr">
        <is>
          <t>Meso V16</t>
        </is>
      </c>
      <c r="O719" t="inlineStr">
        <is>
          <t>Saved a concrete acquisition place from the official Warframe Wiki. Meso V16 relic page: vaulted.</t>
        </is>
      </c>
    </row>
    <row r="720">
      <c r="A720" t="inlineStr">
        <is>
          <t>/Lotus/Types/Items/ShipDecos/Nightwave/NightwaveMimicChestBox</t>
        </is>
      </c>
      <c r="B720" t="inlineStr">
        <is>
          <t>Mimic Origami Decoration</t>
        </is>
      </c>
      <c r="C720" t="inlineStr">
        <is>
          <t>https://wiki.warframe.com/w/Amir</t>
        </is>
      </c>
      <c r="D720" t="inlineStr">
        <is>
          <t>ExportResources</t>
        </is>
      </c>
      <c r="F720" t="inlineStr">
        <is>
          <t>Mimic Origami Decoration</t>
        </is>
      </c>
      <c r="H720" t="inlineStr">
        <is>
          <t>Solved: current place verified and archived 2026-10-16.</t>
        </is>
      </c>
      <c r="I720" t="inlineStr">
        <is>
          <t>Resources</t>
        </is>
      </c>
      <c r="M720" t="inlineStr">
        <is>
          <t>Purchase from Amir for 10,000 Standing.</t>
        </is>
      </c>
      <c r="N720" t="inlineStr">
        <is>
          <t>Amir</t>
        </is>
      </c>
      <c r="O720" t="inlineStr">
        <is>
          <t>We copied where it comes from off the wiki page. See place from wiki page.</t>
        </is>
      </c>
    </row>
    <row r="721">
      <c r="A721" t="inlineStr">
        <is>
          <t>/Lotus/Types/Items/ShipDecos/ShawzinPlayableBase</t>
        </is>
      </c>
      <c r="B721" t="inlineStr">
        <is>
          <t>Mimica Shawzin</t>
        </is>
      </c>
      <c r="C721" t="inlineStr">
        <is>
          <t>https://wiki.warframe.com/w/Pride_(Event) | https://wiki.warframe.com/w/Shawzin | https://wiki.warframe.com/w/Decorations/Orbiter_Decorations | https://wiki.warframe.com/w/Emotes</t>
        </is>
      </c>
      <c r="D721" t="inlineStr">
        <is>
          <t>ExportResources</t>
        </is>
      </c>
      <c r="F721" t="inlineStr">
        <is>
          <t>Mimica Shawzin</t>
        </is>
      </c>
      <c r="H721" t="inlineStr">
        <is>
          <t>Solved: current place verified and archived 2026-10-16.</t>
        </is>
      </c>
      <c r="I721" t="inlineStr">
        <is>
          <t>Resources</t>
        </is>
      </c>
      <c r="M721" t="inlineStr">
        <is>
          <t>In-game Market for 40 Platinum.</t>
        </is>
      </c>
      <c r="N721" t="inlineStr">
        <is>
          <t>Pride (Event) | Shawzin | Decorations/Orbiter Decorations | Emotes | Update 28</t>
        </is>
      </c>
      <c r="O721" t="inlineStr">
        <is>
          <t>We copied where it comes from off the wiki page. See place from wiki page.</t>
        </is>
      </c>
    </row>
    <row r="722">
      <c r="A722" t="inlineStr">
        <is>
          <t>/Lotus/Types/Items/ShipDecos/Plushies/PlushyLNYMirage</t>
        </is>
      </c>
      <c r="B722" t="inlineStr">
        <is>
          <t>Mirage Nuwa Floof</t>
        </is>
      </c>
      <c r="C722" t="inlineStr">
        <is>
          <t>https://wiki.warframe.com/w/Pink_Topaz_Bundle | https://wiki.warframe.com/w/Lunar_Renewal</t>
        </is>
      </c>
      <c r="D722" t="inlineStr">
        <is>
          <t>ExportResources</t>
        </is>
      </c>
      <c r="F722" t="inlineStr">
        <is>
          <t>Mirage Nuwa Floof</t>
        </is>
      </c>
      <c r="H722" t="inlineStr">
        <is>
          <t>Solved: current place verified and archived 2026-10-16.</t>
        </is>
      </c>
      <c r="I722" t="inlineStr">
        <is>
          <t>Resources</t>
        </is>
      </c>
      <c r="M722" t="inlineStr">
        <is>
          <t>In-game Market for 35 Platinum.</t>
        </is>
      </c>
      <c r="N722" t="inlineStr">
        <is>
          <t>Pink Topaz Bundle | Lunar Renewal</t>
        </is>
      </c>
      <c r="O722" t="inlineStr">
        <is>
          <t>We found more than one answer for where it comes from. Look at place from wiki page — the answers are separated by | — and pick the right one.</t>
        </is>
      </c>
    </row>
    <row r="723">
      <c r="A723" t="inlineStr">
        <is>
          <t>/Lotus/Types/Items/ShipDecos/OraxiaDOTDPoster</t>
        </is>
      </c>
      <c r="B723" t="inlineStr">
        <is>
          <t>Mistress of Fear Poster</t>
        </is>
      </c>
      <c r="C723" t="inlineStr">
        <is>
          <t>https://wiki.warframe.com/w/Nights_of_Naberus</t>
        </is>
      </c>
      <c r="D723" t="inlineStr">
        <is>
          <t>ExportResources</t>
        </is>
      </c>
      <c r="F723" t="inlineStr">
        <is>
          <t>Mistress of Fear Poster</t>
        </is>
      </c>
      <c r="H723" t="inlineStr">
        <is>
          <t>Solved: current place verified and archived 2026-10-16.</t>
        </is>
      </c>
      <c r="I723" t="inlineStr">
        <is>
          <t>Resources</t>
        </is>
      </c>
      <c r="M723" t="inlineStr">
        <is>
          <t>Purchase from Daughter for 25 Mother Tokens during Nights of Naberus.</t>
        </is>
      </c>
      <c r="N723" t="inlineStr">
        <is>
          <t>Nights of Naberus</t>
        </is>
      </c>
      <c r="O723" t="inlineStr">
        <is>
          <t>We copied where it comes from off the wiki page. See place from wiki page.</t>
        </is>
      </c>
    </row>
    <row r="724">
      <c r="A724" t="inlineStr">
        <is>
          <t>/Lotus/Types/Items/ShipDecos/Plants/Nokko/LisetPropGftPlantFernE</t>
        </is>
      </c>
      <c r="B724" t="inlineStr">
        <is>
          <t>Mocfi Fern</t>
        </is>
      </c>
      <c r="C724" t="inlineStr">
        <is>
          <t>https://wiki.warframe.com/w/Nightcap</t>
        </is>
      </c>
      <c r="D724" t="inlineStr">
        <is>
          <t>ExportResources</t>
        </is>
      </c>
      <c r="F724" t="inlineStr">
        <is>
          <t>Mocfi Fern</t>
        </is>
      </c>
      <c r="H724" t="inlineStr">
        <is>
          <t>Solved: current place verified and archived 2026-10-16.</t>
        </is>
      </c>
      <c r="I724" t="inlineStr">
        <is>
          <t>Resources</t>
        </is>
      </c>
      <c r="M724" t="inlineStr">
        <is>
          <t>Purchase from Nightcap's Nursery for 10 Fergolyte.</t>
        </is>
      </c>
      <c r="N724" t="inlineStr">
        <is>
          <t>Nightcap</t>
        </is>
      </c>
      <c r="O724" t="inlineStr">
        <is>
          <t>Saved a concrete acquisition place from the official Warframe Wiki. Nightcap page lists it in Offerings &gt; Nursery.</t>
        </is>
      </c>
    </row>
    <row r="725">
      <c r="A725" t="inlineStr">
        <is>
          <t>/Lotus/Types/Items/ShipDecos/Plants/Nokko/LisetPropDuvxZarimanPlantC</t>
        </is>
      </c>
      <c r="B725" t="inlineStr">
        <is>
          <t>Monstera Plant</t>
        </is>
      </c>
      <c r="C725" t="inlineStr">
        <is>
          <t>https://wiki.warframe.com/w/Nightcap</t>
        </is>
      </c>
      <c r="D725" t="inlineStr">
        <is>
          <t>ExportResources</t>
        </is>
      </c>
      <c r="F725" t="inlineStr">
        <is>
          <t>Monstera Plant</t>
        </is>
      </c>
      <c r="H725" t="inlineStr">
        <is>
          <t>Solved: current place verified and archived 2026-10-16.</t>
        </is>
      </c>
      <c r="I725" t="inlineStr">
        <is>
          <t>Resources</t>
        </is>
      </c>
      <c r="M725" t="inlineStr">
        <is>
          <t>Purchase from Nightcap's Nursery for 10 Fergolyte.</t>
        </is>
      </c>
      <c r="N725" t="inlineStr">
        <is>
          <t>Nightcap</t>
        </is>
      </c>
      <c r="O725" t="inlineStr">
        <is>
          <t>Saved a concrete acquisition place from the official Warframe Wiki. Nightcap page lists it in Offerings &gt; Nursery.</t>
        </is>
      </c>
    </row>
    <row r="726">
      <c r="A726" t="inlineStr">
        <is>
          <t>/Lotus/Types/Items/ShipDecos/Plants/Nokko/LisetPropGftPlantSkunkCabbageMature</t>
        </is>
      </c>
      <c r="B726" t="inlineStr">
        <is>
          <t>Moonlight Jadeleaf Decoration</t>
        </is>
      </c>
      <c r="C726" t="inlineStr">
        <is>
          <t>https://wiki.warframe.com/w/Nightcap</t>
        </is>
      </c>
      <c r="D726" t="inlineStr">
        <is>
          <t>ExportResources</t>
        </is>
      </c>
      <c r="F726" t="inlineStr">
        <is>
          <t>Moonlight Jadeleaf Decoration</t>
        </is>
      </c>
      <c r="H726" t="inlineStr">
        <is>
          <t>Solved: current place verified and archived 2026-10-16.</t>
        </is>
      </c>
      <c r="I726" t="inlineStr">
        <is>
          <t>Resources</t>
        </is>
      </c>
      <c r="M726" t="inlineStr">
        <is>
          <t>Purchase from Nightcap's Nursery for 10 Fergolyte.</t>
        </is>
      </c>
      <c r="N726" t="inlineStr">
        <is>
          <t>Nightcap</t>
        </is>
      </c>
      <c r="O726" t="inlineStr">
        <is>
          <t>Saved a concrete acquisition place from the official Warframe Wiki. Nightcap page lists it in Offerings &gt; Nursery.</t>
        </is>
      </c>
    </row>
    <row r="727">
      <c r="A727" t="inlineStr">
        <is>
          <t>/Lotus/Types/Items/ShipDecos/Plants/Nokko/LisetPropGftPlantSequoiaConeMature</t>
        </is>
      </c>
      <c r="B727" t="inlineStr">
        <is>
          <t>Moonlight Threshcone Decoration</t>
        </is>
      </c>
      <c r="C727" t="inlineStr">
        <is>
          <t>https://wiki.warframe.com/w/Nightcap</t>
        </is>
      </c>
      <c r="D727" t="inlineStr">
        <is>
          <t>ExportResources</t>
        </is>
      </c>
      <c r="F727" t="inlineStr">
        <is>
          <t>Moonlight Threshcone Decoration</t>
        </is>
      </c>
      <c r="H727" t="inlineStr">
        <is>
          <t>Solved: current place verified and archived 2026-10-16.</t>
        </is>
      </c>
      <c r="I727" t="inlineStr">
        <is>
          <t>Resources</t>
        </is>
      </c>
      <c r="M727" t="inlineStr">
        <is>
          <t>Purchase from Nightcap's Nursery for 10 Fergolyte.</t>
        </is>
      </c>
      <c r="N727" t="inlineStr">
        <is>
          <t>Nightcap</t>
        </is>
      </c>
      <c r="O727" t="inlineStr">
        <is>
          <t>Saved a concrete acquisition place from the official Warframe Wiki. Nightcap page lists it in Offerings &gt; Nursery.</t>
        </is>
      </c>
    </row>
    <row r="728">
      <c r="A728" t="inlineStr">
        <is>
          <t>/Lotus/Types/Items/ShipDecos/Nightwave1999AoiCharacterSheetPoster</t>
        </is>
      </c>
      <c r="B728" t="inlineStr">
        <is>
          <t>Morohime Ichigeki Character Sheet Poster</t>
        </is>
      </c>
      <c r="C728" t="inlineStr">
        <is>
          <t>https://wiki.warframe.com/w/Fables_%26_Frontiers | https://wiki.warframe.com/w/Amir</t>
        </is>
      </c>
      <c r="D728" t="inlineStr">
        <is>
          <t>ExportResources</t>
        </is>
      </c>
      <c r="F728" t="inlineStr">
        <is>
          <t>Morohime Ichigeki Character Sheet Poster</t>
        </is>
      </c>
      <c r="H728" t="inlineStr">
        <is>
          <t>Solved: current place verified and archived 2026-10-16.</t>
        </is>
      </c>
      <c r="I728" t="inlineStr">
        <is>
          <t>Resources</t>
        </is>
      </c>
      <c r="M728" t="inlineStr">
        <is>
          <t>Purchase from Amir for 5,000 Standing.</t>
        </is>
      </c>
      <c r="N728" t="inlineStr">
        <is>
          <t>Fables &amp; Frontiers | Amir</t>
        </is>
      </c>
      <c r="O728" t="inlineStr">
        <is>
          <t>We copied where it comes from off the wiki page. See place from wiki page.</t>
        </is>
      </c>
    </row>
    <row r="729">
      <c r="A729" t="inlineStr">
        <is>
          <t>/Lotus/Types/Items/ShipDecos/Nightwave1999FFAoiPoster</t>
        </is>
      </c>
      <c r="B729" t="inlineStr">
        <is>
          <t>Morohime Ichigeki Poster</t>
        </is>
      </c>
      <c r="C729" t="inlineStr">
        <is>
          <t>https://wiki.warframe.com/w/Fables_%26_Frontiers | https://wiki.warframe.com/w/Amir</t>
        </is>
      </c>
      <c r="D729" t="inlineStr">
        <is>
          <t>ExportResources</t>
        </is>
      </c>
      <c r="F729" t="inlineStr">
        <is>
          <t>Morohime Ichigeki Poster</t>
        </is>
      </c>
      <c r="H729" t="inlineStr">
        <is>
          <t>Solved: current place verified and archived 2026-10-16.</t>
        </is>
      </c>
      <c r="I729" t="inlineStr">
        <is>
          <t>Resources</t>
        </is>
      </c>
      <c r="M729" t="inlineStr">
        <is>
          <t>Purchase from Amir for 5,000 Standing.</t>
        </is>
      </c>
      <c r="N729" t="inlineStr">
        <is>
          <t>Fables &amp; Frontiers | Amir</t>
        </is>
      </c>
      <c r="O729" t="inlineStr">
        <is>
          <t>We copied where it comes from off the wiki page. See place from wiki page.</t>
        </is>
      </c>
    </row>
    <row r="730">
      <c r="A730" t="inlineStr">
        <is>
          <t>/Lotus/Types/Items/ShipDecos/ResourceDecoItemMorphics</t>
        </is>
      </c>
      <c r="B730" t="inlineStr">
        <is>
          <t>Morphics Decoration</t>
        </is>
      </c>
      <c r="C730" t="inlineStr">
        <is>
          <t>https://wiki.warframe.com/w/Public_Export | https://wiki.warframe.com/w/Market/Equipment</t>
        </is>
      </c>
      <c r="D730" t="inlineStr">
        <is>
          <t>ExportResources</t>
        </is>
      </c>
      <c r="F730" t="inlineStr">
        <is>
          <t>Morphics Decoration</t>
        </is>
      </c>
      <c r="H730" t="inlineStr">
        <is>
          <t>Solved: current place verified and archived 2026-10-16.</t>
        </is>
      </c>
      <c r="I730" t="inlineStr">
        <is>
          <t>Resources</t>
        </is>
      </c>
      <c r="M730" t="inlineStr">
        <is>
          <t>In-game Market for 5 Platinum.</t>
        </is>
      </c>
      <c r="N730" t="inlineStr">
        <is>
          <t>Market/Equipment</t>
        </is>
      </c>
      <c r="O730" t="inlineStr">
        <is>
          <t>Saved a concrete acquisition place from the official Warframe Wiki. Market/Equipment lists it with a Platinum price.</t>
        </is>
      </c>
    </row>
    <row r="731">
      <c r="A731" t="inlineStr">
        <is>
          <t>/Lotus/Types/Items/ShipDecos/ContainerDecoItemMorphicsStabilizer</t>
        </is>
      </c>
      <c r="B731" t="inlineStr">
        <is>
          <t>Morphics Stabilizer Decoration</t>
        </is>
      </c>
      <c r="C731" t="inlineStr">
        <is>
          <t>https://wiki.warframe.com/w/Market/Equipment</t>
        </is>
      </c>
      <c r="D731" t="inlineStr">
        <is>
          <t>ExportResources</t>
        </is>
      </c>
      <c r="F731" t="inlineStr">
        <is>
          <t>Morphics Stabilizer Decoration</t>
        </is>
      </c>
      <c r="H731" t="inlineStr">
        <is>
          <t>Solved: current place verified and archived 2026-10-16.</t>
        </is>
      </c>
      <c r="I731" t="inlineStr">
        <is>
          <t>Resources</t>
        </is>
      </c>
      <c r="M731" t="inlineStr">
        <is>
          <t>In-game Market for 20 Platinum.</t>
        </is>
      </c>
      <c r="N731" t="inlineStr">
        <is>
          <t>Market/Equipment</t>
        </is>
      </c>
      <c r="O731" t="inlineStr">
        <is>
          <t>Saved a concrete acquisition place from the official Warframe Wiki. Market/Equipment lists it with a Platinum price.</t>
        </is>
      </c>
    </row>
    <row r="732">
      <c r="A732" t="inlineStr">
        <is>
          <t>/Lotus/Types/Items/ShipDecos/Props/LisetPropMITWxLootCrateA</t>
        </is>
      </c>
      <c r="B732" t="inlineStr">
        <is>
          <t>Murmur Sarcophage Decoration</t>
        </is>
      </c>
      <c r="C732" t="inlineStr">
        <is>
          <t>https://wiki.warframe.com/w/Bird_3 | https://wiki.warframe.com/w/Decorations</t>
        </is>
      </c>
      <c r="D732" t="inlineStr">
        <is>
          <t>ExportResources</t>
        </is>
      </c>
      <c r="F732" t="inlineStr">
        <is>
          <t>Murmur Sarcophage Decoration</t>
        </is>
      </c>
      <c r="H732" t="inlineStr">
        <is>
          <t>Solved: current place verified and archived 2026-10-16.</t>
        </is>
      </c>
      <c r="I732" t="inlineStr">
        <is>
          <t>Resources</t>
        </is>
      </c>
      <c r="M732" t="inlineStr">
        <is>
          <t>Purchase from Bird 3's Shiny Treasures with resources from Albrecht's Laboratories; offers rotate every 24 hours.</t>
        </is>
      </c>
      <c r="N732" t="inlineStr">
        <is>
          <t>Bird 3</t>
        </is>
      </c>
      <c r="O732" t="inlineStr">
        <is>
          <t>Saved a concrete acquisition place from the official Warframe Wiki. Bird 3 page Shiny Treasures section.</t>
        </is>
      </c>
    </row>
    <row r="733">
      <c r="A733" t="inlineStr">
        <is>
          <t>/Lotus/Types/Items/ShipDecos/Plants/Nokko/LisetPropDuvxZarimanPlantD</t>
        </is>
      </c>
      <c r="B733" t="inlineStr">
        <is>
          <t>Mushroom Clump</t>
        </is>
      </c>
      <c r="C733" t="inlineStr">
        <is>
          <t>https://wiki.warframe.com/w/Nightcap</t>
        </is>
      </c>
      <c r="D733" t="inlineStr">
        <is>
          <t>ExportResources</t>
        </is>
      </c>
      <c r="F733" t="inlineStr">
        <is>
          <t>Mushroom Clump</t>
        </is>
      </c>
      <c r="H733" t="inlineStr">
        <is>
          <t>Solved: current place verified and archived 2026-10-16.</t>
        </is>
      </c>
      <c r="I733" t="inlineStr">
        <is>
          <t>Resources</t>
        </is>
      </c>
      <c r="M733" t="inlineStr">
        <is>
          <t>Purchase from Nightcap's Nursery for 10 Fergolyte.</t>
        </is>
      </c>
      <c r="N733" t="inlineStr">
        <is>
          <t>Nightcap</t>
        </is>
      </c>
      <c r="O733" t="inlineStr">
        <is>
          <t>Saved a concrete acquisition place from the official Warframe Wiki. Nightcap page lists it in Offerings &gt; Nursery.</t>
        </is>
      </c>
    </row>
    <row r="734">
      <c r="A734" t="inlineStr">
        <is>
          <t>/Lotus/Types/Items/ShipDecos/ChildDrawingC</t>
        </is>
      </c>
      <c r="B734" t="inlineStr">
        <is>
          <t>NEEWA'S DRAWING: Mumblers</t>
        </is>
      </c>
      <c r="C734" t="inlineStr">
        <is>
          <t>https://wiki.warframe.com/w/The_Glast_Gambit/Transcript | https://wiki.warframe.com/w/Decorations/Orbiter_Decorations</t>
        </is>
      </c>
      <c r="D734" t="inlineStr">
        <is>
          <t>ExportResources</t>
        </is>
      </c>
      <c r="F734" t="inlineStr">
        <is>
          <t>NEEWA'S DRAWING: Mumblers</t>
        </is>
      </c>
      <c r="H734" t="inlineStr">
        <is>
          <t>Solved: current place verified and archived 2026-10-16.</t>
        </is>
      </c>
      <c r="I734" t="inlineStr">
        <is>
          <t>Resources</t>
        </is>
      </c>
      <c r="M734" t="inlineStr">
        <is>
          <t>Inbox message during The Glast Gambit quest.</t>
        </is>
      </c>
      <c r="N734" t="inlineStr">
        <is>
          <t>The Glast Gambit/Transcript</t>
        </is>
      </c>
      <c r="O734" t="inlineStr">
        <is>
          <t>Saved a concrete acquisition place from the official Warframe Wiki. Transcript: Winning The Match &gt; In Orbiter &gt; Inbox Message.</t>
        </is>
      </c>
    </row>
    <row r="735">
      <c r="A735" t="inlineStr">
        <is>
          <t>/Lotus/Types/Items/ShipDecos/ChildDrawingG</t>
        </is>
      </c>
      <c r="B735" t="inlineStr">
        <is>
          <t>NEEWA'S DRAWING: My Decision</t>
        </is>
      </c>
      <c r="C735" t="inlineStr">
        <is>
          <t>https://wiki.warframe.com/w/The_Glast_Gambit/Transcript</t>
        </is>
      </c>
      <c r="D735" t="inlineStr">
        <is>
          <t>ExportResources</t>
        </is>
      </c>
      <c r="F735" t="inlineStr">
        <is>
          <t>NEEWA'S DRAWING: My Decision</t>
        </is>
      </c>
      <c r="H735" t="inlineStr">
        <is>
          <t>Solved: current place verified and archived 2026-10-16.</t>
        </is>
      </c>
      <c r="I735" t="inlineStr">
        <is>
          <t>Resources</t>
        </is>
      </c>
      <c r="M735" t="inlineStr">
        <is>
          <t>Inbox message during The Glast Gambit quest.</t>
        </is>
      </c>
      <c r="N735" t="inlineStr">
        <is>
          <t>The Glast Gambit/Transcript</t>
        </is>
      </c>
      <c r="O735" t="inlineStr">
        <is>
          <t>Saved a concrete acquisition place from the official Warframe Wiki. Transcript: Winning The Match &gt; In Orbiter &gt; Transmission &gt; Inbox Message.</t>
        </is>
      </c>
    </row>
    <row r="736">
      <c r="A736" t="inlineStr">
        <is>
          <t>/Lotus/Types/Items/ShipDecos/ChildDrawingB</t>
        </is>
      </c>
      <c r="B736" t="inlineStr">
        <is>
          <t>NEEWA'S DRAWING: Prison</t>
        </is>
      </c>
      <c r="C736" t="inlineStr">
        <is>
          <t>https://wiki.warframe.com/w/The_Glast_Gambit/Transcript | https://wiki.warframe.com/w/Decorations/Orbiter_Decorations</t>
        </is>
      </c>
      <c r="D736" t="inlineStr">
        <is>
          <t>ExportResources</t>
        </is>
      </c>
      <c r="F736" t="inlineStr">
        <is>
          <t>NEEWA'S DRAWING: Prison</t>
        </is>
      </c>
      <c r="H736" t="inlineStr">
        <is>
          <t>Solved: current place verified and archived 2026-10-16.</t>
        </is>
      </c>
      <c r="I736" t="inlineStr">
        <is>
          <t>Resources</t>
        </is>
      </c>
      <c r="M736" t="inlineStr">
        <is>
          <t>Inbox message during The Glast Gambit quest.</t>
        </is>
      </c>
      <c r="N736" t="inlineStr">
        <is>
          <t>The Glast Gambit/Transcript</t>
        </is>
      </c>
      <c r="O736" t="inlineStr">
        <is>
          <t>Saved a concrete acquisition place from the official Warframe Wiki. Transcript: Winning the Match &gt; In Orbiter &gt; Inbox Message.</t>
        </is>
      </c>
    </row>
    <row r="737">
      <c r="A737" t="inlineStr">
        <is>
          <t>/Lotus/Types/Items/ShipDecos/ChildDrawingF</t>
        </is>
      </c>
      <c r="B737" t="inlineStr">
        <is>
          <t>NEEWA'S DRAWING: Reunited</t>
        </is>
      </c>
      <c r="C737" t="inlineStr">
        <is>
          <t>https://wiki.warframe.com/w/The_Glast_Gambit/Transcript | https://wiki.warframe.com/w/Decorations/Orbiter_Decorations</t>
        </is>
      </c>
      <c r="D737" t="inlineStr">
        <is>
          <t>ExportResources</t>
        </is>
      </c>
      <c r="F737" t="inlineStr">
        <is>
          <t>NEEWA'S DRAWING: Reunited</t>
        </is>
      </c>
      <c r="H737" t="inlineStr">
        <is>
          <t>Solved: current place verified and archived 2026-10-16.</t>
        </is>
      </c>
      <c r="I737" t="inlineStr">
        <is>
          <t>Resources</t>
        </is>
      </c>
      <c r="M737" t="inlineStr">
        <is>
          <t>Inbox message during The Glast Gambit quest.</t>
        </is>
      </c>
      <c r="N737" t="inlineStr">
        <is>
          <t>The Glast Gambit/Transcript</t>
        </is>
      </c>
      <c r="O737" t="inlineStr">
        <is>
          <t>Saved a concrete acquisition place from the official Warframe Wiki. Transcript: Winning The Match &gt; In Orbiter &gt; Transmission &gt; Inbox Message.</t>
        </is>
      </c>
    </row>
    <row r="738">
      <c r="A738" t="inlineStr">
        <is>
          <t>/Lotus/Types/Items/ShipDecos/ChildDrawingA</t>
        </is>
      </c>
      <c r="B738" t="inlineStr">
        <is>
          <t>NEEWA'S DRAWING: The Dark-Eyed Man</t>
        </is>
      </c>
      <c r="C738" t="inlineStr">
        <is>
          <t>https://wiki.warframe.com/w/The_Glast_Gambit/Transcript | https://wiki.warframe.com/w/Decorations/Orbiter_Decorations</t>
        </is>
      </c>
      <c r="D738" t="inlineStr">
        <is>
          <t>ExportResources</t>
        </is>
      </c>
      <c r="F738" t="inlineStr">
        <is>
          <t>NEEWA'S DRAWING: The Dark-Eyed Man</t>
        </is>
      </c>
      <c r="H738" t="inlineStr">
        <is>
          <t>Solved: current place verified and archived 2026-10-16.</t>
        </is>
      </c>
      <c r="I738" t="inlineStr">
        <is>
          <t>Resources</t>
        </is>
      </c>
      <c r="M738" t="inlineStr">
        <is>
          <t>Inbox message during The Glast Gambit quest.</t>
        </is>
      </c>
      <c r="N738" t="inlineStr">
        <is>
          <t>The Glast Gambit/Transcript</t>
        </is>
      </c>
      <c r="O738" t="inlineStr">
        <is>
          <t>Saved a concrete acquisition place from the official Warframe Wiki. Transcript: Introduction, In Relay &gt; In Orbiter &gt; Inbox Message.</t>
        </is>
      </c>
    </row>
    <row r="739">
      <c r="A739" t="inlineStr">
        <is>
          <t>/Lotus/Types/Items/ShipDecos/ChildDrawingD</t>
        </is>
      </c>
      <c r="B739" t="inlineStr">
        <is>
          <t>NEEWA'S DRAWING: The Passing</t>
        </is>
      </c>
      <c r="C739" t="inlineStr">
        <is>
          <t>https://wiki.warframe.com/w/The_Glast_Gambit/Transcript | https://wiki.warframe.com/w/Decorations/Orbiter_Decorations</t>
        </is>
      </c>
      <c r="D739" t="inlineStr">
        <is>
          <t>ExportResources</t>
        </is>
      </c>
      <c r="F739" t="inlineStr">
        <is>
          <t>NEEWA'S DRAWING: The Passing</t>
        </is>
      </c>
      <c r="H739" t="inlineStr">
        <is>
          <t>Solved: current place verified and archived 2026-10-16.</t>
        </is>
      </c>
      <c r="I739" t="inlineStr">
        <is>
          <t>Resources</t>
        </is>
      </c>
      <c r="M739" t="inlineStr">
        <is>
          <t>Inbox message during The Glast Gambit quest.</t>
        </is>
      </c>
      <c r="N739" t="inlineStr">
        <is>
          <t>The Glast Gambit/Transcript</t>
        </is>
      </c>
      <c r="O739" t="inlineStr">
        <is>
          <t>Saved a concrete acquisition place from the official Warframe Wiki. Transcript: Find The Source Of Nef's Cheats &gt; Back In Orbiter &gt; Inbox Message.</t>
        </is>
      </c>
    </row>
    <row r="740">
      <c r="A740" t="inlineStr">
        <is>
          <t>/Lotus/Types/Items/ShipDecos/ChildDrawingE</t>
        </is>
      </c>
      <c r="B740" t="inlineStr">
        <is>
          <t>NEEWA'S DRAWING: The Relay</t>
        </is>
      </c>
      <c r="C740" t="inlineStr">
        <is>
          <t>https://wiki.warframe.com/w/The_Glast_Gambit/Transcript</t>
        </is>
      </c>
      <c r="D740" t="inlineStr">
        <is>
          <t>ExportResources</t>
        </is>
      </c>
      <c r="F740" t="inlineStr">
        <is>
          <t>NEEWA'S DRAWING: The Relay</t>
        </is>
      </c>
      <c r="H740" t="inlineStr">
        <is>
          <t>Solved: current place verified and archived 2026-10-16.</t>
        </is>
      </c>
      <c r="I740" t="inlineStr">
        <is>
          <t>Resources</t>
        </is>
      </c>
      <c r="M740" t="inlineStr">
        <is>
          <t>Inbox message during The Glast Gambit quest.</t>
        </is>
      </c>
      <c r="N740" t="inlineStr">
        <is>
          <t>The Glast Gambit/Transcript</t>
        </is>
      </c>
      <c r="O740" t="inlineStr">
        <is>
          <t>Saved a concrete acquisition place from the official Warframe Wiki. Transcript: Winning The Match &gt; In Orbiter &gt; Transmission &gt; Inbox Message.</t>
        </is>
      </c>
    </row>
    <row r="741">
      <c r="A741" t="inlineStr">
        <is>
          <t>/Lotus/Types/Gameplay/Duviri/Resource/Fish/DuviriFishDItem</t>
        </is>
      </c>
      <c r="B741" t="inlineStr">
        <is>
          <t>Namaes</t>
        </is>
      </c>
      <c r="C741" t="inlineStr">
        <is>
          <t>https://wiki.warframe.com/w/Fishing</t>
        </is>
      </c>
      <c r="D741" t="inlineStr">
        <is>
          <t>ExportResources</t>
        </is>
      </c>
      <c r="G741" t="inlineStr">
        <is>
          <t>Namaes</t>
        </is>
      </c>
      <c r="H741" t="inlineStr">
        <is>
          <t>Solved: current place verified and archived 2026-10-16.</t>
        </is>
      </c>
      <c r="I741" t="inlineStr">
        <is>
          <t>Resources</t>
        </is>
      </c>
      <c r="J741" t="inlineStr">
        <is>
          <t>Resources_data</t>
        </is>
      </c>
      <c r="K741" t="inlineStr">
        <is>
          <t>Resources/data</t>
        </is>
      </c>
      <c r="L741" t="inlineStr">
        <is>
          <t>listed, no place</t>
        </is>
      </c>
      <c r="M741" t="inlineStr">
        <is>
          <t>Caught while fishing in Duviri.</t>
        </is>
      </c>
      <c r="N741" t="inlineStr">
        <is>
          <t>Fishing</t>
        </is>
      </c>
      <c r="O741" t="inlineStr">
        <is>
          <t>Saved a concrete acquisition place from the official Warframe Wiki.</t>
        </is>
      </c>
    </row>
    <row r="742">
      <c r="A742" t="inlineStr">
        <is>
          <t>/Lotus/Types/Items/Fish/Duviri/DuviriFishDItem</t>
        </is>
      </c>
      <c r="B742" t="inlineStr">
        <is>
          <t>Namaes</t>
        </is>
      </c>
      <c r="C742" t="inlineStr">
        <is>
          <t>https://wiki.warframe.com/w/Fishing</t>
        </is>
      </c>
      <c r="D742" t="inlineStr">
        <is>
          <t>ExportResources</t>
        </is>
      </c>
      <c r="F742" t="inlineStr">
        <is>
          <t>Namaes</t>
        </is>
      </c>
      <c r="G742" t="inlineStr">
        <is>
          <t>Namaes</t>
        </is>
      </c>
      <c r="H742" t="inlineStr">
        <is>
          <t>Solved: current place verified and archived 2026-10-16.</t>
        </is>
      </c>
      <c r="I742" t="inlineStr">
        <is>
          <t>Resources</t>
        </is>
      </c>
      <c r="J742" t="inlineStr">
        <is>
          <t>Resources_data</t>
        </is>
      </c>
      <c r="K742" t="inlineStr">
        <is>
          <t>Resources/data</t>
        </is>
      </c>
      <c r="L742" t="inlineStr">
        <is>
          <t>listed, no place</t>
        </is>
      </c>
      <c r="M742" t="inlineStr">
        <is>
          <t>Caught while fishing in Duviri.</t>
        </is>
      </c>
      <c r="N742" t="inlineStr">
        <is>
          <t>Fishing</t>
        </is>
      </c>
      <c r="O742" t="inlineStr">
        <is>
          <t>Saved a concrete acquisition place from the official Warframe Wiki.</t>
        </is>
      </c>
    </row>
    <row r="743">
      <c r="A743" t="inlineStr">
        <is>
          <t>/Lotus/Types/Items/ShipDecos/ResourceDecoItemNanoSpore</t>
        </is>
      </c>
      <c r="B743" t="inlineStr">
        <is>
          <t>Nano Spores Decoration</t>
        </is>
      </c>
      <c r="C743" t="inlineStr">
        <is>
          <t>https://wiki.warframe.com/w/Market/Equipment</t>
        </is>
      </c>
      <c r="D743" t="inlineStr">
        <is>
          <t>ExportResources</t>
        </is>
      </c>
      <c r="F743" t="inlineStr">
        <is>
          <t>Nano Spores Decoration</t>
        </is>
      </c>
      <c r="H743" t="inlineStr">
        <is>
          <t>Solved: current place verified and archived 2026-10-16.</t>
        </is>
      </c>
      <c r="I743" t="inlineStr">
        <is>
          <t>Resources</t>
        </is>
      </c>
      <c r="M743" t="inlineStr">
        <is>
          <t>In-game Market for 5 Platinum.</t>
        </is>
      </c>
      <c r="N743" t="inlineStr">
        <is>
          <t>Market/Equipment</t>
        </is>
      </c>
      <c r="O743" t="inlineStr">
        <is>
          <t>Saved a concrete acquisition place from the official Warframe Wiki. Market/Equipment lists it with a Platinum price.</t>
        </is>
      </c>
    </row>
    <row r="744">
      <c r="A744" t="inlineStr">
        <is>
          <t>/Lotus/Types/Items/ShipDecos/ContainerDecoItemSporeCulture</t>
        </is>
      </c>
      <c r="B744" t="inlineStr">
        <is>
          <t>Nanospore Culture Decoration</t>
        </is>
      </c>
      <c r="C744" t="inlineStr">
        <is>
          <t>https://wiki.warframe.com/w/Market/Equipment</t>
        </is>
      </c>
      <c r="D744" t="inlineStr">
        <is>
          <t>ExportResources</t>
        </is>
      </c>
      <c r="F744" t="inlineStr">
        <is>
          <t>Nanospore Culture Decoration</t>
        </is>
      </c>
      <c r="H744" t="inlineStr">
        <is>
          <t>Solved: current place verified and archived 2026-10-16.</t>
        </is>
      </c>
      <c r="I744" t="inlineStr">
        <is>
          <t>Resources</t>
        </is>
      </c>
      <c r="M744" t="inlineStr">
        <is>
          <t>In-game Market for 20 Platinum.</t>
        </is>
      </c>
      <c r="N744" t="inlineStr">
        <is>
          <t>Market/Equipment</t>
        </is>
      </c>
      <c r="O744" t="inlineStr">
        <is>
          <t>Saved a concrete acquisition place from the official Warframe Wiki. Market/Equipment lists it with a Platinum price.</t>
        </is>
      </c>
    </row>
    <row r="745">
      <c r="A745" t="inlineStr">
        <is>
          <t>/Lotus/Types/Items/ShipDecos/TarotCardNarin</t>
        </is>
      </c>
      <c r="B745" t="inlineStr">
        <is>
          <t>Narin Prex</t>
        </is>
      </c>
      <c r="C745" t="inlineStr">
        <is>
          <t>https://wiki.warframe.com/w/Entropic_Kuva | https://wiki.warframe.com/w/Cephalon_Melica</t>
        </is>
      </c>
      <c r="D745" t="inlineStr">
        <is>
          <t>ExportResources</t>
        </is>
      </c>
      <c r="F745" t="inlineStr">
        <is>
          <t>Narin Prex</t>
        </is>
      </c>
      <c r="H745" t="inlineStr">
        <is>
          <t>Solved: current place verified and archived 2026-10-16.</t>
        </is>
      </c>
      <c r="I745" t="inlineStr">
        <is>
          <t>Resources</t>
        </is>
      </c>
      <c r="M745" t="inlineStr">
        <is>
          <t>Purchase from Cephalon Melica for 500 Entropic Kuva.</t>
        </is>
      </c>
      <c r="N745" t="inlineStr">
        <is>
          <t>Entropic Kuva | Cephalon Melica | Update 44: Iceblade of Narin</t>
        </is>
      </c>
      <c r="O745" t="inlineStr">
        <is>
          <t>We copied where it comes from off the wiki page. See place from wiki page.</t>
        </is>
      </c>
    </row>
    <row r="746">
      <c r="A746" t="inlineStr">
        <is>
          <t>/Lotus/Types/Items/ShipDecos/LisetPropNarmerMandolin</t>
        </is>
      </c>
      <c r="B746" t="inlineStr">
        <is>
          <t>Narmer Shawzin</t>
        </is>
      </c>
      <c r="C746" t="inlineStr">
        <is>
          <t>https://wiki.warframe.com/w/Shawzin | https://wiki.warframe.com/w/Decorations/Orbiter_Decorations</t>
        </is>
      </c>
      <c r="D746" t="inlineStr">
        <is>
          <t>ExportResources</t>
        </is>
      </c>
      <c r="F746" t="inlineStr">
        <is>
          <t>Narmer Shawzin</t>
        </is>
      </c>
      <c r="H746" t="inlineStr">
        <is>
          <t>Solved: current place verified and archived 2026-10-16.</t>
        </is>
      </c>
      <c r="I746" t="inlineStr">
        <is>
          <t>Resources</t>
        </is>
      </c>
      <c r="M746" t="inlineStr">
        <is>
          <t>In-game Market for 40 Platinum.</t>
        </is>
      </c>
      <c r="N746" t="inlineStr">
        <is>
          <t>Shawzin | Decorations/Orbiter Decorations | Update 31</t>
        </is>
      </c>
      <c r="O746" t="inlineStr">
        <is>
          <t>We copied where it comes from off the wiki page. See place from wiki page.</t>
        </is>
      </c>
    </row>
    <row r="747">
      <c r="A747" t="inlineStr">
        <is>
          <t>/Lotus/Types/Recipes/Weapons/WeaponParts/NautilusPrimeCarapace</t>
        </is>
      </c>
      <c r="B747" t="inlineStr">
        <is>
          <t>Nautilus Prime Carapace</t>
        </is>
      </c>
      <c r="C747" t="inlineStr">
        <is>
          <t>https://wiki.warframe.com/w/Nautilus/Prime | https://wiki.warframe.com/w/Lith_Y1 | https://wiki.warframe.com/w/Axi_V13 | https://wiki.warframe.com/w/Neo_W2 | https://wiki.warframe.com/w/Lith_L7</t>
        </is>
      </c>
      <c r="D747" t="inlineStr">
        <is>
          <t>ExportResources</t>
        </is>
      </c>
      <c r="F747" t="inlineStr">
        <is>
          <t>Nautilus Prime Carapace</t>
        </is>
      </c>
      <c r="H747" t="inlineStr">
        <is>
          <t>Solved: current place verified and archived 2026-10-16.</t>
        </is>
      </c>
      <c r="I747" t="inlineStr">
        <is>
          <t>Resources</t>
        </is>
      </c>
      <c r="J747" t="inlineStr">
        <is>
          <t>Axi V13 Relic (Common) | Lith A7 Relic (Common) | Lith L7 Relic (Common) | Lith Y1 Relic (Common) | Neo G7 Relic (Common) | Neo P10 Relic (Common) | Neo W2 Relic (Common) | Axi N14 Relic (Uncommon)</t>
        </is>
      </c>
      <c r="K747" t="inlineStr">
        <is>
          <t>Void/data</t>
        </is>
      </c>
      <c r="L747" t="inlineStr">
        <is>
          <t>name</t>
        </is>
      </c>
      <c r="M747" t="inlineStr">
        <is>
          <t>Lith Y1, Axi V13, Neo W2 and Lith L7 relic drops (vaulted; trade only).</t>
        </is>
      </c>
      <c r="N747" t="inlineStr">
        <is>
          <t>Lith Y1 | Axi V13 | Neo W2 | Lith L7</t>
        </is>
      </c>
      <c r="O747" t="inlineStr">
        <is>
          <t>Saved a concrete acquisition place from the official Warframe Wiki. Relic pages list this part in their reward table.</t>
        </is>
      </c>
    </row>
    <row r="748">
      <c r="A748" t="inlineStr">
        <is>
          <t>/Lotus/Types/Recipes/Weapons/WeaponParts/NautilusPrimeCerebrum</t>
        </is>
      </c>
      <c r="B748" t="inlineStr">
        <is>
          <t>Nautilus Prime Cerebrum</t>
        </is>
      </c>
      <c r="C748" t="inlineStr">
        <is>
          <t>https://wiki.warframe.com/w/Nautilus/Prime | https://wiki.warframe.com/w/Axi_N13 | https://wiki.warframe.com/w/Lith_N15 | https://wiki.warframe.com/w/Lith_N16 | https://wiki.warframe.com/w/Lith_N19</t>
        </is>
      </c>
      <c r="D748" t="inlineStr">
        <is>
          <t>ExportResources</t>
        </is>
      </c>
      <c r="F748" t="inlineStr">
        <is>
          <t>Nautilus Prime Cerebrum</t>
        </is>
      </c>
      <c r="H748" t="inlineStr">
        <is>
          <t>Solved: current place verified and archived 2026-10-16.</t>
        </is>
      </c>
      <c r="I748" t="inlineStr">
        <is>
          <t>Resources</t>
        </is>
      </c>
      <c r="J748" t="inlineStr">
        <is>
          <t>Lith N15 Relic (Rare) | Lith N16 Relic (Rare) | Lith N19 Relic (Rare) | Neo N25 Relic (Rare) | Axi N13 Relic (Rare)</t>
        </is>
      </c>
      <c r="K748" t="inlineStr">
        <is>
          <t>Void/data</t>
        </is>
      </c>
      <c r="L748" t="inlineStr">
        <is>
          <t>name</t>
        </is>
      </c>
      <c r="M748" t="inlineStr">
        <is>
          <t>Axi N13, Lith N15, Lith N16 and Lith N19 relic drops (vaulted; trade only).</t>
        </is>
      </c>
      <c r="N748" t="inlineStr">
        <is>
          <t>Axi N13 | Lith N15 | Lith N16 | Lith N19</t>
        </is>
      </c>
      <c r="O748" t="inlineStr">
        <is>
          <t>Saved a concrete acquisition place from the official Warframe Wiki. Relic pages list this part in their reward table.</t>
        </is>
      </c>
    </row>
    <row r="749">
      <c r="A749" t="inlineStr">
        <is>
          <t>/Lotus/Types/Recipes/Weapons/WeaponParts/NautilusPrimeSystems</t>
        </is>
      </c>
      <c r="B749" t="inlineStr">
        <is>
          <t>Nautilus Prime Systems</t>
        </is>
      </c>
      <c r="C749" t="inlineStr">
        <is>
          <t>https://wiki.warframe.com/w/Nautilus/Prime | https://wiki.warframe.com/w/Meso_V11 | https://wiki.warframe.com/w/Lith_Q1 | https://wiki.warframe.com/w/Axi_S16 | https://wiki.warframe.com/w/Lith_Q2</t>
        </is>
      </c>
      <c r="D749" t="inlineStr">
        <is>
          <t>ExportResources</t>
        </is>
      </c>
      <c r="F749" t="inlineStr">
        <is>
          <t>Nautilus Prime Systems</t>
        </is>
      </c>
      <c r="H749" t="inlineStr">
        <is>
          <t>Solved: current place verified and archived 2026-10-16.</t>
        </is>
      </c>
      <c r="I749" t="inlineStr">
        <is>
          <t>Resources</t>
        </is>
      </c>
      <c r="J749" t="inlineStr">
        <is>
          <t>Axi S16 Relic (Uncommon) | Lith Q1 Relic (Uncommon) | Lith Q2 Relic (Uncommon) | Meso A10 Relic (Uncommon) | Neo T10 Relic (Uncommon) | Meso V11 Relic (Uncommon) | Neo H5 Relic (Uncommon)</t>
        </is>
      </c>
      <c r="K749" t="inlineStr">
        <is>
          <t>Void/data</t>
        </is>
      </c>
      <c r="L749" t="inlineStr">
        <is>
          <t>name</t>
        </is>
      </c>
      <c r="M749" t="inlineStr">
        <is>
          <t>Meso V11, Lith Q1, Axi S16 and Lith Q2 relic drops (vaulted; trade only).</t>
        </is>
      </c>
      <c r="N749" t="inlineStr">
        <is>
          <t>Meso V11 | Lith Q1 | Axi S16 | Lith Q2</t>
        </is>
      </c>
      <c r="O749" t="inlineStr">
        <is>
          <t>Saved a concrete acquisition place from the official Warframe Wiki. Relic pages list this part in their reward table.</t>
        </is>
      </c>
    </row>
    <row r="750">
      <c r="A750" t="inlineStr">
        <is>
          <t>/Lotus/Types/Items/ShipDecos/ThanoMechStatue</t>
        </is>
      </c>
      <c r="B750" t="inlineStr">
        <is>
          <t>Necramech Statue</t>
        </is>
      </c>
      <c r="C750" t="inlineStr">
        <is>
          <t>https://wiki.warframe.com/w/Star_Days | https://wiki.warframe.com/w/Nightwave/Nora's_Mix_Volume_2 | https://wiki.warframe.com/w/Decorations/Orbiter_Decorations | https://wiki.warframe.com/w/Orbiter</t>
        </is>
      </c>
      <c r="D750" t="inlineStr">
        <is>
          <t>ExportResources</t>
        </is>
      </c>
      <c r="F750" t="inlineStr">
        <is>
          <t>Necramech Statue</t>
        </is>
      </c>
      <c r="H750" t="inlineStr">
        <is>
          <t>Solved: current place verified and archived 2026-10-16.</t>
        </is>
      </c>
      <c r="I750" t="inlineStr">
        <is>
          <t>Resources</t>
        </is>
      </c>
      <c r="M750" t="inlineStr">
        <is>
          <t>TennoLive 2020 &amp; Nora's Mix Volume 2 reward</t>
        </is>
      </c>
      <c r="N750" t="inlineStr">
        <is>
          <t>Star Days | Nightwave/Nora's Mix Volume 2 | Decorations/Orbiter Decorations | Orbiter</t>
        </is>
      </c>
      <c r="O750" t="inlineStr">
        <is>
          <t>We copied where it comes from off the wiki page. See place from wiki page.</t>
        </is>
      </c>
    </row>
    <row r="751">
      <c r="A751" t="inlineStr">
        <is>
          <t>/Lotus/Types/Items/ShipDecos/LisetPropNecraMechDrone</t>
        </is>
      </c>
      <c r="B751" t="inlineStr">
        <is>
          <t>Necramite</t>
        </is>
      </c>
      <c r="C751" t="inlineStr">
        <is>
          <t>https://wiki.warframe.com/w/Necramite</t>
        </is>
      </c>
      <c r="D751" t="inlineStr">
        <is>
          <t>ExportResources</t>
        </is>
      </c>
      <c r="F751" t="inlineStr">
        <is>
          <t>Necramite</t>
        </is>
      </c>
      <c r="G751" t="inlineStr">
        <is>
          <t>Necramite</t>
        </is>
      </c>
      <c r="H751" t="inlineStr">
        <is>
          <t>Solved: current place verified and archived 2026-10-16.</t>
        </is>
      </c>
      <c r="I751" t="inlineStr">
        <is>
          <t>Resources</t>
        </is>
      </c>
      <c r="J751" t="inlineStr">
        <is>
          <t>Enemies_data, Enemies_data_unaffiliated</t>
        </is>
      </c>
      <c r="K751" t="inlineStr">
        <is>
          <t>name or path</t>
        </is>
      </c>
      <c r="M751" t="inlineStr">
        <is>
          <t>In-game Market for 100 Platinum, or in the Sanctum Supporter Pack.</t>
        </is>
      </c>
      <c r="N751" t="inlineStr">
        <is>
          <t>Necramite</t>
        </is>
      </c>
      <c r="O751" t="inlineStr">
        <is>
          <t>Saved a concrete acquisition place from the official Warframe Wiki.</t>
        </is>
      </c>
    </row>
    <row r="752">
      <c r="A752" t="inlineStr">
        <is>
          <t>/Lotus/Types/Items/ShipDecos/LisetPropLotusMandolin</t>
        </is>
      </c>
      <c r="B752" t="inlineStr">
        <is>
          <t>Nelumbo Shawzin</t>
        </is>
      </c>
      <c r="C752" t="inlineStr">
        <is>
          <t>https://wiki.warframe.com/w/Shawzin | https://wiki.warframe.com/w/Pride_(Event) | https://wiki.warframe.com/w/Decorations/Orbiter_Decorations | https://wiki.warframe.com/w/Emotes</t>
        </is>
      </c>
      <c r="D752" t="inlineStr">
        <is>
          <t>ExportResources</t>
        </is>
      </c>
      <c r="F752" t="inlineStr">
        <is>
          <t>Nelumbo Shawzin</t>
        </is>
      </c>
      <c r="H752" t="inlineStr">
        <is>
          <t>Solved: current place verified and archived 2026-10-16.</t>
        </is>
      </c>
      <c r="I752" t="inlineStr">
        <is>
          <t>Resources</t>
        </is>
      </c>
      <c r="M752" t="inlineStr">
        <is>
          <t>In-game Market for 60 Platinum.</t>
        </is>
      </c>
      <c r="N752" t="inlineStr">
        <is>
          <t>Shawzin | Pride (Event) | Decorations/Orbiter Decorations | Emotes | Update 25</t>
        </is>
      </c>
      <c r="O752" t="inlineStr">
        <is>
          <t>We copied where it comes from off the wiki page. See place from wiki page.</t>
        </is>
      </c>
    </row>
    <row r="753">
      <c r="A753" t="inlineStr">
        <is>
          <t>/Lotus/Types/Game/Projections/T3VoidProjectionProteaIvaraVaultBBronze</t>
        </is>
      </c>
      <c r="B753" t="inlineStr">
        <is>
          <t>Neo O4 Relic</t>
        </is>
      </c>
      <c r="C753" t="inlineStr">
        <is>
          <t>https://wiki.warframe.com/w/Neo_O4</t>
        </is>
      </c>
      <c r="D753" t="inlineStr">
        <is>
          <t>ExportResources</t>
        </is>
      </c>
      <c r="E753" t="inlineStr">
        <is>
          <t>Intact</t>
        </is>
      </c>
      <c r="H753" t="inlineStr">
        <is>
          <t>Solved: current place verified and archived 2026-10-16.</t>
        </is>
      </c>
      <c r="I753" t="inlineStr">
        <is>
          <t>RelicArcane</t>
        </is>
      </c>
      <c r="M753" t="inlineStr">
        <is>
          <t>Vaulted: obtain by trading with other players.</t>
        </is>
      </c>
      <c r="N753" t="inlineStr">
        <is>
          <t>Neo O4</t>
        </is>
      </c>
      <c r="O753" t="inlineStr">
        <is>
          <t>Saved a concrete acquisition place from the official Warframe Wiki. Neo O4 relic page: vaulted.</t>
        </is>
      </c>
    </row>
    <row r="754">
      <c r="A754" t="inlineStr">
        <is>
          <t>/Lotus/Types/Game/Projections/T3VoidProjectionProteaIvaraVaultBGold</t>
        </is>
      </c>
      <c r="B754" t="inlineStr">
        <is>
          <t>Neo O4 Relic</t>
        </is>
      </c>
      <c r="C754" t="inlineStr">
        <is>
          <t>https://wiki.warframe.com/w/Neo_O4</t>
        </is>
      </c>
      <c r="D754" t="inlineStr">
        <is>
          <t>ExportResources</t>
        </is>
      </c>
      <c r="E754" t="inlineStr">
        <is>
          <t>Flawless</t>
        </is>
      </c>
      <c r="H754" t="inlineStr">
        <is>
          <t>Solved: current place verified and archived 2026-10-16.</t>
        </is>
      </c>
      <c r="I754" t="inlineStr">
        <is>
          <t>RelicArcane</t>
        </is>
      </c>
      <c r="M754" t="inlineStr">
        <is>
          <t>Vaulted: obtain by trading with other players.</t>
        </is>
      </c>
      <c r="N754" t="inlineStr">
        <is>
          <t>Neo O4</t>
        </is>
      </c>
      <c r="O754" t="inlineStr">
        <is>
          <t>Saved a concrete acquisition place from the official Warframe Wiki. Neo O4 relic page: vaulted.</t>
        </is>
      </c>
    </row>
    <row r="755">
      <c r="A755" t="inlineStr">
        <is>
          <t>/Lotus/Types/Game/Projections/T3VoidProjectionProteaIvaraVaultBPlatinum</t>
        </is>
      </c>
      <c r="B755" t="inlineStr">
        <is>
          <t>Neo O4 Relic</t>
        </is>
      </c>
      <c r="C755" t="inlineStr">
        <is>
          <t>https://wiki.warframe.com/w/Neo_O4</t>
        </is>
      </c>
      <c r="D755" t="inlineStr">
        <is>
          <t>ExportResources</t>
        </is>
      </c>
      <c r="E755" t="inlineStr">
        <is>
          <t>Radiant</t>
        </is>
      </c>
      <c r="H755" t="inlineStr">
        <is>
          <t>Solved: current place verified and archived 2026-10-16.</t>
        </is>
      </c>
      <c r="I755" t="inlineStr">
        <is>
          <t>RelicArcane</t>
        </is>
      </c>
      <c r="M755" t="inlineStr">
        <is>
          <t>Vaulted: obtain by trading with other players.</t>
        </is>
      </c>
      <c r="N755" t="inlineStr">
        <is>
          <t>Neo O4</t>
        </is>
      </c>
      <c r="O755" t="inlineStr">
        <is>
          <t>Saved a concrete acquisition place from the official Warframe Wiki. Neo O4 relic page: vaulted.</t>
        </is>
      </c>
    </row>
    <row r="756">
      <c r="A756" t="inlineStr">
        <is>
          <t>/Lotus/Types/Game/Projections/T3VoidProjectionProteaIvaraVaultBSilver</t>
        </is>
      </c>
      <c r="B756" t="inlineStr">
        <is>
          <t>Neo O4 Relic</t>
        </is>
      </c>
      <c r="C756" t="inlineStr">
        <is>
          <t>https://wiki.warframe.com/w/Neo_O4</t>
        </is>
      </c>
      <c r="D756" t="inlineStr">
        <is>
          <t>ExportResources</t>
        </is>
      </c>
      <c r="E756" t="inlineStr">
        <is>
          <t>Exceptional</t>
        </is>
      </c>
      <c r="H756" t="inlineStr">
        <is>
          <t>Solved: current place verified and archived 2026-10-16.</t>
        </is>
      </c>
      <c r="I756" t="inlineStr">
        <is>
          <t>RelicArcane</t>
        </is>
      </c>
      <c r="M756" t="inlineStr">
        <is>
          <t>Vaulted: obtain by trading with other players.</t>
        </is>
      </c>
      <c r="N756" t="inlineStr">
        <is>
          <t>Neo O4</t>
        </is>
      </c>
      <c r="O756" t="inlineStr">
        <is>
          <t>Saved a concrete acquisition place from the official Warframe Wiki. Neo O4 relic page: vaulted.</t>
        </is>
      </c>
    </row>
    <row r="757">
      <c r="A757" t="inlineStr">
        <is>
          <t>/Lotus/Types/Game/Projections/T3VoidProjectionProteaIvaraVaultABronze</t>
        </is>
      </c>
      <c r="B757" t="inlineStr">
        <is>
          <t>Neo P11 Relic</t>
        </is>
      </c>
      <c r="C757" t="inlineStr">
        <is>
          <t>https://wiki.warframe.com/w/Neo_P11</t>
        </is>
      </c>
      <c r="D757" t="inlineStr">
        <is>
          <t>ExportResources</t>
        </is>
      </c>
      <c r="E757" t="inlineStr">
        <is>
          <t>Intact</t>
        </is>
      </c>
      <c r="H757" t="inlineStr">
        <is>
          <t>Solved: current place verified and archived 2026-10-16.</t>
        </is>
      </c>
      <c r="I757" t="inlineStr">
        <is>
          <t>RelicArcane</t>
        </is>
      </c>
      <c r="M757" t="inlineStr">
        <is>
          <t>Vaulted: obtain by trading with other players.</t>
        </is>
      </c>
      <c r="N757" t="inlineStr">
        <is>
          <t>Neo P11</t>
        </is>
      </c>
      <c r="O757" t="inlineStr">
        <is>
          <t>Saved a concrete acquisition place from the official Warframe Wiki. Neo P11 relic page: vaulted.</t>
        </is>
      </c>
    </row>
    <row r="758">
      <c r="A758" t="inlineStr">
        <is>
          <t>/Lotus/Types/Game/Projections/T3VoidProjectionProteaIvaraVaultAGold</t>
        </is>
      </c>
      <c r="B758" t="inlineStr">
        <is>
          <t>Neo P11 Relic</t>
        </is>
      </c>
      <c r="C758" t="inlineStr">
        <is>
          <t>https://wiki.warframe.com/w/Neo_P11</t>
        </is>
      </c>
      <c r="D758" t="inlineStr">
        <is>
          <t>ExportResources</t>
        </is>
      </c>
      <c r="E758" t="inlineStr">
        <is>
          <t>Flawless</t>
        </is>
      </c>
      <c r="H758" t="inlineStr">
        <is>
          <t>Solved: current place verified and archived 2026-10-16.</t>
        </is>
      </c>
      <c r="I758" t="inlineStr">
        <is>
          <t>RelicArcane</t>
        </is>
      </c>
      <c r="M758" t="inlineStr">
        <is>
          <t>Vaulted: obtain by trading with other players.</t>
        </is>
      </c>
      <c r="N758" t="inlineStr">
        <is>
          <t>Neo P11</t>
        </is>
      </c>
      <c r="O758" t="inlineStr">
        <is>
          <t>Saved a concrete acquisition place from the official Warframe Wiki. Neo P11 relic page: vaulted.</t>
        </is>
      </c>
    </row>
    <row r="759">
      <c r="A759" t="inlineStr">
        <is>
          <t>/Lotus/Types/Game/Projections/T3VoidProjectionProteaIvaraVaultAPlatinum</t>
        </is>
      </c>
      <c r="B759" t="inlineStr">
        <is>
          <t>Neo P11 Relic</t>
        </is>
      </c>
      <c r="C759" t="inlineStr">
        <is>
          <t>https://wiki.warframe.com/w/Neo_P11</t>
        </is>
      </c>
      <c r="D759" t="inlineStr">
        <is>
          <t>ExportResources</t>
        </is>
      </c>
      <c r="E759" t="inlineStr">
        <is>
          <t>Radiant</t>
        </is>
      </c>
      <c r="H759" t="inlineStr">
        <is>
          <t>Solved: current place verified and archived 2026-10-16.</t>
        </is>
      </c>
      <c r="I759" t="inlineStr">
        <is>
          <t>RelicArcane</t>
        </is>
      </c>
      <c r="M759" t="inlineStr">
        <is>
          <t>Vaulted: obtain by trading with other players.</t>
        </is>
      </c>
      <c r="N759" t="inlineStr">
        <is>
          <t>Neo P11</t>
        </is>
      </c>
      <c r="O759" t="inlineStr">
        <is>
          <t>Saved a concrete acquisition place from the official Warframe Wiki. Neo P11 relic page: vaulted.</t>
        </is>
      </c>
    </row>
    <row r="760">
      <c r="A760" t="inlineStr">
        <is>
          <t>/Lotus/Types/Game/Projections/T3VoidProjectionProteaIvaraVaultASilver</t>
        </is>
      </c>
      <c r="B760" t="inlineStr">
        <is>
          <t>Neo P11 Relic</t>
        </is>
      </c>
      <c r="C760" t="inlineStr">
        <is>
          <t>https://wiki.warframe.com/w/Neo_P11</t>
        </is>
      </c>
      <c r="D760" t="inlineStr">
        <is>
          <t>ExportResources</t>
        </is>
      </c>
      <c r="E760" t="inlineStr">
        <is>
          <t>Exceptional</t>
        </is>
      </c>
      <c r="H760" t="inlineStr">
        <is>
          <t>Solved: current place verified and archived 2026-10-16.</t>
        </is>
      </c>
      <c r="I760" t="inlineStr">
        <is>
          <t>RelicArcane</t>
        </is>
      </c>
      <c r="M760" t="inlineStr">
        <is>
          <t>Vaulted: obtain by trading with other players.</t>
        </is>
      </c>
      <c r="N760" t="inlineStr">
        <is>
          <t>Neo P11</t>
        </is>
      </c>
      <c r="O760" t="inlineStr">
        <is>
          <t>Saved a concrete acquisition place from the official Warframe Wiki. Neo P11 relic page: vaulted.</t>
        </is>
      </c>
    </row>
    <row r="761">
      <c r="A761" t="inlineStr">
        <is>
          <t>/Lotus/Types/Game/Projections/T3VoidProjection</t>
        </is>
      </c>
      <c r="B761" t="inlineStr">
        <is>
          <t>Neo Relic</t>
        </is>
      </c>
      <c r="C761" t="inlineStr">
        <is>
          <t>https://wiki.warframe.com/w/Update_30 | https://wiki.warframe.com/w/Railjack/Patch_History</t>
        </is>
      </c>
      <c r="D761" t="inlineStr">
        <is>
          <t>ExportResources</t>
        </is>
      </c>
      <c r="F761" t="inlineStr">
        <is>
          <t>Neo Relic</t>
        </is>
      </c>
      <c r="H761" t="inlineStr">
        <is>
          <t>Solved: current place verified and archived 2026-10-16.</t>
        </is>
      </c>
      <c r="I761" t="inlineStr">
        <is>
          <t>Resources</t>
        </is>
      </c>
      <c r="M761" t="inlineStr">
        <is>
          <t>Mission reward, mainly from endless Void Fissure missions. Packs of 3 cost 20,000 Standing from syndicates, 50 Platinum in the Market or 15 Steel Essence from Teshin.</t>
        </is>
      </c>
      <c r="N761" t="inlineStr">
        <is>
          <t>Void Relic | Void Fissure</t>
        </is>
      </c>
      <c r="O761" t="inlineStr">
        <is>
          <t>Saved a concrete acquisition place from the official Warframe Wiki. Void Relic page Acquisition section (generic).</t>
        </is>
      </c>
    </row>
    <row r="762">
      <c r="A762" t="inlineStr">
        <is>
          <t>/Lotus/Types/Items/ShipDecos/Events/NeonPrideWings</t>
        </is>
      </c>
      <c r="B762" t="inlineStr">
        <is>
          <t>Neon Pride Wings</t>
        </is>
      </c>
      <c r="C762" t="inlineStr">
        <is>
          <t>https://wiki.warframe.com/w/Pride_(Event) | https://wiki.warframe.com/w/Devstream_180 | https://wiki.warframe.com/w/Decorations/Orbiter_Decorations</t>
        </is>
      </c>
      <c r="D762" t="inlineStr">
        <is>
          <t>ExportResources</t>
        </is>
      </c>
      <c r="F762" t="inlineStr">
        <is>
          <t>Neon Pride Wings</t>
        </is>
      </c>
      <c r="H762" t="inlineStr">
        <is>
          <t>Solved: current place verified and archived 2026-10-16.</t>
        </is>
      </c>
      <c r="I762" t="inlineStr">
        <is>
          <t>Resources</t>
        </is>
      </c>
      <c r="M762" t="inlineStr">
        <is>
          <t>In-game Market for 1 Credit during the Pride event.</t>
        </is>
      </c>
      <c r="N762" t="inlineStr">
        <is>
          <t>Pride (Event) | Devstream 180 | Decorations/Orbiter Decorations</t>
        </is>
      </c>
      <c r="O762" t="inlineStr">
        <is>
          <t>We copied where it comes from off the wiki page. See place from wiki page.</t>
        </is>
      </c>
    </row>
    <row r="763">
      <c r="A763" t="inlineStr">
        <is>
          <t>/Lotus/Types/Items/SongItems/NeotesDanceSongItem</t>
        </is>
      </c>
      <c r="B763" t="inlineStr">
        <is>
          <t>Neote's Dance</t>
        </is>
      </c>
      <c r="C763" t="inlineStr">
        <is>
          <t>https://wiki.warframe.com/w/Ice_Speaker | https://wiki.warframe.com/w/Somachord/Tones | https://wiki.warframe.com/w/Warframe:_Iceblade_of_Narin_(Official_Soundtrack)</t>
        </is>
      </c>
      <c r="D763" t="inlineStr">
        <is>
          <t>ExportResources</t>
        </is>
      </c>
      <c r="F763" t="inlineStr">
        <is>
          <t>Neote's Dance</t>
        </is>
      </c>
      <c r="H763" t="inlineStr">
        <is>
          <t>Solved: current place verified and archived 2026-10-16.</t>
        </is>
      </c>
      <c r="I763" t="inlineStr">
        <is>
          <t>Resources</t>
        </is>
      </c>
      <c r="M763" t="inlineStr">
        <is>
          <t>Somachord Tone from Cephalon Melica for 50 Entropic Kuva.</t>
        </is>
      </c>
      <c r="N763" t="inlineStr">
        <is>
          <t>Ice Speaker | Somachord/Tones | Warframe: Iceblade of Narin (Official Soundtrack)</t>
        </is>
      </c>
      <c r="O763" t="inlineStr">
        <is>
          <t>We copied where it comes from off the wiki page. See place from wiki page.</t>
        </is>
      </c>
    </row>
    <row r="764">
      <c r="A764" t="inlineStr">
        <is>
          <t>/Lotus/Types/Items/MiscItems/PhotoboothTileDuviriMainlandAEast</t>
        </is>
      </c>
      <c r="B764" t="inlineStr">
        <is>
          <t>Netherbarrow Region Scene</t>
        </is>
      </c>
      <c r="C764" t="inlineStr">
        <is>
          <t>https://wiki.warframe.com/w/Acrithis | https://wiki.warframe.com/w/Captura</t>
        </is>
      </c>
      <c r="D764" t="inlineStr">
        <is>
          <t>ExportResources</t>
        </is>
      </c>
      <c r="F764" t="inlineStr">
        <is>
          <t>Netherbarrow Region Scene</t>
        </is>
      </c>
      <c r="H764" t="inlineStr">
        <is>
          <t>Solved: current place verified and archived 2026-10-16.</t>
        </is>
      </c>
      <c r="I764" t="inlineStr">
        <is>
          <t>Resources</t>
        </is>
      </c>
      <c r="L764" t="inlineStr">
        <is>
          <t>Vendors_data</t>
        </is>
      </c>
      <c r="M764" t="inlineStr">
        <is>
          <t>Purchase from Acrithis' rotating Wares in Duviri.</t>
        </is>
      </c>
      <c r="N764" t="inlineStr">
        <is>
          <t>Captura</t>
        </is>
      </c>
      <c r="O764" t="inlineStr">
        <is>
          <t>Saved a concrete acquisition place from the official Warframe Wiki. Captura scene table lists this scene with its acquisition note.</t>
        </is>
      </c>
    </row>
    <row r="765">
      <c r="A765" t="inlineStr">
        <is>
          <t>/Lotus/Types/Items/ShipDecos/ContainerDecoItemSensorArray</t>
        </is>
      </c>
      <c r="B765" t="inlineStr">
        <is>
          <t>Neural Sensor Array Decoration</t>
        </is>
      </c>
      <c r="C765" t="inlineStr">
        <is>
          <t>https://wiki.warframe.com/w/Market/Equipment</t>
        </is>
      </c>
      <c r="D765" t="inlineStr">
        <is>
          <t>ExportResources</t>
        </is>
      </c>
      <c r="F765" t="inlineStr">
        <is>
          <t>Neural Sensor Array Decoration</t>
        </is>
      </c>
      <c r="H765" t="inlineStr">
        <is>
          <t>Solved: current place verified and archived 2026-10-16.</t>
        </is>
      </c>
      <c r="I765" t="inlineStr">
        <is>
          <t>Resources</t>
        </is>
      </c>
      <c r="M765" t="inlineStr">
        <is>
          <t>In-game Market for 20 Platinum.</t>
        </is>
      </c>
      <c r="N765" t="inlineStr">
        <is>
          <t>Market/Equipment</t>
        </is>
      </c>
      <c r="O765" t="inlineStr">
        <is>
          <t>Saved a concrete acquisition place from the official Warframe Wiki. Market/Equipment lists it with a Platinum price.</t>
        </is>
      </c>
    </row>
    <row r="766">
      <c r="A766" t="inlineStr">
        <is>
          <t>/Lotus/Types/Items/ShipDecos/ResourceDecoItemNeuralSensor</t>
        </is>
      </c>
      <c r="B766" t="inlineStr">
        <is>
          <t>Neural Sensor Decoration</t>
        </is>
      </c>
      <c r="C766" t="inlineStr">
        <is>
          <t>https://wiki.warframe.com/w/Market/Equipment</t>
        </is>
      </c>
      <c r="D766" t="inlineStr">
        <is>
          <t>ExportResources</t>
        </is>
      </c>
      <c r="F766" t="inlineStr">
        <is>
          <t>Neural Sensor Decoration</t>
        </is>
      </c>
      <c r="H766" t="inlineStr">
        <is>
          <t>Solved: current place verified and archived 2026-10-16.</t>
        </is>
      </c>
      <c r="I766" t="inlineStr">
        <is>
          <t>Resources</t>
        </is>
      </c>
      <c r="M766" t="inlineStr">
        <is>
          <t>In-game Market for 5 Platinum.</t>
        </is>
      </c>
      <c r="N766" t="inlineStr">
        <is>
          <t>Market/Equipment</t>
        </is>
      </c>
      <c r="O766" t="inlineStr">
        <is>
          <t>Saved a concrete acquisition place from the official Warframe Wiki. Market/Equipment lists it with a Platinum price.</t>
        </is>
      </c>
    </row>
    <row r="767">
      <c r="A767" t="inlineStr">
        <is>
          <t>/Lotus/Types/Items/ShipDecos/ResourceDecoItemNeurodes</t>
        </is>
      </c>
      <c r="B767" t="inlineStr">
        <is>
          <t>Neurode Decoration</t>
        </is>
      </c>
      <c r="C767" t="inlineStr">
        <is>
          <t>https://wiki.warframe.com/w/Market/Equipment</t>
        </is>
      </c>
      <c r="D767" t="inlineStr">
        <is>
          <t>ExportResources</t>
        </is>
      </c>
      <c r="F767" t="inlineStr">
        <is>
          <t>Neurode Decoration</t>
        </is>
      </c>
      <c r="H767" t="inlineStr">
        <is>
          <t>Solved: current place verified and archived 2026-10-16.</t>
        </is>
      </c>
      <c r="I767" t="inlineStr">
        <is>
          <t>Resources</t>
        </is>
      </c>
      <c r="M767" t="inlineStr">
        <is>
          <t>In-game Market for 5 Platinum.</t>
        </is>
      </c>
      <c r="N767" t="inlineStr">
        <is>
          <t>Market/Equipment</t>
        </is>
      </c>
      <c r="O767" t="inlineStr">
        <is>
          <t>Saved a concrete acquisition place from the official Warframe Wiki. Market/Equipment lists it with a Platinum price.</t>
        </is>
      </c>
    </row>
    <row r="768">
      <c r="A768" t="inlineStr">
        <is>
          <t>/Lotus/Types/Items/ShipDecos/ContainerDecoItemNeuropticMass</t>
        </is>
      </c>
      <c r="B768" t="inlineStr">
        <is>
          <t>Neuroptic Mass Decoration</t>
        </is>
      </c>
      <c r="C768" t="inlineStr">
        <is>
          <t>https://wiki.warframe.com/w/Market/Equipment</t>
        </is>
      </c>
      <c r="D768" t="inlineStr">
        <is>
          <t>ExportResources</t>
        </is>
      </c>
      <c r="F768" t="inlineStr">
        <is>
          <t>Neuroptic Mass Decoration</t>
        </is>
      </c>
      <c r="H768" t="inlineStr">
        <is>
          <t>Solved: current place verified and archived 2026-10-16.</t>
        </is>
      </c>
      <c r="I768" t="inlineStr">
        <is>
          <t>Resources</t>
        </is>
      </c>
      <c r="M768" t="inlineStr">
        <is>
          <t>In-game Market for 20 Platinum.</t>
        </is>
      </c>
      <c r="N768" t="inlineStr">
        <is>
          <t>Market/Equipment</t>
        </is>
      </c>
      <c r="O768" t="inlineStr">
        <is>
          <t>Saved a concrete acquisition place from the official Warframe Wiki. Market/Equipment lists it with a Platinum price.</t>
        </is>
      </c>
    </row>
    <row r="769">
      <c r="A769" t="inlineStr">
        <is>
          <t>/Lotus/Types/Items/ShipDecos/TarotCardNezha</t>
        </is>
      </c>
      <c r="B769" t="inlineStr">
        <is>
          <t>Nezha Prex</t>
        </is>
      </c>
      <c r="C769" t="inlineStr">
        <is>
          <t>https://wiki.warframe.com/w/Update_29</t>
        </is>
      </c>
      <c r="D769" t="inlineStr">
        <is>
          <t>ExportResources</t>
        </is>
      </c>
      <c r="F769" t="inlineStr">
        <is>
          <t>Nezha Prex</t>
        </is>
      </c>
      <c r="H769" t="inlineStr">
        <is>
          <t>Solved: current place verified and archived 2026-10-16.</t>
        </is>
      </c>
      <c r="I769" t="inlineStr">
        <is>
          <t>Resources</t>
        </is>
      </c>
      <c r="M769" t="inlineStr">
        <is>
          <t>Hidden pickup in the Leverian; not visible until you've mastered Nezha / Nezha Prime.</t>
        </is>
      </c>
      <c r="N769" t="inlineStr">
        <is>
          <t>Decorations/Orbiter Decorations</t>
        </is>
      </c>
      <c r="O769" t="inlineStr">
        <is>
          <t>Saved a concrete acquisition place from the official Warframe Wiki. Orbiter Decorations Prex table and Prex Locations list.</t>
        </is>
      </c>
    </row>
    <row r="770">
      <c r="A770" t="inlineStr">
        <is>
          <t>/Lotus/Types/Items/Ships/NoraShip</t>
        </is>
      </c>
      <c r="B770" t="inlineStr">
        <is>
          <t>Nightwave</t>
        </is>
      </c>
      <c r="C770" t="inlineStr">
        <is>
          <t>https://wiki.warframe.com/w/Nightwave_(Landing_Craft) | https://wiki.warframe.com/w/Nightwave/Offerings | https://wiki.warframe.com/w/Nightwave/Nora's_Mix_Volume_8</t>
        </is>
      </c>
      <c r="D770" t="inlineStr">
        <is>
          <t>ExportResources</t>
        </is>
      </c>
      <c r="G770" t="inlineStr">
        <is>
          <t>Nightwave (Landing Craft)</t>
        </is>
      </c>
      <c r="H770" t="inlineStr">
        <is>
          <t>Solved: current place verified and archived 2026-10-16.</t>
        </is>
      </c>
      <c r="I770" t="inlineStr">
        <is>
          <t>Resources</t>
        </is>
      </c>
      <c r="J770" t="inlineStr">
        <is>
          <t>Cosmetics_data, Factions_data, Honorias_data, Vendors_data, Version_data</t>
        </is>
      </c>
      <c r="K770" t="inlineStr">
        <is>
          <t>name or path</t>
        </is>
      </c>
      <c r="M770" t="inlineStr">
        <is>
          <t>Purchase the blueprint and each component (Avionics, Engines, Fuselage) from Nightwave Offerings for 35 Nightwave Creds each.</t>
        </is>
      </c>
      <c r="N770" t="inlineStr">
        <is>
          <t>Nightwave (Landing Craft) | Nightwave/Offerings | Nightwave/Nora's Mix Volume 8</t>
        </is>
      </c>
      <c r="O770" t="inlineStr">
        <is>
          <t>Saved a concrete acquisition place from the official Warframe Wiki.</t>
        </is>
      </c>
    </row>
    <row r="771">
      <c r="A771" t="inlineStr">
        <is>
          <t>/Lotus/Types/Items/ShipDecos/LisetPropNoraNightShip</t>
        </is>
      </c>
      <c r="B771" t="inlineStr">
        <is>
          <t>Nightwave Landing Craft Decoration</t>
        </is>
      </c>
      <c r="C771" t="inlineStr">
        <is>
          <t>https://wiki.warframe.com/w/Nightwave/Nora's_Mix_Volume_7 | https://wiki.warframe.com/w/Nightwave/Offerings | https://wiki.warframe.com/w/Nightwave/Nora's_Mix_Volume_2</t>
        </is>
      </c>
      <c r="D771" t="inlineStr">
        <is>
          <t>ExportResources</t>
        </is>
      </c>
      <c r="F771" t="inlineStr">
        <is>
          <t>Nightwave Landing Craft Decoration</t>
        </is>
      </c>
      <c r="H771" t="inlineStr">
        <is>
          <t>Solved: current place verified and archived 2026-10-16.</t>
        </is>
      </c>
      <c r="I771" t="inlineStr">
        <is>
          <t>Resources</t>
        </is>
      </c>
      <c r="M771" t="inlineStr">
        <is>
          <t>Nightwave: Nora's Mix Volume 2 rank 10 reward.</t>
        </is>
      </c>
      <c r="N771" t="inlineStr">
        <is>
          <t>Nightwave/Nora's Mix Volume 7 | Nightwave/Offerings | Nightwave/Nora's Mix Volume 2 | Update 42: The Shadowgrapher</t>
        </is>
      </c>
      <c r="O771" t="inlineStr">
        <is>
          <t>We found more than one answer for where it comes from. Look at place from wiki page — the answers are separated by | — and pick the right one.</t>
        </is>
      </c>
    </row>
    <row r="772">
      <c r="A772" t="inlineStr">
        <is>
          <t>/Lotus/Types/Items/ShipDecos/NoraSeasonFourOrnament</t>
        </is>
      </c>
      <c r="B772" t="inlineStr">
        <is>
          <t>Nightwave Ornament</t>
        </is>
      </c>
      <c r="C772" t="inlineStr">
        <is>
          <t>https://wiki.warframe.com/w/Nightwave/Offerings</t>
        </is>
      </c>
      <c r="D772" t="inlineStr">
        <is>
          <t>ExportResources</t>
        </is>
      </c>
      <c r="F772" t="inlineStr">
        <is>
          <t>Nightwave Ornament</t>
        </is>
      </c>
      <c r="H772" t="inlineStr">
        <is>
          <t>Solved: current place verified and archived 2026-10-16.</t>
        </is>
      </c>
      <c r="I772" t="inlineStr">
        <is>
          <t>Resources</t>
        </is>
      </c>
      <c r="M772" t="inlineStr">
        <is>
          <t>Purchase from Nightwave Offerings for 40 Nightwave Creds.</t>
        </is>
      </c>
      <c r="N772" t="inlineStr">
        <is>
          <t>Nightwave/Offerings | Update 31 | Nightwave/Patch History</t>
        </is>
      </c>
      <c r="O772" t="inlineStr">
        <is>
          <t>We copied where it comes from off the wiki page. See place from wiki page.</t>
        </is>
      </c>
    </row>
    <row r="773">
      <c r="A773" t="inlineStr">
        <is>
          <t>/Lotus/Types/Items/ShipDecos/Nightwave/GlassmakerShipDeco</t>
        </is>
      </c>
      <c r="B773" t="inlineStr">
        <is>
          <t>Nihil's Oubliette</t>
        </is>
      </c>
      <c r="C773" t="inlineStr">
        <is>
          <t>https://wiki.warframe.com/w/Nihil | https://wiki.warframe.com/w/Enter_Nihil's_Oubliette | https://wiki.warframe.com/w/Nightwave/Offerings | https://wiki.warframe.com/w/Riven_Mods</t>
        </is>
      </c>
      <c r="D773" t="inlineStr">
        <is>
          <t>ExportResources</t>
        </is>
      </c>
      <c r="F773" t="inlineStr">
        <is>
          <t>Nihil's Oubliette</t>
        </is>
      </c>
      <c r="H773" t="inlineStr">
        <is>
          <t>Solved: current place verified and archived 2026-10-16.</t>
        </is>
      </c>
      <c r="I773" t="inlineStr">
        <is>
          <t>Resources</t>
        </is>
      </c>
      <c r="L773" t="inlineStr">
        <is>
          <t>DropTables_data, Keys_data, Missions_data, Resources_data, drop_reverse_index_v2</t>
        </is>
      </c>
      <c r="M773" t="inlineStr">
        <is>
          <t>Purchase from Nightwave Offerings for 60 Nightwave Creds.</t>
        </is>
      </c>
      <c r="N773" t="inlineStr">
        <is>
          <t>Nihil | Nihil/Quotes | Enter Nihil's Oubliette | Nightwave/Offerings | Riven Mods</t>
        </is>
      </c>
      <c r="O773" t="inlineStr">
        <is>
          <t>We copied where it comes from off the wiki page. See place from wiki page.</t>
        </is>
      </c>
    </row>
    <row r="774">
      <c r="A774" t="inlineStr">
        <is>
          <t>/Lotus/Types/Items/ShipDecos/Plants/LisetPropNistlebrush</t>
        </is>
      </c>
      <c r="B774" t="inlineStr">
        <is>
          <t>Nistlebrush Decoration</t>
        </is>
      </c>
      <c r="C774" t="inlineStr">
        <is>
          <t>https://wiki.warframe.com/w/Ostron | https://wiki.warframe.com/w/Decorations/Orbiter_Decorations</t>
        </is>
      </c>
      <c r="D774" t="inlineStr">
        <is>
          <t>ExportResources</t>
        </is>
      </c>
      <c r="F774" t="inlineStr">
        <is>
          <t>Nistlebrush Decoration</t>
        </is>
      </c>
      <c r="H774" t="inlineStr">
        <is>
          <t>Solved: current place verified and archived 2026-10-16.</t>
        </is>
      </c>
      <c r="I774" t="inlineStr">
        <is>
          <t>Resources</t>
        </is>
      </c>
      <c r="M774" t="inlineStr">
        <is>
          <t>Purchase from Old Man Suumbaat for 10,000 Standing (Ostron Rank 4: Surah).</t>
        </is>
      </c>
      <c r="N774" t="inlineStr">
        <is>
          <t>Ostron | Decorations/Orbiter Decorations</t>
        </is>
      </c>
      <c r="O774" t="inlineStr">
        <is>
          <t>We copied where it comes from off the wiki page. See place from wiki page.</t>
        </is>
      </c>
    </row>
    <row r="775">
      <c r="A775" t="inlineStr">
        <is>
          <t>/Lotus/Types/Items/ShipDecos/Events/StatueNitokh</t>
        </is>
      </c>
      <c r="B775" t="inlineStr">
        <is>
          <t>Nitokh Statue</t>
        </is>
      </c>
      <c r="C775" t="inlineStr">
        <is>
          <t>https://wiki.warframe.com/w/Operation:_Atramentum | https://wiki.warframe.com/w/Decorations/Orbiter_Decorations</t>
        </is>
      </c>
      <c r="D775" t="inlineStr">
        <is>
          <t>ExportResources</t>
        </is>
      </c>
      <c r="F775" t="inlineStr">
        <is>
          <t>Nitokh Statue</t>
        </is>
      </c>
      <c r="H775" t="inlineStr">
        <is>
          <t>Solved: current place verified and archived 2026-10-16.</t>
        </is>
      </c>
      <c r="I775" t="inlineStr">
        <is>
          <t>Resources</t>
        </is>
      </c>
      <c r="M775" t="inlineStr">
        <is>
          <t>Purchase from the Operation: Atramentum offerings for 40 Nightmare Tatters.</t>
        </is>
      </c>
      <c r="N775" t="inlineStr">
        <is>
          <t>Operation: Atramentum | Decorations/Orbiter Decorations</t>
        </is>
      </c>
      <c r="O775" t="inlineStr">
        <is>
          <t>We copied where it comes from off the wiki page. See place from wiki page.</t>
        </is>
      </c>
    </row>
    <row r="776">
      <c r="A776" t="inlineStr">
        <is>
          <t>/Lotus/Types/Items/ShipDecos/EntratiLabs/PagemasterOwl</t>
        </is>
      </c>
      <c r="B776" t="inlineStr">
        <is>
          <t>Noctua's Paragrimm</t>
        </is>
      </c>
      <c r="C776" t="inlineStr">
        <is>
          <t>https://wiki.warframe.com/w/Dante_Cantist_Helmet | https://wiki.warframe.com/w/Dante_Collection | https://wiki.warframe.com/w/Decorations/Orbiter_Decorations</t>
        </is>
      </c>
      <c r="D776" t="inlineStr">
        <is>
          <t>ExportResources</t>
        </is>
      </c>
      <c r="F776" t="inlineStr">
        <is>
          <t>Noctua's Paragrimm</t>
        </is>
      </c>
      <c r="H776" t="inlineStr">
        <is>
          <t>Solved: current place verified and archived 2026-10-16.</t>
        </is>
      </c>
      <c r="I776" t="inlineStr">
        <is>
          <t>Resources</t>
        </is>
      </c>
      <c r="M776" t="inlineStr">
        <is>
          <t>In-game Market for 75 Platinum, or in the Dante Collection.</t>
        </is>
      </c>
      <c r="N776" t="inlineStr">
        <is>
          <t>Dante Cantist Helmet | Dante Collection | Decorations/Orbiter Decorations</t>
        </is>
      </c>
      <c r="O776" t="inlineStr">
        <is>
          <t>We found more than one answer for where it comes from. Look at place from wiki page — the answers are separated by | — and pick the right one.</t>
        </is>
      </c>
    </row>
    <row r="777">
      <c r="A777" t="inlineStr">
        <is>
          <t>/Lotus/Types/Items/ShipDecos/CCTeamDOspreyBobbleHead</t>
        </is>
      </c>
      <c r="B777" t="inlineStr">
        <is>
          <t>Noggle Statue - 002-ER</t>
        </is>
      </c>
      <c r="C777" t="inlineStr">
        <is>
          <t>https://wiki.warframe.com/w/Market/Equipment</t>
        </is>
      </c>
      <c r="D777" t="inlineStr">
        <is>
          <t>ExportResources</t>
        </is>
      </c>
      <c r="F777" t="inlineStr">
        <is>
          <t>Noggle Statue - 002-ER</t>
        </is>
      </c>
      <c r="H777" t="inlineStr">
        <is>
          <t>Solved: current place verified and archived 2026-10-16.</t>
        </is>
      </c>
      <c r="I777" t="inlineStr">
        <is>
          <t>Resources</t>
        </is>
      </c>
      <c r="M777" t="inlineStr">
        <is>
          <t>In-game Market for 35 Platinum.</t>
        </is>
      </c>
      <c r="N777" t="inlineStr">
        <is>
          <t>Market/Equipment</t>
        </is>
      </c>
      <c r="O777" t="inlineStr">
        <is>
          <t>Saved a concrete acquisition place from the official Warframe Wiki. Market/Equipment lists it with a Platinum price.</t>
        </is>
      </c>
    </row>
    <row r="778">
      <c r="A778" t="inlineStr">
        <is>
          <t>/Lotus/Types/Items/ShipDecos/AladVBobbleHead</t>
        </is>
      </c>
      <c r="B778" t="inlineStr">
        <is>
          <t>Noggle Statue - Alad V</t>
        </is>
      </c>
      <c r="C778" t="inlineStr">
        <is>
          <t>https://wiki.warframe.com/w/Market/Equipment</t>
        </is>
      </c>
      <c r="D778" t="inlineStr">
        <is>
          <t>ExportResources</t>
        </is>
      </c>
      <c r="F778" t="inlineStr">
        <is>
          <t>Noggle Statue - Alad V</t>
        </is>
      </c>
      <c r="H778" t="inlineStr">
        <is>
          <t>Solved: current place verified and archived 2026-10-16.</t>
        </is>
      </c>
      <c r="I778" t="inlineStr">
        <is>
          <t>Resources</t>
        </is>
      </c>
      <c r="M778" t="inlineStr">
        <is>
          <t>In-game Market for 35 Platinum.</t>
        </is>
      </c>
      <c r="N778" t="inlineStr">
        <is>
          <t>Market/Equipment</t>
        </is>
      </c>
      <c r="O778" t="inlineStr">
        <is>
          <t>Saved a concrete acquisition place from the official Warframe Wiki. Market/Equipment lists it with a Platinum price.</t>
        </is>
      </c>
    </row>
    <row r="779">
      <c r="A779" t="inlineStr">
        <is>
          <t>/Lotus/Types/Items/ShipDecos/CaliberChicksAnnaKiBobbleHead</t>
        </is>
      </c>
      <c r="B779" t="inlineStr">
        <is>
          <t>Noggle Statue - Anna Ki</t>
        </is>
      </c>
      <c r="C779" t="inlineStr">
        <is>
          <t>https://wiki.warframe.com/w/Caliber_Chicks_Collection</t>
        </is>
      </c>
      <c r="D779" t="inlineStr">
        <is>
          <t>ExportResources</t>
        </is>
      </c>
      <c r="F779" t="inlineStr">
        <is>
          <t>Noggle Statue - Anna Ki</t>
        </is>
      </c>
      <c r="H779" t="inlineStr">
        <is>
          <t>Solved: current place verified and archived 2026-10-16.</t>
        </is>
      </c>
      <c r="I779" t="inlineStr">
        <is>
          <t>Resources</t>
        </is>
      </c>
      <c r="M779" t="inlineStr">
        <is>
          <t>In-game Market for 35 Platinum.</t>
        </is>
      </c>
      <c r="N779" t="inlineStr">
        <is>
          <t>Caliber Chicks Collection | Update 38</t>
        </is>
      </c>
      <c r="O779" t="inlineStr">
        <is>
          <t>We copied where it comes from off the wiki page. See place from wiki page.</t>
        </is>
      </c>
    </row>
    <row r="780">
      <c r="A780" t="inlineStr">
        <is>
          <t>/Lotus/Types/Items/ShipDecos/GrineerMarineAltDesertBobbleHead</t>
        </is>
      </c>
      <c r="B780" t="inlineStr">
        <is>
          <t>Noggle Statue - Arid Seeker</t>
        </is>
      </c>
      <c r="C780" t="inlineStr">
        <is>
          <t>https://wiki.warframe.com/w/Market/Equipment</t>
        </is>
      </c>
      <c r="D780" t="inlineStr">
        <is>
          <t>ExportResources</t>
        </is>
      </c>
      <c r="F780" t="inlineStr">
        <is>
          <t>Noggle Statue - Arid Seeker</t>
        </is>
      </c>
      <c r="H780" t="inlineStr">
        <is>
          <t>Solved: current place verified and archived 2026-10-16.</t>
        </is>
      </c>
      <c r="I780" t="inlineStr">
        <is>
          <t>Resources</t>
        </is>
      </c>
      <c r="M780" t="inlineStr">
        <is>
          <t>In-game Market for 35 Platinum.</t>
        </is>
      </c>
      <c r="N780" t="inlineStr">
        <is>
          <t>Market/Equipment</t>
        </is>
      </c>
      <c r="O780" t="inlineStr">
        <is>
          <t>Saved a concrete acquisition place from the official Warframe Wiki. Market/Equipment lists it with a Platinum price.</t>
        </is>
      </c>
    </row>
    <row r="781">
      <c r="A781" t="inlineStr">
        <is>
          <t>/Lotus/Types/Items/ShipDecos/ArloBobbleHead</t>
        </is>
      </c>
      <c r="B781" t="inlineStr">
        <is>
          <t>Noggle Statue - Arlo</t>
        </is>
      </c>
      <c r="C781" t="inlineStr">
        <is>
          <t>https://wiki.warframe.com/w/Nights_of_Naberus</t>
        </is>
      </c>
      <c r="D781" t="inlineStr">
        <is>
          <t>ExportResources</t>
        </is>
      </c>
      <c r="F781" t="inlineStr">
        <is>
          <t>Noggle Statue - Arlo</t>
        </is>
      </c>
      <c r="H781" t="inlineStr">
        <is>
          <t>Solved: current place verified and archived 2026-10-16.</t>
        </is>
      </c>
      <c r="I781" t="inlineStr">
        <is>
          <t>Resources</t>
        </is>
      </c>
      <c r="M781" t="inlineStr">
        <is>
          <t>Purchase from Daughter for 25 Mother Tokens during Nights of Naberus.</t>
        </is>
      </c>
      <c r="N781" t="inlineStr">
        <is>
          <t>Nights of Naberus</t>
        </is>
      </c>
      <c r="O781" t="inlineStr">
        <is>
          <t>We copied where it comes from off the wiki page. See place from wiki page.</t>
        </is>
      </c>
    </row>
    <row r="782">
      <c r="A782" t="inlineStr">
        <is>
          <t>/Lotus/Types/Items/ShipDecos/CCTeamDBusterABobbleHead</t>
        </is>
      </c>
      <c r="B782" t="inlineStr">
        <is>
          <t>Noggle Statue - Armis Ulta</t>
        </is>
      </c>
      <c r="C782" t="inlineStr">
        <is>
          <t>https://wiki.warframe.com/w/Market/Equipment</t>
        </is>
      </c>
      <c r="D782" t="inlineStr">
        <is>
          <t>ExportResources</t>
        </is>
      </c>
      <c r="F782" t="inlineStr">
        <is>
          <t>Noggle Statue - Armis Ulta</t>
        </is>
      </c>
      <c r="H782" t="inlineStr">
        <is>
          <t>Solved: current place verified and archived 2026-10-16.</t>
        </is>
      </c>
      <c r="I782" t="inlineStr">
        <is>
          <t>Resources</t>
        </is>
      </c>
      <c r="M782" t="inlineStr">
        <is>
          <t>In-game Market for 35 Platinum.</t>
        </is>
      </c>
      <c r="N782" t="inlineStr">
        <is>
          <t>Market/Equipment</t>
        </is>
      </c>
      <c r="O782" t="inlineStr">
        <is>
          <t>Saved a concrete acquisition place from the official Warframe Wiki. Market/Equipment lists it with a Platinum price.</t>
        </is>
      </c>
    </row>
    <row r="783">
      <c r="A783" t="inlineStr">
        <is>
          <t>/Lotus/Types/Items/ShipDecos/AshBobbleHead</t>
        </is>
      </c>
      <c r="B783" t="inlineStr">
        <is>
          <t>Noggle Statue - Ash</t>
        </is>
      </c>
      <c r="C783" t="inlineStr">
        <is>
          <t>https://wiki.warframe.com/w/Market/Equipment</t>
        </is>
      </c>
      <c r="D783" t="inlineStr">
        <is>
          <t>ExportResources</t>
        </is>
      </c>
      <c r="F783" t="inlineStr">
        <is>
          <t>Noggle Statue - Ash</t>
        </is>
      </c>
      <c r="H783" t="inlineStr">
        <is>
          <t>Solved: current place verified and archived 2026-10-16.</t>
        </is>
      </c>
      <c r="I783" t="inlineStr">
        <is>
          <t>Resources</t>
        </is>
      </c>
      <c r="M783" t="inlineStr">
        <is>
          <t>In-game Market for 35 Platinum.</t>
        </is>
      </c>
      <c r="N783" t="inlineStr">
        <is>
          <t>Market/Equipment</t>
        </is>
      </c>
      <c r="O783" t="inlineStr">
        <is>
          <t>Saved a concrete acquisition place from the official Warframe Wiki. Market/Equipment lists it with a Platinum price.</t>
        </is>
      </c>
    </row>
    <row r="784">
      <c r="A784" t="inlineStr">
        <is>
          <t>/Lotus/Types/Items/ShipDecos/AtlasBobbleHead</t>
        </is>
      </c>
      <c r="B784" t="inlineStr">
        <is>
          <t>Noggle Statue - Atlas</t>
        </is>
      </c>
      <c r="D784" t="inlineStr">
        <is>
          <t>ExportResources</t>
        </is>
      </c>
      <c r="F784" t="inlineStr">
        <is>
          <t>Noggle Statue - Atlas</t>
        </is>
      </c>
      <c r="H784" t="inlineStr">
        <is>
          <t>Solved: current place verified and archived 2026-10-16.</t>
        </is>
      </c>
      <c r="I784" t="inlineStr">
        <is>
          <t>Resources</t>
        </is>
      </c>
      <c r="M784" t="inlineStr">
        <is>
          <t>In-game Market for 35 Platinum.</t>
        </is>
      </c>
      <c r="O784" t="inlineStr">
        <is>
          <t>No wiki page uses this exact name.</t>
        </is>
      </c>
    </row>
    <row r="785">
      <c r="A785" t="inlineStr">
        <is>
          <t>/Lotus/Types/Items/ShipDecos/CCTeamBRiotMoaBobbleHead</t>
        </is>
      </c>
      <c r="B785" t="inlineStr">
        <is>
          <t>Noggle Statue - Auditor</t>
        </is>
      </c>
      <c r="C785" t="inlineStr">
        <is>
          <t>https://wiki.warframe.com/w/Market/Equipment</t>
        </is>
      </c>
      <c r="D785" t="inlineStr">
        <is>
          <t>ExportResources</t>
        </is>
      </c>
      <c r="F785" t="inlineStr">
        <is>
          <t>Noggle Statue - Auditor</t>
        </is>
      </c>
      <c r="H785" t="inlineStr">
        <is>
          <t>Solved: current place verified and archived 2026-10-16.</t>
        </is>
      </c>
      <c r="I785" t="inlineStr">
        <is>
          <t>Resources</t>
        </is>
      </c>
      <c r="M785" t="inlineStr">
        <is>
          <t>In-game Market for 35 Platinum.</t>
        </is>
      </c>
      <c r="N785" t="inlineStr">
        <is>
          <t>Market/Equipment</t>
        </is>
      </c>
      <c r="O785" t="inlineStr">
        <is>
          <t>Saved a concrete acquisition place from the official Warframe Wiki. Market/Equipment lists it with a Platinum price.</t>
        </is>
      </c>
    </row>
    <row r="786">
      <c r="A786" t="inlineStr">
        <is>
          <t>/Lotus/Types/Items/ShipDecos/CCTeamBHyenaBobbleHead</t>
        </is>
      </c>
      <c r="B786" t="inlineStr">
        <is>
          <t>Noggle Statue - Azoth</t>
        </is>
      </c>
      <c r="C786" t="inlineStr">
        <is>
          <t>https://wiki.warframe.com/w/Market/Equipment</t>
        </is>
      </c>
      <c r="D786" t="inlineStr">
        <is>
          <t>ExportResources</t>
        </is>
      </c>
      <c r="F786" t="inlineStr">
        <is>
          <t>Noggle Statue - Azoth</t>
        </is>
      </c>
      <c r="H786" t="inlineStr">
        <is>
          <t>Solved: current place verified and archived 2026-10-16.</t>
        </is>
      </c>
      <c r="I786" t="inlineStr">
        <is>
          <t>Resources</t>
        </is>
      </c>
      <c r="M786" t="inlineStr">
        <is>
          <t>In-game Market for 35 Platinum.</t>
        </is>
      </c>
      <c r="N786" t="inlineStr">
        <is>
          <t>Market/Equipment</t>
        </is>
      </c>
      <c r="O786" t="inlineStr">
        <is>
          <t>Saved a concrete acquisition place from the official Warframe Wiki. Market/Equipment lists it with a Platinum price.</t>
        </is>
      </c>
    </row>
    <row r="787">
      <c r="A787" t="inlineStr">
        <is>
          <t>/Lotus/Types/Items/ShipDecos/BansheeBobbleHead</t>
        </is>
      </c>
      <c r="B787" t="inlineStr">
        <is>
          <t>Noggle Statue - Banshee</t>
        </is>
      </c>
      <c r="C787" t="inlineStr">
        <is>
          <t>https://wiki.warframe.com/w/Market/Equipment</t>
        </is>
      </c>
      <c r="D787" t="inlineStr">
        <is>
          <t>ExportResources</t>
        </is>
      </c>
      <c r="F787" t="inlineStr">
        <is>
          <t>Noggle Statue - Banshee</t>
        </is>
      </c>
      <c r="H787" t="inlineStr">
        <is>
          <t>Solved: current place verified and archived 2026-10-16.</t>
        </is>
      </c>
      <c r="I787" t="inlineStr">
        <is>
          <t>Resources</t>
        </is>
      </c>
      <c r="M787" t="inlineStr">
        <is>
          <t>In-game Market for 35 Platinum.</t>
        </is>
      </c>
      <c r="N787" t="inlineStr">
        <is>
          <t>Market/Equipment</t>
        </is>
      </c>
      <c r="O787" t="inlineStr">
        <is>
          <t>Saved a concrete acquisition place from the official Warframe Wiki. Market/Equipment lists it with a Platinum price.</t>
        </is>
      </c>
    </row>
    <row r="788">
      <c r="A788" t="inlineStr">
        <is>
          <t>/Lotus/Types/Items/ShipDecos/BaruukAltBobbleHead</t>
        </is>
      </c>
      <c r="B788" t="inlineStr">
        <is>
          <t>Noggle Statue - Baruuk</t>
        </is>
      </c>
      <c r="D788" t="inlineStr">
        <is>
          <t>ExportResources</t>
        </is>
      </c>
      <c r="F788" t="inlineStr">
        <is>
          <t>Noggle Statue - Baruuk</t>
        </is>
      </c>
      <c r="H788" t="inlineStr">
        <is>
          <t>Solved: current place verified and archived 2026-10-16.</t>
        </is>
      </c>
      <c r="I788" t="inlineStr">
        <is>
          <t>Resources</t>
        </is>
      </c>
      <c r="M788" t="inlineStr">
        <is>
          <t>In-game Market for 35 Platinum.</t>
        </is>
      </c>
      <c r="O788" t="inlineStr">
        <is>
          <t>No wiki page uses this exact name.</t>
        </is>
      </c>
    </row>
    <row r="789">
      <c r="A789" t="inlineStr">
        <is>
          <t>/Lotus/Types/Items/ShipDecos/BaruukBobbleHead</t>
        </is>
      </c>
      <c r="B789" t="inlineStr">
        <is>
          <t>Noggle Statue - Baruuk Meroe</t>
        </is>
      </c>
      <c r="D789" t="inlineStr">
        <is>
          <t>ExportResources</t>
        </is>
      </c>
      <c r="F789" t="inlineStr">
        <is>
          <t>Noggle Statue - Baruuk Meroe</t>
        </is>
      </c>
      <c r="H789" t="inlineStr">
        <is>
          <t>Solved: current place verified and archived 2026-10-16.</t>
        </is>
      </c>
      <c r="I789" t="inlineStr">
        <is>
          <t>Resources</t>
        </is>
      </c>
      <c r="M789" t="inlineStr">
        <is>
          <t>In-game Market for 35 Platinum.</t>
        </is>
      </c>
      <c r="O789" t="inlineStr">
        <is>
          <t>No wiki page uses this exact name.</t>
        </is>
      </c>
    </row>
    <row r="790">
      <c r="A790" t="inlineStr">
        <is>
          <t>/Lotus/Types/Items/ShipDecos/CalibanBobbleHead</t>
        </is>
      </c>
      <c r="B790" t="inlineStr">
        <is>
          <t>Noggle Statue - Caliban</t>
        </is>
      </c>
      <c r="D790" t="inlineStr">
        <is>
          <t>ExportResources</t>
        </is>
      </c>
      <c r="F790" t="inlineStr">
        <is>
          <t>Noggle Statue - Caliban</t>
        </is>
      </c>
      <c r="H790" t="inlineStr">
        <is>
          <t>Solved: current place verified and archived 2026-10-16.</t>
        </is>
      </c>
      <c r="I790" t="inlineStr">
        <is>
          <t>Resources</t>
        </is>
      </c>
      <c r="M790" t="inlineStr">
        <is>
          <t>In-game Market for 35 Platinum.</t>
        </is>
      </c>
      <c r="O790" t="inlineStr">
        <is>
          <t>No wiki page uses this exact name.</t>
        </is>
      </c>
    </row>
    <row r="791">
      <c r="A791" t="inlineStr">
        <is>
          <t>/Lotus/Types/Items/ShipDecos/ChromaBobbleHead</t>
        </is>
      </c>
      <c r="B791" t="inlineStr">
        <is>
          <t>Noggle Statue - Chroma</t>
        </is>
      </c>
      <c r="D791" t="inlineStr">
        <is>
          <t>ExportResources</t>
        </is>
      </c>
      <c r="F791" t="inlineStr">
        <is>
          <t>Noggle Statue - Chroma</t>
        </is>
      </c>
      <c r="H791" t="inlineStr">
        <is>
          <t>Solved: current place verified and archived 2026-10-16.</t>
        </is>
      </c>
      <c r="I791" t="inlineStr">
        <is>
          <t>Resources</t>
        </is>
      </c>
      <c r="M791" t="inlineStr">
        <is>
          <t>In-game Market for 35 Platinum.</t>
        </is>
      </c>
      <c r="O791" t="inlineStr">
        <is>
          <t>No wiki page uses this exact name.</t>
        </is>
      </c>
    </row>
    <row r="792">
      <c r="A792" t="inlineStr">
        <is>
          <t>/Lotus/Types/Items/ShipDecos/ClemBobbleHead</t>
        </is>
      </c>
      <c r="B792" t="inlineStr">
        <is>
          <t>Noggle Statue - Clem</t>
        </is>
      </c>
      <c r="C792" t="inlineStr">
        <is>
          <t>https://wiki.warframe.com/w/Market/Equipment</t>
        </is>
      </c>
      <c r="D792" t="inlineStr">
        <is>
          <t>ExportResources</t>
        </is>
      </c>
      <c r="F792" t="inlineStr">
        <is>
          <t>Noggle Statue - Clem</t>
        </is>
      </c>
      <c r="H792" t="inlineStr">
        <is>
          <t>Solved: current place verified and archived 2026-10-16.</t>
        </is>
      </c>
      <c r="I792" t="inlineStr">
        <is>
          <t>Resources</t>
        </is>
      </c>
      <c r="M792" t="inlineStr">
        <is>
          <t>In-game Market for 35 Platinum.</t>
        </is>
      </c>
      <c r="N792" t="inlineStr">
        <is>
          <t>Market/Equipment</t>
        </is>
      </c>
      <c r="O792" t="inlineStr">
        <is>
          <t>Saved a concrete acquisition place from the official Warframe Wiki. Market/Equipment lists it with a Platinum price.</t>
        </is>
      </c>
    </row>
    <row r="793">
      <c r="A793" t="inlineStr">
        <is>
          <t>/Lotus/Types/Items/ShipDecos/CCTeamCHackerBobbleHead</t>
        </is>
      </c>
      <c r="B793" t="inlineStr">
        <is>
          <t>Noggle Statue - Derim Zahn</t>
        </is>
      </c>
      <c r="C793" t="inlineStr">
        <is>
          <t>https://wiki.warframe.com/w/Market/Equipment</t>
        </is>
      </c>
      <c r="D793" t="inlineStr">
        <is>
          <t>ExportResources</t>
        </is>
      </c>
      <c r="F793" t="inlineStr">
        <is>
          <t>Noggle Statue - Derim Zahn</t>
        </is>
      </c>
      <c r="H793" t="inlineStr">
        <is>
          <t>Solved: current place verified and archived 2026-10-16.</t>
        </is>
      </c>
      <c r="I793" t="inlineStr">
        <is>
          <t>Resources</t>
        </is>
      </c>
      <c r="M793" t="inlineStr">
        <is>
          <t>In-game Market for 35 Platinum.</t>
        </is>
      </c>
      <c r="N793" t="inlineStr">
        <is>
          <t>Market/Equipment</t>
        </is>
      </c>
      <c r="O793" t="inlineStr">
        <is>
          <t>Saved a concrete acquisition place from the official Warframe Wiki. Market/Equipment lists it with a Platinum price.</t>
        </is>
      </c>
    </row>
    <row r="794">
      <c r="A794" t="inlineStr">
        <is>
          <t>/Lotus/Types/Items/ShipDecos/Events/WFHeavyBobbleHead</t>
        </is>
      </c>
      <c r="B794" t="inlineStr">
        <is>
          <t>Noggle Statue - Dog Days Executioner Dhurnam</t>
        </is>
      </c>
      <c r="C794" t="inlineStr">
        <is>
          <t>https://wiki.warframe.com/w/Dog_Days_Noggle_Pack</t>
        </is>
      </c>
      <c r="D794" t="inlineStr">
        <is>
          <t>ExportResources</t>
        </is>
      </c>
      <c r="F794" t="inlineStr">
        <is>
          <t>Noggle Statue - Dog Days Executioner Dhurnam</t>
        </is>
      </c>
      <c r="H794" t="inlineStr">
        <is>
          <t>Solved: current place verified and archived 2026-10-16.</t>
        </is>
      </c>
      <c r="I794" t="inlineStr">
        <is>
          <t>Resources</t>
        </is>
      </c>
      <c r="M794" t="inlineStr">
        <is>
          <t>In-game Market for 35 Platinum.</t>
        </is>
      </c>
      <c r="N794" t="inlineStr">
        <is>
          <t>Dog Days Noggle Pack</t>
        </is>
      </c>
      <c r="O794" t="inlineStr">
        <is>
          <t>We copied where it comes from off the wiki page. See place from wiki page.</t>
        </is>
      </c>
    </row>
    <row r="795">
      <c r="A795" t="inlineStr">
        <is>
          <t>/Lotus/Types/Items/ShipDecos/Events/WFHealerBobbleHead</t>
        </is>
      </c>
      <c r="B795" t="inlineStr">
        <is>
          <t>Noggle Statue - Dog Days Executioner Dok Thul</t>
        </is>
      </c>
      <c r="C795" t="inlineStr">
        <is>
          <t>https://wiki.warframe.com/w/Dog_Days_Noggle_Pack</t>
        </is>
      </c>
      <c r="D795" t="inlineStr">
        <is>
          <t>ExportResources</t>
        </is>
      </c>
      <c r="F795" t="inlineStr">
        <is>
          <t>Noggle Statue - Dog Days Executioner Dok Thul</t>
        </is>
      </c>
      <c r="H795" t="inlineStr">
        <is>
          <t>Solved: current place verified and archived 2026-10-16.</t>
        </is>
      </c>
      <c r="I795" t="inlineStr">
        <is>
          <t>Resources</t>
        </is>
      </c>
      <c r="M795" t="inlineStr">
        <is>
          <t>In-game Market for 35 Platinum.</t>
        </is>
      </c>
      <c r="N795" t="inlineStr">
        <is>
          <t>Dog Days Noggle Pack</t>
        </is>
      </c>
      <c r="O795" t="inlineStr">
        <is>
          <t>We copied where it comes from off the wiki page. See place from wiki page.</t>
        </is>
      </c>
    </row>
    <row r="796">
      <c r="A796" t="inlineStr">
        <is>
          <t>/Lotus/Types/Items/ShipDecos/Events/WFChargerBobbleHead</t>
        </is>
      </c>
      <c r="B796" t="inlineStr">
        <is>
          <t>Noggle Statue - Dog Days Executioner Garesh</t>
        </is>
      </c>
      <c r="C796" t="inlineStr">
        <is>
          <t>https://wiki.warframe.com/w/Dog_Days_Noggle_Pack</t>
        </is>
      </c>
      <c r="D796" t="inlineStr">
        <is>
          <t>ExportResources</t>
        </is>
      </c>
      <c r="F796" t="inlineStr">
        <is>
          <t>Noggle Statue - Dog Days Executioner Garesh</t>
        </is>
      </c>
      <c r="H796" t="inlineStr">
        <is>
          <t>Solved: current place verified and archived 2026-10-16.</t>
        </is>
      </c>
      <c r="I796" t="inlineStr">
        <is>
          <t>Resources</t>
        </is>
      </c>
      <c r="M796" t="inlineStr">
        <is>
          <t>In-game Market for 35 Platinum.</t>
        </is>
      </c>
      <c r="N796" t="inlineStr">
        <is>
          <t>Dog Days Noggle Pack</t>
        </is>
      </c>
      <c r="O796" t="inlineStr">
        <is>
          <t>We copied where it comes from off the wiki page. See place from wiki page.</t>
        </is>
      </c>
    </row>
    <row r="797">
      <c r="A797" t="inlineStr">
        <is>
          <t>/Lotus/Types/Items/ShipDecos/Events/WFTankBobbleHead</t>
        </is>
      </c>
      <c r="B797" t="inlineStr">
        <is>
          <t>Noggle Statue - Dog Days Executioner Gorth</t>
        </is>
      </c>
      <c r="C797" t="inlineStr">
        <is>
          <t>https://wiki.warframe.com/w/Dog_Days_Noggle_Pack</t>
        </is>
      </c>
      <c r="D797" t="inlineStr">
        <is>
          <t>ExportResources</t>
        </is>
      </c>
      <c r="F797" t="inlineStr">
        <is>
          <t>Noggle Statue - Dog Days Executioner Gorth</t>
        </is>
      </c>
      <c r="H797" t="inlineStr">
        <is>
          <t>Solved: current place verified and archived 2026-10-16.</t>
        </is>
      </c>
      <c r="I797" t="inlineStr">
        <is>
          <t>Resources</t>
        </is>
      </c>
      <c r="M797" t="inlineStr">
        <is>
          <t>In-game Market for 35 Platinum.</t>
        </is>
      </c>
      <c r="N797" t="inlineStr">
        <is>
          <t>Dog Days Noggle Pack</t>
        </is>
      </c>
      <c r="O797" t="inlineStr">
        <is>
          <t>We copied where it comes from off the wiki page. See place from wiki page.</t>
        </is>
      </c>
    </row>
    <row r="798">
      <c r="A798" t="inlineStr">
        <is>
          <t>/Lotus/Types/Items/ShipDecos/Events/WFSniperBobbleHead</t>
        </is>
      </c>
      <c r="B798" t="inlineStr">
        <is>
          <t>Noggle Statue - Dog Days Executioner Harkonar</t>
        </is>
      </c>
      <c r="C798" t="inlineStr">
        <is>
          <t>https://wiki.warframe.com/w/Dog_Days_Noggle_Pack</t>
        </is>
      </c>
      <c r="D798" t="inlineStr">
        <is>
          <t>ExportResources</t>
        </is>
      </c>
      <c r="F798" t="inlineStr">
        <is>
          <t>Noggle Statue - Dog Days Executioner Harkonar</t>
        </is>
      </c>
      <c r="H798" t="inlineStr">
        <is>
          <t>Solved: current place verified and archived 2026-10-16.</t>
        </is>
      </c>
      <c r="I798" t="inlineStr">
        <is>
          <t>Resources</t>
        </is>
      </c>
      <c r="M798" t="inlineStr">
        <is>
          <t>In-game Market for 35 Platinum.</t>
        </is>
      </c>
      <c r="N798" t="inlineStr">
        <is>
          <t>Dog Days Noggle Pack</t>
        </is>
      </c>
      <c r="O798" t="inlineStr">
        <is>
          <t>We copied where it comes from off the wiki page. See place from wiki page.</t>
        </is>
      </c>
    </row>
    <row r="799">
      <c r="A799" t="inlineStr">
        <is>
          <t>/Lotus/Types/Items/ShipDecos/Events/WFGruntBobbleHead</t>
        </is>
      </c>
      <c r="B799" t="inlineStr">
        <is>
          <t>Noggle Statue - Dog Days Executioner Nok</t>
        </is>
      </c>
      <c r="C799" t="inlineStr">
        <is>
          <t>https://wiki.warframe.com/w/Dog_Days_Noggle_Pack</t>
        </is>
      </c>
      <c r="D799" t="inlineStr">
        <is>
          <t>ExportResources</t>
        </is>
      </c>
      <c r="F799" t="inlineStr">
        <is>
          <t>Noggle Statue - Dog Days Executioner Nok</t>
        </is>
      </c>
      <c r="H799" t="inlineStr">
        <is>
          <t>Solved: current place verified and archived 2026-10-16.</t>
        </is>
      </c>
      <c r="I799" t="inlineStr">
        <is>
          <t>Resources</t>
        </is>
      </c>
      <c r="M799" t="inlineStr">
        <is>
          <t>In-game Market for 35 Platinum.</t>
        </is>
      </c>
      <c r="N799" t="inlineStr">
        <is>
          <t>Dog Days Noggle Pack</t>
        </is>
      </c>
      <c r="O799" t="inlineStr">
        <is>
          <t>We copied where it comes from off the wiki page. See place from wiki page.</t>
        </is>
      </c>
    </row>
    <row r="800">
      <c r="A800" t="inlineStr">
        <is>
          <t>/Lotus/Types/Items/ShipDecos/Events/WFEngineerBobbleHead</t>
        </is>
      </c>
      <c r="B800" t="inlineStr">
        <is>
          <t>Noggle Statue - Dog Days Executioner Reth</t>
        </is>
      </c>
      <c r="C800" t="inlineStr">
        <is>
          <t>https://wiki.warframe.com/w/Dog_Days_Noggle_Pack</t>
        </is>
      </c>
      <c r="D800" t="inlineStr">
        <is>
          <t>ExportResources</t>
        </is>
      </c>
      <c r="F800" t="inlineStr">
        <is>
          <t>Noggle Statue - Dog Days Executioner Reth</t>
        </is>
      </c>
      <c r="H800" t="inlineStr">
        <is>
          <t>Solved: current place verified and archived 2026-10-16.</t>
        </is>
      </c>
      <c r="I800" t="inlineStr">
        <is>
          <t>Resources</t>
        </is>
      </c>
      <c r="M800" t="inlineStr">
        <is>
          <t>In-game Market for 35 Platinum.</t>
        </is>
      </c>
      <c r="N800" t="inlineStr">
        <is>
          <t>Dog Days Noggle Pack</t>
        </is>
      </c>
      <c r="O800" t="inlineStr">
        <is>
          <t>We copied where it comes from off the wiki page. See place from wiki page.</t>
        </is>
      </c>
    </row>
    <row r="801">
      <c r="A801" t="inlineStr">
        <is>
          <t>/Lotus/Types/Items/ShipDecos/Events/WFHellionBobbleHead</t>
        </is>
      </c>
      <c r="B801" t="inlineStr">
        <is>
          <t>Noggle Statue - Dog Days Executioner Vay Molta</t>
        </is>
      </c>
      <c r="C801" t="inlineStr">
        <is>
          <t>https://wiki.warframe.com/w/Dog_Days_Noggle_Pack</t>
        </is>
      </c>
      <c r="D801" t="inlineStr">
        <is>
          <t>ExportResources</t>
        </is>
      </c>
      <c r="F801" t="inlineStr">
        <is>
          <t>Noggle Statue - Dog Days Executioner Vay Molta</t>
        </is>
      </c>
      <c r="H801" t="inlineStr">
        <is>
          <t>Solved: current place verified and archived 2026-10-16.</t>
        </is>
      </c>
      <c r="I801" t="inlineStr">
        <is>
          <t>Resources</t>
        </is>
      </c>
      <c r="M801" t="inlineStr">
        <is>
          <t>In-game Market for 35 Platinum.</t>
        </is>
      </c>
      <c r="N801" t="inlineStr">
        <is>
          <t>Dog Days Noggle Pack</t>
        </is>
      </c>
      <c r="O801" t="inlineStr">
        <is>
          <t>We copied where it comes from off the wiki page. See place from wiki page.</t>
        </is>
      </c>
    </row>
    <row r="802">
      <c r="A802" t="inlineStr">
        <is>
          <t>/Lotus/Types/Items/ShipDecos/Events/WFBeastMasterBobbleHead</t>
        </is>
      </c>
      <c r="B802" t="inlineStr">
        <is>
          <t>Noggle Statue - Dog Days Executioner Zura</t>
        </is>
      </c>
      <c r="C802" t="inlineStr">
        <is>
          <t>https://wiki.warframe.com/w/Dog_Days_Noggle_Pack</t>
        </is>
      </c>
      <c r="D802" t="inlineStr">
        <is>
          <t>ExportResources</t>
        </is>
      </c>
      <c r="F802" t="inlineStr">
        <is>
          <t>Noggle Statue - Dog Days Executioner Zura</t>
        </is>
      </c>
      <c r="H802" t="inlineStr">
        <is>
          <t>Solved: current place verified and archived 2026-10-16.</t>
        </is>
      </c>
      <c r="I802" t="inlineStr">
        <is>
          <t>Resources</t>
        </is>
      </c>
      <c r="M802" t="inlineStr">
        <is>
          <t>In-game Market for 35 Platinum.</t>
        </is>
      </c>
      <c r="N802" t="inlineStr">
        <is>
          <t>Dog Days Noggle Pack</t>
        </is>
      </c>
      <c r="O802" t="inlineStr">
        <is>
          <t>We copied where it comes from off the wiki page. See place from wiki page.</t>
        </is>
      </c>
    </row>
    <row r="803">
      <c r="A803" t="inlineStr">
        <is>
          <t>/Lotus/Types/Items/ShipDecos/CCTeamDBusterBBobbleHead</t>
        </is>
      </c>
      <c r="B803" t="inlineStr">
        <is>
          <t>Noggle Statue - Dru Pesfor</t>
        </is>
      </c>
      <c r="C803" t="inlineStr">
        <is>
          <t>https://wiki.warframe.com/w/Market/Equipment</t>
        </is>
      </c>
      <c r="D803" t="inlineStr">
        <is>
          <t>ExportResources</t>
        </is>
      </c>
      <c r="F803" t="inlineStr">
        <is>
          <t>Noggle Statue - Dru Pesfor</t>
        </is>
      </c>
      <c r="H803" t="inlineStr">
        <is>
          <t>Solved: current place verified and archived 2026-10-16.</t>
        </is>
      </c>
      <c r="I803" t="inlineStr">
        <is>
          <t>Resources</t>
        </is>
      </c>
      <c r="M803" t="inlineStr">
        <is>
          <t>In-game Market for 35 Platinum.</t>
        </is>
      </c>
      <c r="N803" t="inlineStr">
        <is>
          <t>Market/Equipment</t>
        </is>
      </c>
      <c r="O803" t="inlineStr">
        <is>
          <t>Saved a concrete acquisition place from the official Warframe Wiki. Market/Equipment lists it with a Platinum price.</t>
        </is>
      </c>
    </row>
    <row r="804">
      <c r="A804" t="inlineStr">
        <is>
          <t>/Lotus/Types/Items/ShipDecos/GrineerMarineAlt2DesertBobbleHead</t>
        </is>
      </c>
      <c r="B804" t="inlineStr">
        <is>
          <t>Noggle Statue - Elite Arid Lancer</t>
        </is>
      </c>
      <c r="C804" t="inlineStr">
        <is>
          <t>https://wiki.warframe.com/w/Market/Equipment</t>
        </is>
      </c>
      <c r="D804" t="inlineStr">
        <is>
          <t>ExportResources</t>
        </is>
      </c>
      <c r="F804" t="inlineStr">
        <is>
          <t>Noggle Statue - Elite Arid Lancer</t>
        </is>
      </c>
      <c r="H804" t="inlineStr">
        <is>
          <t>Solved: current place verified and archived 2026-10-16.</t>
        </is>
      </c>
      <c r="I804" t="inlineStr">
        <is>
          <t>Resources</t>
        </is>
      </c>
      <c r="M804" t="inlineStr">
        <is>
          <t>In-game Market for 35 Platinum.</t>
        </is>
      </c>
      <c r="N804" t="inlineStr">
        <is>
          <t>Market/Equipment</t>
        </is>
      </c>
      <c r="O804" t="inlineStr">
        <is>
          <t>Saved a concrete acquisition place from the official Warframe Wiki. Market/Equipment lists it with a Platinum price.</t>
        </is>
      </c>
    </row>
    <row r="805">
      <c r="A805" t="inlineStr">
        <is>
          <t>/Lotus/Types/Items/ShipDecos/RelayEmberBobbleHead</t>
        </is>
      </c>
      <c r="B805" t="inlineStr">
        <is>
          <t>Noggle Statue - Ember Reprise</t>
        </is>
      </c>
      <c r="C805" t="inlineStr">
        <is>
          <t>https://wiki.warframe.com/w/Dog_Days</t>
        </is>
      </c>
      <c r="D805" t="inlineStr">
        <is>
          <t>ExportResources</t>
        </is>
      </c>
      <c r="F805" t="inlineStr">
        <is>
          <t>Noggle Statue - Ember Reprise</t>
        </is>
      </c>
      <c r="H805" t="inlineStr">
        <is>
          <t>Solved: current place verified and archived 2026-10-16.</t>
        </is>
      </c>
      <c r="I805" t="inlineStr">
        <is>
          <t>Resources</t>
        </is>
      </c>
      <c r="M805" t="inlineStr">
        <is>
          <t>Purchase from the Dog Days event store for 140 Nakak Pearls.</t>
        </is>
      </c>
      <c r="N805" t="inlineStr">
        <is>
          <t>Dog Days</t>
        </is>
      </c>
      <c r="O805" t="inlineStr">
        <is>
          <t>We copied where it comes from off the wiki page. See place from wiki page.</t>
        </is>
      </c>
    </row>
    <row r="806">
      <c r="A806" t="inlineStr">
        <is>
          <t>/Lotus/Types/Items/ShipDecos/EmberVermillionBobbleHead</t>
        </is>
      </c>
      <c r="B806" t="inlineStr">
        <is>
          <t>Noggle Statue - Ember Vermillion</t>
        </is>
      </c>
      <c r="C806" t="inlineStr">
        <is>
          <t>https://wiki.warframe.com/w/Nightwave/Nora's_Mix_Volume_5</t>
        </is>
      </c>
      <c r="D806" t="inlineStr">
        <is>
          <t>ExportResources</t>
        </is>
      </c>
      <c r="F806" t="inlineStr">
        <is>
          <t>Noggle Statue - Ember Vermillion</t>
        </is>
      </c>
      <c r="H806" t="inlineStr">
        <is>
          <t>Solved: current place verified and archived 2026-10-16.</t>
        </is>
      </c>
      <c r="I806" t="inlineStr">
        <is>
          <t>Resources</t>
        </is>
      </c>
      <c r="M806" t="inlineStr">
        <is>
          <t>Nightwave: Nora's Mix Volume 5 rank 2 reward.</t>
        </is>
      </c>
      <c r="N806" t="inlineStr">
        <is>
          <t>Nightwave/Nora's Mix Volume 5</t>
        </is>
      </c>
      <c r="O806" t="inlineStr">
        <is>
          <t>We copied where it comes from off the wiki page. See place from wiki page.</t>
        </is>
      </c>
    </row>
    <row r="807">
      <c r="A807" t="inlineStr">
        <is>
          <t>/Lotus/Types/Items/ShipDecos/EquinoxCombinedBobbleHead</t>
        </is>
      </c>
      <c r="B807" t="inlineStr">
        <is>
          <t>Noggle Statue - Equinox Combined-Form</t>
        </is>
      </c>
      <c r="D807" t="inlineStr">
        <is>
          <t>ExportResources</t>
        </is>
      </c>
      <c r="F807" t="inlineStr">
        <is>
          <t>Noggle Statue - Equinox Combined-Form</t>
        </is>
      </c>
      <c r="H807" t="inlineStr">
        <is>
          <t>Solved: current place verified and archived 2026-10-16.</t>
        </is>
      </c>
      <c r="I807" t="inlineStr">
        <is>
          <t>Resources</t>
        </is>
      </c>
      <c r="M807" t="inlineStr">
        <is>
          <t>In-game Market for 35 Platinum.</t>
        </is>
      </c>
      <c r="O807" t="inlineStr">
        <is>
          <t>No wiki page uses this exact name.</t>
        </is>
      </c>
    </row>
    <row r="808">
      <c r="A808" t="inlineStr">
        <is>
          <t>/Lotus/Types/Items/ShipDecos/EquinoxDayBobbleHead</t>
        </is>
      </c>
      <c r="B808" t="inlineStr">
        <is>
          <t>Noggle Statue - Equinox Day-Form</t>
        </is>
      </c>
      <c r="D808" t="inlineStr">
        <is>
          <t>ExportResources</t>
        </is>
      </c>
      <c r="F808" t="inlineStr">
        <is>
          <t>Noggle Statue - Equinox Day-Form</t>
        </is>
      </c>
      <c r="H808" t="inlineStr">
        <is>
          <t>Solved: current place verified and archived 2026-10-16.</t>
        </is>
      </c>
      <c r="I808" t="inlineStr">
        <is>
          <t>Resources</t>
        </is>
      </c>
      <c r="M808" t="inlineStr">
        <is>
          <t>In-game Market for 35 Platinum.</t>
        </is>
      </c>
      <c r="O808" t="inlineStr">
        <is>
          <t>No wiki page uses this exact name.</t>
        </is>
      </c>
    </row>
    <row r="809">
      <c r="A809" t="inlineStr">
        <is>
          <t>/Lotus/Types/Items/ShipDecos/EquinoxNightBobbleHead</t>
        </is>
      </c>
      <c r="B809" t="inlineStr">
        <is>
          <t>Noggle Statue - Equinox Night-Form</t>
        </is>
      </c>
      <c r="D809" t="inlineStr">
        <is>
          <t>ExportResources</t>
        </is>
      </c>
      <c r="F809" t="inlineStr">
        <is>
          <t>Noggle Statue - Equinox Night-Form</t>
        </is>
      </c>
      <c r="H809" t="inlineStr">
        <is>
          <t>Solved: current place verified and archived 2026-10-16.</t>
        </is>
      </c>
      <c r="I809" t="inlineStr">
        <is>
          <t>Resources</t>
        </is>
      </c>
      <c r="M809" t="inlineStr">
        <is>
          <t>In-game Market for 35 Platinum.</t>
        </is>
      </c>
      <c r="O809" t="inlineStr">
        <is>
          <t>No wiki page uses this exact name.</t>
        </is>
      </c>
    </row>
    <row r="810">
      <c r="A810" t="inlineStr">
        <is>
          <t>/Lotus/Types/Items/ShipDecos/ExcaliburBobbleHead</t>
        </is>
      </c>
      <c r="B810" t="inlineStr">
        <is>
          <t>Noggle Statue - Excalibur</t>
        </is>
      </c>
      <c r="C810" t="inlineStr">
        <is>
          <t>https://wiki.warframe.com/w/Third_Party_Deals_and_Rewards | https://wiki.warframe.com/w/Baro_Ki'Teer/TennoCon_Items | https://wiki.warframe.com/w/Market/Equipment</t>
        </is>
      </c>
      <c r="D810" t="inlineStr">
        <is>
          <t>ExportResources</t>
        </is>
      </c>
      <c r="F810" t="inlineStr">
        <is>
          <t>Noggle Statue - Excalibur</t>
        </is>
      </c>
      <c r="H810" t="inlineStr">
        <is>
          <t>Solved: current place verified and archived 2026-10-16.</t>
        </is>
      </c>
      <c r="I810" t="inlineStr">
        <is>
          <t>Resources</t>
        </is>
      </c>
      <c r="L810" t="inlineStr">
        <is>
          <t>Baro_data, Baro_data_visits</t>
        </is>
      </c>
      <c r="M810" t="inlineStr">
        <is>
          <t>In-game Market for 35 Platinum.</t>
        </is>
      </c>
      <c r="N810" t="inlineStr">
        <is>
          <t>Market/Equipment</t>
        </is>
      </c>
      <c r="O810" t="inlineStr">
        <is>
          <t>Saved a concrete acquisition place from the official Warframe Wiki. Market/Equipment lists it with a Platinum price.</t>
        </is>
      </c>
    </row>
    <row r="811">
      <c r="A811" t="inlineStr">
        <is>
          <t>/Lotus/Types/Items/ShipDecos/ExcaliburJadeBobbleHead</t>
        </is>
      </c>
      <c r="B811" t="inlineStr">
        <is>
          <t>Noggle Statue - Excalibur Jade</t>
        </is>
      </c>
      <c r="C811" t="inlineStr">
        <is>
          <t>https://wiki.warframe.com/w/Third_Party_Deals_and_Rewards</t>
        </is>
      </c>
      <c r="D811" t="inlineStr">
        <is>
          <t>ExportResources</t>
        </is>
      </c>
      <c r="F811" t="inlineStr">
        <is>
          <t>Noggle Statue - Excalibur Jade</t>
        </is>
      </c>
      <c r="H811" t="inlineStr">
        <is>
          <t>Solved: current place verified and archived 2026-10-16.</t>
        </is>
      </c>
      <c r="I811" t="inlineStr">
        <is>
          <t>Resources</t>
        </is>
      </c>
      <c r="M811" t="inlineStr">
        <is>
          <t>Included in the Excalibur Jade Bundle (third-party deal).</t>
        </is>
      </c>
      <c r="N811" t="inlineStr">
        <is>
          <t>Third Party Deals and Rewards</t>
        </is>
      </c>
      <c r="O811" t="inlineStr">
        <is>
          <t>Saved a concrete acquisition place from the official Warframe Wiki. Bundle contents list.</t>
        </is>
      </c>
    </row>
    <row r="812">
      <c r="A812" t="inlineStr">
        <is>
          <t>/Lotus/Types/Items/ShipDecos/ExcaliburArchwingBobbleHead</t>
        </is>
      </c>
      <c r="B812" t="inlineStr">
        <is>
          <t>Noggle Statue - Excalibur With Odonata</t>
        </is>
      </c>
      <c r="C812" t="inlineStr">
        <is>
          <t>https://wiki.warframe.com/w/Baro_Ki'Teer/TennoCon_Items</t>
        </is>
      </c>
      <c r="D812" t="inlineStr">
        <is>
          <t>ExportResources</t>
        </is>
      </c>
      <c r="F812" t="inlineStr">
        <is>
          <t>Noggle Statue - Excalibur With Odonata</t>
        </is>
      </c>
      <c r="H812" t="inlineStr">
        <is>
          <t>Solved: current place verified and archived 2026-10-16.</t>
        </is>
      </c>
      <c r="I812" t="inlineStr">
        <is>
          <t>Resources</t>
        </is>
      </c>
      <c r="J812" t="inlineStr">
        <is>
          <t>Baro Ki'Teer (90 ducats, 200,000 credits)</t>
        </is>
      </c>
      <c r="K812" t="inlineStr">
        <is>
          <t>Baro/data</t>
        </is>
      </c>
      <c r="L812" t="inlineStr">
        <is>
          <t>case</t>
        </is>
      </c>
      <c r="M812" t="inlineStr">
        <is>
          <t>Sold by Baro Ki'Teer at the TennoCon Relay (Baro's Relay Ticket required).</t>
        </is>
      </c>
      <c r="N812" t="inlineStr">
        <is>
          <t>Baro Ki'Teer/TennoCon Items</t>
        </is>
      </c>
      <c r="O812" t="inlineStr">
        <is>
          <t>Saved a concrete acquisition place from the official Warframe Wiki. TennoCon Items page lists the item.</t>
        </is>
      </c>
    </row>
    <row r="813">
      <c r="A813" t="inlineStr">
        <is>
          <t>/Lotus/Types/Items/ShipDecos/GrineerChampionsHeavyBobbleHead</t>
        </is>
      </c>
      <c r="B813" t="inlineStr">
        <is>
          <t>Noggle Statue - Executioner Dhurnam</t>
        </is>
      </c>
      <c r="C813" t="inlineStr">
        <is>
          <t>https://wiki.warframe.com/w/Market/Equipment</t>
        </is>
      </c>
      <c r="D813" t="inlineStr">
        <is>
          <t>ExportResources</t>
        </is>
      </c>
      <c r="F813" t="inlineStr">
        <is>
          <t>Noggle Statue - Executioner Dhurnam</t>
        </is>
      </c>
      <c r="H813" t="inlineStr">
        <is>
          <t>Solved: current place verified and archived 2026-10-16.</t>
        </is>
      </c>
      <c r="I813" t="inlineStr">
        <is>
          <t>Resources</t>
        </is>
      </c>
      <c r="M813" t="inlineStr">
        <is>
          <t>In-game Market for 35 Platinum.</t>
        </is>
      </c>
      <c r="N813" t="inlineStr">
        <is>
          <t>Market/Equipment</t>
        </is>
      </c>
      <c r="O813" t="inlineStr">
        <is>
          <t>Saved a concrete acquisition place from the official Warframe Wiki. Market/Equipment lists it with a Platinum price.</t>
        </is>
      </c>
    </row>
    <row r="814">
      <c r="A814" t="inlineStr">
        <is>
          <t>/Lotus/Types/Items/ShipDecos/GrineerChampionsHealerBobbleHead</t>
        </is>
      </c>
      <c r="B814" t="inlineStr">
        <is>
          <t>Noggle Statue - Executioner Dok Thul</t>
        </is>
      </c>
      <c r="C814" t="inlineStr">
        <is>
          <t>https://wiki.warframe.com/w/Market/Equipment</t>
        </is>
      </c>
      <c r="D814" t="inlineStr">
        <is>
          <t>ExportResources</t>
        </is>
      </c>
      <c r="F814" t="inlineStr">
        <is>
          <t>Noggle Statue - Executioner Dok Thul</t>
        </is>
      </c>
      <c r="H814" t="inlineStr">
        <is>
          <t>Solved: current place verified and archived 2026-10-16.</t>
        </is>
      </c>
      <c r="I814" t="inlineStr">
        <is>
          <t>Resources</t>
        </is>
      </c>
      <c r="M814" t="inlineStr">
        <is>
          <t>In-game Market for 35 Platinum.</t>
        </is>
      </c>
      <c r="N814" t="inlineStr">
        <is>
          <t>Market/Equipment</t>
        </is>
      </c>
      <c r="O814" t="inlineStr">
        <is>
          <t>Saved a concrete acquisition place from the official Warframe Wiki. Market/Equipment lists it with a Platinum price.</t>
        </is>
      </c>
    </row>
    <row r="815">
      <c r="A815" t="inlineStr">
        <is>
          <t>/Lotus/Types/Items/ShipDecos/GrineerChampionsChargerBobbleHead</t>
        </is>
      </c>
      <c r="B815" t="inlineStr">
        <is>
          <t>Noggle Statue - Executioner Garesh</t>
        </is>
      </c>
      <c r="C815" t="inlineStr">
        <is>
          <t>https://wiki.warframe.com/w/Market/Equipment</t>
        </is>
      </c>
      <c r="D815" t="inlineStr">
        <is>
          <t>ExportResources</t>
        </is>
      </c>
      <c r="F815" t="inlineStr">
        <is>
          <t>Noggle Statue - Executioner Garesh</t>
        </is>
      </c>
      <c r="H815" t="inlineStr">
        <is>
          <t>Solved: current place verified and archived 2026-10-16.</t>
        </is>
      </c>
      <c r="I815" t="inlineStr">
        <is>
          <t>Resources</t>
        </is>
      </c>
      <c r="M815" t="inlineStr">
        <is>
          <t>In-game Market for 35 Platinum.</t>
        </is>
      </c>
      <c r="N815" t="inlineStr">
        <is>
          <t>Market/Equipment</t>
        </is>
      </c>
      <c r="O815" t="inlineStr">
        <is>
          <t>Saved a concrete acquisition place from the official Warframe Wiki. Market/Equipment lists it with a Platinum price.</t>
        </is>
      </c>
    </row>
    <row r="816">
      <c r="A816" t="inlineStr">
        <is>
          <t>/Lotus/Types/Items/ShipDecos/GrineerChampionsTankBobbleHead</t>
        </is>
      </c>
      <c r="B816" t="inlineStr">
        <is>
          <t>Noggle Statue - Executioner Gorth</t>
        </is>
      </c>
      <c r="C816" t="inlineStr">
        <is>
          <t>https://wiki.warframe.com/w/Market/Equipment</t>
        </is>
      </c>
      <c r="D816" t="inlineStr">
        <is>
          <t>ExportResources</t>
        </is>
      </c>
      <c r="F816" t="inlineStr">
        <is>
          <t>Noggle Statue - Executioner Gorth</t>
        </is>
      </c>
      <c r="H816" t="inlineStr">
        <is>
          <t>Solved: current place verified and archived 2026-10-16.</t>
        </is>
      </c>
      <c r="I816" t="inlineStr">
        <is>
          <t>Resources</t>
        </is>
      </c>
      <c r="M816" t="inlineStr">
        <is>
          <t>In-game Market for 35 Platinum.</t>
        </is>
      </c>
      <c r="N816" t="inlineStr">
        <is>
          <t>Market/Equipment</t>
        </is>
      </c>
      <c r="O816" t="inlineStr">
        <is>
          <t>Saved a concrete acquisition place from the official Warframe Wiki. Market/Equipment lists it with a Platinum price.</t>
        </is>
      </c>
    </row>
    <row r="817">
      <c r="A817" t="inlineStr">
        <is>
          <t>/Lotus/Types/Items/ShipDecos/GrineerChampionsSniperBobbleHead</t>
        </is>
      </c>
      <c r="B817" t="inlineStr">
        <is>
          <t>Noggle Statue - Executioner Harkonar</t>
        </is>
      </c>
      <c r="C817" t="inlineStr">
        <is>
          <t>https://wiki.warframe.com/w/Market/Equipment</t>
        </is>
      </c>
      <c r="D817" t="inlineStr">
        <is>
          <t>ExportResources</t>
        </is>
      </c>
      <c r="F817" t="inlineStr">
        <is>
          <t>Noggle Statue - Executioner Harkonar</t>
        </is>
      </c>
      <c r="H817" t="inlineStr">
        <is>
          <t>Solved: current place verified and archived 2026-10-16.</t>
        </is>
      </c>
      <c r="I817" t="inlineStr">
        <is>
          <t>Resources</t>
        </is>
      </c>
      <c r="M817" t="inlineStr">
        <is>
          <t>In-game Market for 35 Platinum.</t>
        </is>
      </c>
      <c r="N817" t="inlineStr">
        <is>
          <t>Market/Equipment</t>
        </is>
      </c>
      <c r="O817" t="inlineStr">
        <is>
          <t>Saved a concrete acquisition place from the official Warframe Wiki. Market/Equipment lists it with a Platinum price.</t>
        </is>
      </c>
    </row>
    <row r="818">
      <c r="A818" t="inlineStr">
        <is>
          <t>/Lotus/Types/Items/ShipDecos/GrineerChampionsGruntBobbleHead</t>
        </is>
      </c>
      <c r="B818" t="inlineStr">
        <is>
          <t>Noggle Statue - Executioner Nok</t>
        </is>
      </c>
      <c r="C818" t="inlineStr">
        <is>
          <t>https://wiki.warframe.com/w/Market/Equipment</t>
        </is>
      </c>
      <c r="D818" t="inlineStr">
        <is>
          <t>ExportResources</t>
        </is>
      </c>
      <c r="F818" t="inlineStr">
        <is>
          <t>Noggle Statue - Executioner Nok</t>
        </is>
      </c>
      <c r="H818" t="inlineStr">
        <is>
          <t>Solved: current place verified and archived 2026-10-16.</t>
        </is>
      </c>
      <c r="I818" t="inlineStr">
        <is>
          <t>Resources</t>
        </is>
      </c>
      <c r="M818" t="inlineStr">
        <is>
          <t>In-game Market for 35 Platinum.</t>
        </is>
      </c>
      <c r="N818" t="inlineStr">
        <is>
          <t>Market/Equipment</t>
        </is>
      </c>
      <c r="O818" t="inlineStr">
        <is>
          <t>Saved a concrete acquisition place from the official Warframe Wiki. Market/Equipment lists it with a Platinum price.</t>
        </is>
      </c>
    </row>
    <row r="819">
      <c r="A819" t="inlineStr">
        <is>
          <t>/Lotus/Types/Items/ShipDecos/GrineerChampionsEngineerBobbleHead</t>
        </is>
      </c>
      <c r="B819" t="inlineStr">
        <is>
          <t>Noggle Statue - Executioner Reth</t>
        </is>
      </c>
      <c r="C819" t="inlineStr">
        <is>
          <t>https://wiki.warframe.com/w/Market/Equipment</t>
        </is>
      </c>
      <c r="D819" t="inlineStr">
        <is>
          <t>ExportResources</t>
        </is>
      </c>
      <c r="F819" t="inlineStr">
        <is>
          <t>Noggle Statue - Executioner Reth</t>
        </is>
      </c>
      <c r="H819" t="inlineStr">
        <is>
          <t>Solved: current place verified and archived 2026-10-16.</t>
        </is>
      </c>
      <c r="I819" t="inlineStr">
        <is>
          <t>Resources</t>
        </is>
      </c>
      <c r="M819" t="inlineStr">
        <is>
          <t>In-game Market for 35 Platinum.</t>
        </is>
      </c>
      <c r="N819" t="inlineStr">
        <is>
          <t>Market/Equipment</t>
        </is>
      </c>
      <c r="O819" t="inlineStr">
        <is>
          <t>Saved a concrete acquisition place from the official Warframe Wiki. Market/Equipment lists it with a Platinum price.</t>
        </is>
      </c>
    </row>
    <row r="820">
      <c r="A820" t="inlineStr">
        <is>
          <t>/Lotus/Types/Items/ShipDecos/GrineerChampionsHellionBobbleHead</t>
        </is>
      </c>
      <c r="B820" t="inlineStr">
        <is>
          <t>Noggle Statue - Executioner Vay Molta</t>
        </is>
      </c>
      <c r="C820" t="inlineStr">
        <is>
          <t>https://wiki.warframe.com/w/Market/Equipment</t>
        </is>
      </c>
      <c r="D820" t="inlineStr">
        <is>
          <t>ExportResources</t>
        </is>
      </c>
      <c r="F820" t="inlineStr">
        <is>
          <t>Noggle Statue - Executioner Vay Molta</t>
        </is>
      </c>
      <c r="H820" t="inlineStr">
        <is>
          <t>Solved: current place verified and archived 2026-10-16.</t>
        </is>
      </c>
      <c r="I820" t="inlineStr">
        <is>
          <t>Resources</t>
        </is>
      </c>
      <c r="M820" t="inlineStr">
        <is>
          <t>In-game Market for 35 Platinum.</t>
        </is>
      </c>
      <c r="N820" t="inlineStr">
        <is>
          <t>Market/Equipment</t>
        </is>
      </c>
      <c r="O820" t="inlineStr">
        <is>
          <t>Saved a concrete acquisition place from the official Warframe Wiki. Market/Equipment lists it with a Platinum price.</t>
        </is>
      </c>
    </row>
    <row r="821">
      <c r="A821" t="inlineStr">
        <is>
          <t>/Lotus/Types/Items/ShipDecos/GrineerChampionsBeastMasterBobbleHead</t>
        </is>
      </c>
      <c r="B821" t="inlineStr">
        <is>
          <t>Noggle Statue - Executioner Zura</t>
        </is>
      </c>
      <c r="C821" t="inlineStr">
        <is>
          <t>https://wiki.warframe.com/w/Market/Equipment</t>
        </is>
      </c>
      <c r="D821" t="inlineStr">
        <is>
          <t>ExportResources</t>
        </is>
      </c>
      <c r="F821" t="inlineStr">
        <is>
          <t>Noggle Statue - Executioner Zura</t>
        </is>
      </c>
      <c r="H821" t="inlineStr">
        <is>
          <t>Solved: current place verified and archived 2026-10-16.</t>
        </is>
      </c>
      <c r="I821" t="inlineStr">
        <is>
          <t>Resources</t>
        </is>
      </c>
      <c r="M821" t="inlineStr">
        <is>
          <t>In-game Market for 35 Platinum.</t>
        </is>
      </c>
      <c r="N821" t="inlineStr">
        <is>
          <t>Market/Equipment</t>
        </is>
      </c>
      <c r="O821" t="inlineStr">
        <is>
          <t>Saved a concrete acquisition place from the official Warframe Wiki. Market/Equipment lists it with a Platinum price.</t>
        </is>
      </c>
    </row>
    <row r="822">
      <c r="A822" t="inlineStr">
        <is>
          <t>/Lotus/Types/Items/ShipDecos/ArloFemaleFollowerBobbleHead</t>
        </is>
      </c>
      <c r="B822" t="inlineStr">
        <is>
          <t>Noggle Statue - Female Devotee</t>
        </is>
      </c>
      <c r="C822" t="inlineStr">
        <is>
          <t>https://wiki.warframe.com/w/Nights_of_Naberus</t>
        </is>
      </c>
      <c r="D822" t="inlineStr">
        <is>
          <t>ExportResources</t>
        </is>
      </c>
      <c r="F822" t="inlineStr">
        <is>
          <t>Noggle Statue - Female Devotee</t>
        </is>
      </c>
      <c r="H822" t="inlineStr">
        <is>
          <t>Solved: current place verified and archived 2026-10-16.</t>
        </is>
      </c>
      <c r="I822" t="inlineStr">
        <is>
          <t>Resources</t>
        </is>
      </c>
      <c r="M822" t="inlineStr">
        <is>
          <t>Purchase from Daughter for 25 Mother Tokens during Nights of Naberus.</t>
        </is>
      </c>
      <c r="N822" t="inlineStr">
        <is>
          <t>Nights of Naberus</t>
        </is>
      </c>
      <c r="O822" t="inlineStr">
        <is>
          <t>We copied where it comes from off the wiki page. See place from wiki page.</t>
        </is>
      </c>
    </row>
    <row r="823">
      <c r="A823" t="inlineStr">
        <is>
          <t>/Lotus/Types/Items/ShipDecos/FrostBobbleHead</t>
        </is>
      </c>
      <c r="B823" t="inlineStr">
        <is>
          <t>Noggle Statue - Frost</t>
        </is>
      </c>
      <c r="C823" t="inlineStr">
        <is>
          <t>https://wiki.warframe.com/w/Nightwave/Nora's_Mix_Volume_5 | https://wiki.warframe.com/w/Market/Equipment</t>
        </is>
      </c>
      <c r="D823" t="inlineStr">
        <is>
          <t>ExportResources</t>
        </is>
      </c>
      <c r="F823" t="inlineStr">
        <is>
          <t>Noggle Statue - Frost</t>
        </is>
      </c>
      <c r="H823" t="inlineStr">
        <is>
          <t>Solved: current place verified and archived 2026-10-16.</t>
        </is>
      </c>
      <c r="I823" t="inlineStr">
        <is>
          <t>Resources</t>
        </is>
      </c>
      <c r="M823" t="inlineStr">
        <is>
          <t>In-game Market for 35 Platinum.</t>
        </is>
      </c>
      <c r="N823" t="inlineStr">
        <is>
          <t>Nightwave/Nora's Mix Volume 5 | Market/Equipment</t>
        </is>
      </c>
      <c r="O823" t="inlineStr">
        <is>
          <t>We copied where it comes from off the wiki page. See place from wiki page.</t>
        </is>
      </c>
    </row>
    <row r="824">
      <c r="A824" t="inlineStr">
        <is>
          <t>/Lotus/Types/Items/ShipDecos/FrostHarkaBobbleHead</t>
        </is>
      </c>
      <c r="B824" t="inlineStr">
        <is>
          <t>Noggle Statue - Frost Harka</t>
        </is>
      </c>
      <c r="C824" t="inlineStr">
        <is>
          <t>https://wiki.warframe.com/w/Nightwave/Nora's_Mix_Volume_5</t>
        </is>
      </c>
      <c r="D824" t="inlineStr">
        <is>
          <t>ExportResources</t>
        </is>
      </c>
      <c r="F824" t="inlineStr">
        <is>
          <t>Noggle Statue - Frost Harka</t>
        </is>
      </c>
      <c r="H824" t="inlineStr">
        <is>
          <t>Solved: current place verified and archived 2026-10-16.</t>
        </is>
      </c>
      <c r="I824" t="inlineStr">
        <is>
          <t>Resources</t>
        </is>
      </c>
      <c r="M824" t="inlineStr">
        <is>
          <t>Nightwave: Nora's Mix Volume 5 rank 10 reward.</t>
        </is>
      </c>
      <c r="N824" t="inlineStr">
        <is>
          <t>Nightwave/Nora's Mix Volume 5</t>
        </is>
      </c>
      <c r="O824" t="inlineStr">
        <is>
          <t>We copied where it comes from off the wiki page. See place from wiki page.</t>
        </is>
      </c>
    </row>
    <row r="825">
      <c r="A825" t="inlineStr">
        <is>
          <t>/Lotus/Types/Items/ShipDecos/GaussBobbleHead</t>
        </is>
      </c>
      <c r="B825" t="inlineStr">
        <is>
          <t>Noggle Statue - Gauss</t>
        </is>
      </c>
      <c r="C825" t="inlineStr">
        <is>
          <t>https://wiki.warframe.com/w/Prime_Access</t>
        </is>
      </c>
      <c r="D825" t="inlineStr">
        <is>
          <t>ExportResources</t>
        </is>
      </c>
      <c r="F825" t="inlineStr">
        <is>
          <t>Noggle Statue - Gauss</t>
        </is>
      </c>
      <c r="H825" t="inlineStr">
        <is>
          <t>Solved: current place verified and archived 2026-10-16.</t>
        </is>
      </c>
      <c r="I825" t="inlineStr">
        <is>
          <t>Resources</t>
        </is>
      </c>
      <c r="M825" t="inlineStr">
        <is>
          <t>In-game Market for 35 Platinum.</t>
        </is>
      </c>
      <c r="N825" t="inlineStr">
        <is>
          <t>Prime Access | Update 35</t>
        </is>
      </c>
      <c r="O825" t="inlineStr">
        <is>
          <t>There is a wiki page that mentions this name, but that page never says where you get the item.</t>
        </is>
      </c>
    </row>
    <row r="826">
      <c r="A826" t="inlineStr">
        <is>
          <t>/Lotus/Types/Items/ShipDecos/GaussPrimeBobbleHead</t>
        </is>
      </c>
      <c r="B826" t="inlineStr">
        <is>
          <t>Noggle Statue - Gauss Prime</t>
        </is>
      </c>
      <c r="C826" t="inlineStr">
        <is>
          <t>https://wiki.warframe.com/w/Prime_Access</t>
        </is>
      </c>
      <c r="D826" t="inlineStr">
        <is>
          <t>ExportResources</t>
        </is>
      </c>
      <c r="F826" t="inlineStr">
        <is>
          <t>Noggle Statue - Gauss Prime</t>
        </is>
      </c>
      <c r="H826" t="inlineStr">
        <is>
          <t>Solved: current place verified and archived 2026-10-16.</t>
        </is>
      </c>
      <c r="I826" t="inlineStr">
        <is>
          <t>Resources</t>
        </is>
      </c>
      <c r="M826" t="inlineStr">
        <is>
          <t>Included in Gauss Prime Access as an exclusive bonus item.</t>
        </is>
      </c>
      <c r="N826" t="inlineStr">
        <is>
          <t>Prime Access</t>
        </is>
      </c>
      <c r="O826" t="inlineStr">
        <is>
          <t>Saved a concrete acquisition place from the official Warframe Wiki. Prime Access page, Gauss Prime table.</t>
        </is>
      </c>
    </row>
    <row r="827">
      <c r="A827" t="inlineStr">
        <is>
          <t>/Lotus/Types/Items/ShipDecos/GrendelBobbleHead</t>
        </is>
      </c>
      <c r="B827" t="inlineStr">
        <is>
          <t>Noggle Statue - Grendel</t>
        </is>
      </c>
      <c r="D827" t="inlineStr">
        <is>
          <t>ExportResources</t>
        </is>
      </c>
      <c r="F827" t="inlineStr">
        <is>
          <t>Noggle Statue - Grendel</t>
        </is>
      </c>
      <c r="H827" t="inlineStr">
        <is>
          <t>Solved: current place verified and archived 2026-10-16.</t>
        </is>
      </c>
      <c r="I827" t="inlineStr">
        <is>
          <t>Resources</t>
        </is>
      </c>
      <c r="M827" t="inlineStr">
        <is>
          <t>In-game Market for 35 Platinum.</t>
        </is>
      </c>
      <c r="O827" t="inlineStr">
        <is>
          <t>No wiki page uses this exact name.</t>
        </is>
      </c>
    </row>
    <row r="828">
      <c r="A828" t="inlineStr">
        <is>
          <t>/Lotus/Types/Items/ShipDecos/OstHaiLukBobbleHead</t>
        </is>
      </c>
      <c r="B828" t="inlineStr">
        <is>
          <t>Noggle Statue - Hai Luk</t>
        </is>
      </c>
      <c r="D828" t="inlineStr">
        <is>
          <t>ExportResources</t>
        </is>
      </c>
      <c r="F828" t="inlineStr">
        <is>
          <t>Noggle Statue - Hai Luk</t>
        </is>
      </c>
      <c r="H828" t="inlineStr">
        <is>
          <t>Solved: current place verified and archived 2026-10-16.</t>
        </is>
      </c>
      <c r="I828" t="inlineStr">
        <is>
          <t>Resources</t>
        </is>
      </c>
      <c r="M828" t="inlineStr">
        <is>
          <t>In-game Market for 35 Platinum.</t>
        </is>
      </c>
      <c r="O828" t="inlineStr">
        <is>
          <t>No wiki page uses this exact name.</t>
        </is>
      </c>
    </row>
    <row r="829">
      <c r="A829" t="inlineStr">
        <is>
          <t>/Lotus/Types/Items/ShipDecos/HarrowBobbleHead</t>
        </is>
      </c>
      <c r="B829" t="inlineStr">
        <is>
          <t>Noggle Statue - Harrow</t>
        </is>
      </c>
      <c r="D829" t="inlineStr">
        <is>
          <t>ExportResources</t>
        </is>
      </c>
      <c r="F829" t="inlineStr">
        <is>
          <t>Noggle Statue - Harrow</t>
        </is>
      </c>
      <c r="H829" t="inlineStr">
        <is>
          <t>Solved: current place verified and archived 2026-10-16.</t>
        </is>
      </c>
      <c r="I829" t="inlineStr">
        <is>
          <t>Resources</t>
        </is>
      </c>
      <c r="M829" t="inlineStr">
        <is>
          <t>In-game Market for 35 Platinum.</t>
        </is>
      </c>
      <c r="O829" t="inlineStr">
        <is>
          <t>No wiki page uses this exact name.</t>
        </is>
      </c>
    </row>
    <row r="830">
      <c r="A830" t="inlineStr">
        <is>
          <t>/Lotus/Types/Items/ShipDecos/OstHokBobbleHead</t>
        </is>
      </c>
      <c r="B830" t="inlineStr">
        <is>
          <t>Noggle Statue - Hok</t>
        </is>
      </c>
      <c r="D830" t="inlineStr">
        <is>
          <t>ExportResources</t>
        </is>
      </c>
      <c r="F830" t="inlineStr">
        <is>
          <t>Noggle Statue - Hok</t>
        </is>
      </c>
      <c r="H830" t="inlineStr">
        <is>
          <t>Solved: current place verified and archived 2026-10-16.</t>
        </is>
      </c>
      <c r="I830" t="inlineStr">
        <is>
          <t>Resources</t>
        </is>
      </c>
      <c r="M830" t="inlineStr">
        <is>
          <t>In-game Market for 35 Platinum.</t>
        </is>
      </c>
      <c r="O830" t="inlineStr">
        <is>
          <t>No wiki page uses this exact name.</t>
        </is>
      </c>
    </row>
    <row r="831">
      <c r="A831" t="inlineStr">
        <is>
          <t>/Lotus/Types/Items/ShipDecos/RelayHydroidBobbleHead</t>
        </is>
      </c>
      <c r="B831" t="inlineStr">
        <is>
          <t>Noggle Statue - Hydroid Reprise</t>
        </is>
      </c>
      <c r="C831" t="inlineStr">
        <is>
          <t>https://wiki.warframe.com/w/Dog_Days</t>
        </is>
      </c>
      <c r="D831" t="inlineStr">
        <is>
          <t>ExportResources</t>
        </is>
      </c>
      <c r="F831" t="inlineStr">
        <is>
          <t>Noggle Statue - Hydroid Reprise</t>
        </is>
      </c>
      <c r="H831" t="inlineStr">
        <is>
          <t>Solved: current place verified and archived 2026-10-16.</t>
        </is>
      </c>
      <c r="I831" t="inlineStr">
        <is>
          <t>Resources</t>
        </is>
      </c>
      <c r="M831" t="inlineStr">
        <is>
          <t>Purchase from the Dog Days event store for 140 Nakak Pearls.</t>
        </is>
      </c>
      <c r="N831" t="inlineStr">
        <is>
          <t>Dog Days</t>
        </is>
      </c>
      <c r="O831" t="inlineStr">
        <is>
          <t>We copied where it comes from off the wiki page. See place from wiki page.</t>
        </is>
      </c>
    </row>
    <row r="832">
      <c r="A832" t="inlineStr">
        <is>
          <t>/Lotus/Types/Items/ShipDecos/GrineerHyekkaBobbleHead</t>
        </is>
      </c>
      <c r="B832" t="inlineStr">
        <is>
          <t>Noggle Statue - Hyekka</t>
        </is>
      </c>
      <c r="C832" t="inlineStr">
        <is>
          <t>https://wiki.warframe.com/w/Market/Equipment</t>
        </is>
      </c>
      <c r="D832" t="inlineStr">
        <is>
          <t>ExportResources</t>
        </is>
      </c>
      <c r="F832" t="inlineStr">
        <is>
          <t>Noggle Statue - Hyekka</t>
        </is>
      </c>
      <c r="H832" t="inlineStr">
        <is>
          <t>Solved: current place verified and archived 2026-10-16.</t>
        </is>
      </c>
      <c r="I832" t="inlineStr">
        <is>
          <t>Resources</t>
        </is>
      </c>
      <c r="M832" t="inlineStr">
        <is>
          <t>In-game Market for 35 Platinum.</t>
        </is>
      </c>
      <c r="N832" t="inlineStr">
        <is>
          <t>Market/Equipment</t>
        </is>
      </c>
      <c r="O832" t="inlineStr">
        <is>
          <t>Saved a concrete acquisition place from the official Warframe Wiki. Market/Equipment lists it with a Platinum price.</t>
        </is>
      </c>
    </row>
    <row r="833">
      <c r="A833" t="inlineStr">
        <is>
          <t>/Lotus/Types/Items/ShipDecos/InarosBobbleHead</t>
        </is>
      </c>
      <c r="B833" t="inlineStr">
        <is>
          <t>Noggle Statue - Inaros</t>
        </is>
      </c>
      <c r="C833" t="inlineStr">
        <is>
          <t>https://wiki.warframe.com/w/Market/Equipment</t>
        </is>
      </c>
      <c r="D833" t="inlineStr">
        <is>
          <t>ExportResources</t>
        </is>
      </c>
      <c r="F833" t="inlineStr">
        <is>
          <t>Noggle Statue - Inaros</t>
        </is>
      </c>
      <c r="H833" t="inlineStr">
        <is>
          <t>Solved: current place verified and archived 2026-10-16.</t>
        </is>
      </c>
      <c r="I833" t="inlineStr">
        <is>
          <t>Resources</t>
        </is>
      </c>
      <c r="L833" t="inlineStr">
        <is>
          <t>DropTables_data, drop_reverse_index_v2</t>
        </is>
      </c>
      <c r="M833" t="inlineStr">
        <is>
          <t>In-game Market for 35 Platinum.</t>
        </is>
      </c>
      <c r="N833" t="inlineStr">
        <is>
          <t>Market/Equipment</t>
        </is>
      </c>
      <c r="O833" t="inlineStr">
        <is>
          <t>Saved a concrete acquisition place from the official Warframe Wiki. Market/Equipment lists it with a Platinum price.</t>
        </is>
      </c>
    </row>
    <row r="834">
      <c r="A834" t="inlineStr">
        <is>
          <t>/Lotus/Types/Items/ShipDecos/IvaraBobbleHead</t>
        </is>
      </c>
      <c r="B834" t="inlineStr">
        <is>
          <t>Noggle Statue - Ivara</t>
        </is>
      </c>
      <c r="C834" t="inlineStr">
        <is>
          <t>https://wiki.warframe.com/w/Market/Equipment</t>
        </is>
      </c>
      <c r="D834" t="inlineStr">
        <is>
          <t>ExportResources</t>
        </is>
      </c>
      <c r="F834" t="inlineStr">
        <is>
          <t>Noggle Statue - Ivara</t>
        </is>
      </c>
      <c r="H834" t="inlineStr">
        <is>
          <t>Solved: current place verified and archived 2026-10-16.</t>
        </is>
      </c>
      <c r="I834" t="inlineStr">
        <is>
          <t>Resources</t>
        </is>
      </c>
      <c r="M834" t="inlineStr">
        <is>
          <t>In-game Market for 35 Platinum.</t>
        </is>
      </c>
      <c r="N834" t="inlineStr">
        <is>
          <t>Market/Equipment</t>
        </is>
      </c>
      <c r="O834" t="inlineStr">
        <is>
          <t>Saved a concrete acquisition place from the official Warframe Wiki. Market/Equipment lists it with a Platinum price.</t>
        </is>
      </c>
    </row>
    <row r="835">
      <c r="A835" t="inlineStr">
        <is>
          <t>/Lotus/Types/Items/ShipDecos/CCTeamBDisruptorBobbleHead</t>
        </is>
      </c>
      <c r="B835" t="inlineStr">
        <is>
          <t>Noggle Statue - Jad Teran</t>
        </is>
      </c>
      <c r="C835" t="inlineStr">
        <is>
          <t>https://wiki.warframe.com/w/Market/Equipment</t>
        </is>
      </c>
      <c r="D835" t="inlineStr">
        <is>
          <t>ExportResources</t>
        </is>
      </c>
      <c r="F835" t="inlineStr">
        <is>
          <t>Noggle Statue - Jad Teran</t>
        </is>
      </c>
      <c r="H835" t="inlineStr">
        <is>
          <t>Solved: current place verified and archived 2026-10-16.</t>
        </is>
      </c>
      <c r="I835" t="inlineStr">
        <is>
          <t>Resources</t>
        </is>
      </c>
      <c r="M835" t="inlineStr">
        <is>
          <t>In-game Market for 35 Platinum.</t>
        </is>
      </c>
      <c r="N835" t="inlineStr">
        <is>
          <t>Market/Equipment</t>
        </is>
      </c>
      <c r="O835" t="inlineStr">
        <is>
          <t>Saved a concrete acquisition place from the official Warframe Wiki. Market/Equipment lists it with a Platinum price.</t>
        </is>
      </c>
    </row>
    <row r="836">
      <c r="A836" t="inlineStr">
        <is>
          <t>/Lotus/Types/Items/ShipDecos/CCTeamCDeceptionBobbleHead</t>
        </is>
      </c>
      <c r="B836" t="inlineStr">
        <is>
          <t>Noggle Statue - Jen Dro</t>
        </is>
      </c>
      <c r="C836" t="inlineStr">
        <is>
          <t>https://wiki.warframe.com/w/Market/Equipment</t>
        </is>
      </c>
      <c r="D836" t="inlineStr">
        <is>
          <t>ExportResources</t>
        </is>
      </c>
      <c r="F836" t="inlineStr">
        <is>
          <t>Noggle Statue - Jen Dro</t>
        </is>
      </c>
      <c r="H836" t="inlineStr">
        <is>
          <t>Solved: current place verified and archived 2026-10-16.</t>
        </is>
      </c>
      <c r="I836" t="inlineStr">
        <is>
          <t>Resources</t>
        </is>
      </c>
      <c r="M836" t="inlineStr">
        <is>
          <t>In-game Market for 35 Platinum.</t>
        </is>
      </c>
      <c r="N836" t="inlineStr">
        <is>
          <t>Market/Equipment</t>
        </is>
      </c>
      <c r="O836" t="inlineStr">
        <is>
          <t>Saved a concrete acquisition place from the official Warframe Wiki. Market/Equipment lists it with a Platinum price.</t>
        </is>
      </c>
    </row>
    <row r="837">
      <c r="A837" t="inlineStr">
        <is>
          <t>/Lotus/Types/Items/ShipDecos/CaliberChicksJillianBobbleHead</t>
        </is>
      </c>
      <c r="B837" t="inlineStr">
        <is>
          <t>Noggle Statue - Jillian Killian</t>
        </is>
      </c>
      <c r="C837" t="inlineStr">
        <is>
          <t>https://wiki.warframe.com/w/Caliber_Chicks_Collection</t>
        </is>
      </c>
      <c r="D837" t="inlineStr">
        <is>
          <t>ExportResources</t>
        </is>
      </c>
      <c r="F837" t="inlineStr">
        <is>
          <t>Noggle Statue - Jillian Killian</t>
        </is>
      </c>
      <c r="H837" t="inlineStr">
        <is>
          <t>Solved: current place verified and archived 2026-10-16.</t>
        </is>
      </c>
      <c r="I837" t="inlineStr">
        <is>
          <t>Resources</t>
        </is>
      </c>
      <c r="M837" t="inlineStr">
        <is>
          <t>In-game Market for 35 Platinum.</t>
        </is>
      </c>
      <c r="N837" t="inlineStr">
        <is>
          <t>Caliber Chicks Collection | Update 38</t>
        </is>
      </c>
      <c r="O837" t="inlineStr">
        <is>
          <t>We copied where it comes from off the wiki page. See place from wiki page.</t>
        </is>
      </c>
    </row>
    <row r="838">
      <c r="A838" t="inlineStr">
        <is>
          <t>/Lotus/Types/Items/ShipDecos/KelaDeThaymBobbleHead</t>
        </is>
      </c>
      <c r="B838" t="inlineStr">
        <is>
          <t>Noggle Statue - Kela De Thaym</t>
        </is>
      </c>
      <c r="C838" t="inlineStr">
        <is>
          <t>https://wiki.warframe.com/w/Market/Equipment</t>
        </is>
      </c>
      <c r="D838" t="inlineStr">
        <is>
          <t>ExportResources</t>
        </is>
      </c>
      <c r="F838" t="inlineStr">
        <is>
          <t>Noggle Statue - Kela De Thaym</t>
        </is>
      </c>
      <c r="H838" t="inlineStr">
        <is>
          <t>Solved: current place verified and archived 2026-10-16.</t>
        </is>
      </c>
      <c r="I838" t="inlineStr">
        <is>
          <t>Resources</t>
        </is>
      </c>
      <c r="M838" t="inlineStr">
        <is>
          <t>In-game Market for 35 Platinum.</t>
        </is>
      </c>
      <c r="N838" t="inlineStr">
        <is>
          <t>Market/Equipment</t>
        </is>
      </c>
      <c r="O838" t="inlineStr">
        <is>
          <t>Saved a concrete acquisition place from the official Warframe Wiki. Market/Equipment lists it with a Platinum price.</t>
        </is>
      </c>
    </row>
    <row r="839">
      <c r="A839" t="inlineStr">
        <is>
          <t>/Lotus/Types/Items/ShipDecos/KhoraBobbleHead</t>
        </is>
      </c>
      <c r="B839" t="inlineStr">
        <is>
          <t>Noggle Statue - Khora</t>
        </is>
      </c>
      <c r="D839" t="inlineStr">
        <is>
          <t>ExportResources</t>
        </is>
      </c>
      <c r="F839" t="inlineStr">
        <is>
          <t>Noggle Statue - Khora</t>
        </is>
      </c>
      <c r="H839" t="inlineStr">
        <is>
          <t>Solved: current place verified and archived 2026-10-16.</t>
        </is>
      </c>
      <c r="I839" t="inlineStr">
        <is>
          <t>Resources</t>
        </is>
      </c>
      <c r="M839" t="inlineStr">
        <is>
          <t>In-game Market for 35 Platinum.</t>
        </is>
      </c>
      <c r="O839" t="inlineStr">
        <is>
          <t>No wiki page uses this exact name.</t>
        </is>
      </c>
    </row>
    <row r="840">
      <c r="A840" t="inlineStr">
        <is>
          <t>/Lotus/Types/Items/ShipDecos/OstKonzuBobbleHead</t>
        </is>
      </c>
      <c r="B840" t="inlineStr">
        <is>
          <t>Noggle Statue - Konzu</t>
        </is>
      </c>
      <c r="D840" t="inlineStr">
        <is>
          <t>ExportResources</t>
        </is>
      </c>
      <c r="F840" t="inlineStr">
        <is>
          <t>Noggle Statue - Konzu</t>
        </is>
      </c>
      <c r="H840" t="inlineStr">
        <is>
          <t>Solved: current place verified and archived 2026-10-16.</t>
        </is>
      </c>
      <c r="I840" t="inlineStr">
        <is>
          <t>Resources</t>
        </is>
      </c>
      <c r="M840" t="inlineStr">
        <is>
          <t>In-game Market for 35 Platinum.</t>
        </is>
      </c>
      <c r="O840" t="inlineStr">
        <is>
          <t>No wiki page uses this exact name.</t>
        </is>
      </c>
    </row>
    <row r="841">
      <c r="A841" t="inlineStr">
        <is>
          <t>/Lotus/Types/Items/ShipDecos/KullervoBobbleHead</t>
        </is>
      </c>
      <c r="B841" t="inlineStr">
        <is>
          <t>Noggle Statue - Kullervo</t>
        </is>
      </c>
      <c r="D841" t="inlineStr">
        <is>
          <t>ExportResources</t>
        </is>
      </c>
      <c r="F841" t="inlineStr">
        <is>
          <t>Noggle Statue - Kullervo</t>
        </is>
      </c>
      <c r="H841" t="inlineStr">
        <is>
          <t>Solved: current place verified and archived 2026-10-16.</t>
        </is>
      </c>
      <c r="I841" t="inlineStr">
        <is>
          <t>Resources</t>
        </is>
      </c>
      <c r="M841" t="inlineStr">
        <is>
          <t>In-game Market for 35 Platinum.</t>
        </is>
      </c>
      <c r="O841" t="inlineStr">
        <is>
          <t>No wiki page uses this exact name.</t>
        </is>
      </c>
    </row>
    <row r="842">
      <c r="A842" t="inlineStr">
        <is>
          <t>/Lotus/Types/Items/ShipDecos/GrineerMarineBobbleHead</t>
        </is>
      </c>
      <c r="B842" t="inlineStr">
        <is>
          <t>Noggle Statue - Lancer</t>
        </is>
      </c>
      <c r="C842" t="inlineStr">
        <is>
          <t>https://wiki.warframe.com/w/Market/Equipment</t>
        </is>
      </c>
      <c r="D842" t="inlineStr">
        <is>
          <t>ExportResources</t>
        </is>
      </c>
      <c r="F842" t="inlineStr">
        <is>
          <t>Noggle Statue - Lancer</t>
        </is>
      </c>
      <c r="H842" t="inlineStr">
        <is>
          <t>Solved: current place verified and archived 2026-10-16.</t>
        </is>
      </c>
      <c r="I842" t="inlineStr">
        <is>
          <t>Resources</t>
        </is>
      </c>
      <c r="M842" t="inlineStr">
        <is>
          <t>In-game Market for 35 Platinum.</t>
        </is>
      </c>
      <c r="N842" t="inlineStr">
        <is>
          <t>Market/Equipment</t>
        </is>
      </c>
      <c r="O842" t="inlineStr">
        <is>
          <t>Saved a concrete acquisition place from the official Warframe Wiki. Market/Equipment lists it with a Platinum price.</t>
        </is>
      </c>
    </row>
    <row r="843">
      <c r="A843" t="inlineStr">
        <is>
          <t>/Lotus/Types/Items/ShipDecos/CaliberChicksLillianBobbleHead</t>
        </is>
      </c>
      <c r="B843" t="inlineStr">
        <is>
          <t>Noggle Statue - Lillian Killian</t>
        </is>
      </c>
      <c r="C843" t="inlineStr">
        <is>
          <t>https://wiki.warframe.com/w/Caliber_Chicks_Collection</t>
        </is>
      </c>
      <c r="D843" t="inlineStr">
        <is>
          <t>ExportResources</t>
        </is>
      </c>
      <c r="F843" t="inlineStr">
        <is>
          <t>Noggle Statue - Lillian Killian</t>
        </is>
      </c>
      <c r="H843" t="inlineStr">
        <is>
          <t>Solved: current place verified and archived 2026-10-16.</t>
        </is>
      </c>
      <c r="I843" t="inlineStr">
        <is>
          <t>Resources</t>
        </is>
      </c>
      <c r="M843" t="inlineStr">
        <is>
          <t>In-game Market for 35 Platinum.</t>
        </is>
      </c>
      <c r="N843" t="inlineStr">
        <is>
          <t>Caliber Chicks Collection | Update 38</t>
        </is>
      </c>
      <c r="O843" t="inlineStr">
        <is>
          <t>We copied where it comes from off the wiki page. See place from wiki page.</t>
        </is>
      </c>
    </row>
    <row r="844">
      <c r="A844" t="inlineStr">
        <is>
          <t>/Lotus/Types/Items/ShipDecos/LimboBobbleHead</t>
        </is>
      </c>
      <c r="B844" t="inlineStr">
        <is>
          <t>Noggle Statue - Limbo</t>
        </is>
      </c>
      <c r="D844" t="inlineStr">
        <is>
          <t>ExportResources</t>
        </is>
      </c>
      <c r="F844" t="inlineStr">
        <is>
          <t>Noggle Statue - Limbo</t>
        </is>
      </c>
      <c r="H844" t="inlineStr">
        <is>
          <t>Solved: current place verified and archived 2026-10-16.</t>
        </is>
      </c>
      <c r="I844" t="inlineStr">
        <is>
          <t>Resources</t>
        </is>
      </c>
      <c r="M844" t="inlineStr">
        <is>
          <t>In-game Market for 35 Platinum.</t>
        </is>
      </c>
      <c r="O844" t="inlineStr">
        <is>
          <t>No wiki page uses this exact name.</t>
        </is>
      </c>
    </row>
    <row r="845">
      <c r="A845" t="inlineStr">
        <is>
          <t>/Lotus/Types/Items/ShipDecos/CCTeamAZanukaBobbleHead</t>
        </is>
      </c>
      <c r="B845" t="inlineStr">
        <is>
          <t>Noggle Statue - Lockjaw &amp; Sol</t>
        </is>
      </c>
      <c r="C845" t="inlineStr">
        <is>
          <t>https://wiki.warframe.com/w/Market/Equipment</t>
        </is>
      </c>
      <c r="D845" t="inlineStr">
        <is>
          <t>ExportResources</t>
        </is>
      </c>
      <c r="F845" t="inlineStr">
        <is>
          <t>Noggle Statue - Lockjaw &amp; Sol</t>
        </is>
      </c>
      <c r="H845" t="inlineStr">
        <is>
          <t>Solved: current place verified and archived 2026-10-16.</t>
        </is>
      </c>
      <c r="I845" t="inlineStr">
        <is>
          <t>Resources</t>
        </is>
      </c>
      <c r="M845" t="inlineStr">
        <is>
          <t>In-game Market for 35 Platinum.</t>
        </is>
      </c>
      <c r="N845" t="inlineStr">
        <is>
          <t>Market/Equipment</t>
        </is>
      </c>
      <c r="O845" t="inlineStr">
        <is>
          <t>Saved a concrete acquisition place from the official Warframe Wiki. Market/Equipment lists it with a Platinum price.</t>
        </is>
      </c>
    </row>
    <row r="846">
      <c r="A846" t="inlineStr">
        <is>
          <t>/Lotus/Types/Items/ShipDecos/LokiBobbleHead</t>
        </is>
      </c>
      <c r="B846" t="inlineStr">
        <is>
          <t>Noggle Statue - Loki</t>
        </is>
      </c>
      <c r="C846" t="inlineStr">
        <is>
          <t>https://wiki.warframe.com/w/Market/Equipment</t>
        </is>
      </c>
      <c r="D846" t="inlineStr">
        <is>
          <t>ExportResources</t>
        </is>
      </c>
      <c r="F846" t="inlineStr">
        <is>
          <t>Noggle Statue - Loki</t>
        </is>
      </c>
      <c r="H846" t="inlineStr">
        <is>
          <t>Solved: current place verified and archived 2026-10-16.</t>
        </is>
      </c>
      <c r="I846" t="inlineStr">
        <is>
          <t>Resources</t>
        </is>
      </c>
      <c r="M846" t="inlineStr">
        <is>
          <t>In-game Market for 35 Platinum.</t>
        </is>
      </c>
      <c r="N846" t="inlineStr">
        <is>
          <t>Market/Equipment</t>
        </is>
      </c>
      <c r="O846" t="inlineStr">
        <is>
          <t>Saved a concrete acquisition place from the official Warframe Wiki. Market/Equipment lists it with a Platinum price.</t>
        </is>
      </c>
    </row>
    <row r="847">
      <c r="A847" t="inlineStr">
        <is>
          <t>/Lotus/Types/Items/ShipDecos/CCTeamCMoaBobbleHead</t>
        </is>
      </c>
      <c r="B847" t="inlineStr">
        <is>
          <t>Noggle Statue - M-Wam</t>
        </is>
      </c>
      <c r="C847" t="inlineStr">
        <is>
          <t>https://wiki.warframe.com/w/Market/Equipment</t>
        </is>
      </c>
      <c r="D847" t="inlineStr">
        <is>
          <t>ExportResources</t>
        </is>
      </c>
      <c r="F847" t="inlineStr">
        <is>
          <t>Noggle Statue - M-Wam</t>
        </is>
      </c>
      <c r="H847" t="inlineStr">
        <is>
          <t>Solved: current place verified and archived 2026-10-16.</t>
        </is>
      </c>
      <c r="I847" t="inlineStr">
        <is>
          <t>Resources</t>
        </is>
      </c>
      <c r="M847" t="inlineStr">
        <is>
          <t>In-game Market for 35 Platinum.</t>
        </is>
      </c>
      <c r="N847" t="inlineStr">
        <is>
          <t>Market/Equipment</t>
        </is>
      </c>
      <c r="O847" t="inlineStr">
        <is>
          <t>Saved a concrete acquisition place from the official Warframe Wiki. Market/Equipment lists it with a Platinum price.</t>
        </is>
      </c>
    </row>
    <row r="848">
      <c r="A848" t="inlineStr">
        <is>
          <t>/Lotus/Types/Items/ShipDecos/MagBobbleHead</t>
        </is>
      </c>
      <c r="B848" t="inlineStr">
        <is>
          <t>Noggle Statue - Mag</t>
        </is>
      </c>
      <c r="C848" t="inlineStr">
        <is>
          <t>https://wiki.warframe.com/w/Baro_Ki'Teer/TennoCon_Items</t>
        </is>
      </c>
      <c r="D848" t="inlineStr">
        <is>
          <t>ExportResources</t>
        </is>
      </c>
      <c r="F848" t="inlineStr">
        <is>
          <t>Noggle Statue - Mag</t>
        </is>
      </c>
      <c r="H848" t="inlineStr">
        <is>
          <t>Solved: current place verified and archived 2026-10-16.</t>
        </is>
      </c>
      <c r="I848" t="inlineStr">
        <is>
          <t>Resources</t>
        </is>
      </c>
      <c r="L848" t="inlineStr">
        <is>
          <t>Baro_data</t>
        </is>
      </c>
      <c r="M848" t="inlineStr">
        <is>
          <t>Sold by Baro Ki'Teer at the TennoCon Relay (Baro's Relay Ticket required).</t>
        </is>
      </c>
      <c r="N848" t="inlineStr">
        <is>
          <t>Baro Ki'Teer/TennoCon Items</t>
        </is>
      </c>
      <c r="O848" t="inlineStr">
        <is>
          <t>Saved a concrete acquisition place from the official Warframe Wiki. TennoCon Items page lists the item.</t>
        </is>
      </c>
    </row>
    <row r="849">
      <c r="A849" t="inlineStr">
        <is>
          <t>/Lotus/Types/Items/ShipDecos/ItzalArchwingBobbleHead</t>
        </is>
      </c>
      <c r="B849" t="inlineStr">
        <is>
          <t>Noggle Statue - Mag With Itzal</t>
        </is>
      </c>
      <c r="C849" t="inlineStr">
        <is>
          <t>https://wiki.warframe.com/w/Baro_Ki'Teer/TennoCon_Items</t>
        </is>
      </c>
      <c r="D849" t="inlineStr">
        <is>
          <t>ExportResources</t>
        </is>
      </c>
      <c r="F849" t="inlineStr">
        <is>
          <t>Noggle Statue - Mag With Itzal</t>
        </is>
      </c>
      <c r="H849" t="inlineStr">
        <is>
          <t>Solved: current place verified and archived 2026-10-16.</t>
        </is>
      </c>
      <c r="I849" t="inlineStr">
        <is>
          <t>Resources</t>
        </is>
      </c>
      <c r="J849" t="inlineStr">
        <is>
          <t>Baro Ki'Teer (90 ducats, 200,000 credits)</t>
        </is>
      </c>
      <c r="K849" t="inlineStr">
        <is>
          <t>Baro/data</t>
        </is>
      </c>
      <c r="L849" t="inlineStr">
        <is>
          <t>case</t>
        </is>
      </c>
      <c r="M849" t="inlineStr">
        <is>
          <t>Sold by Baro Ki'Teer at the TennoCon Relay (Baro's Relay Ticket required).</t>
        </is>
      </c>
      <c r="N849" t="inlineStr">
        <is>
          <t>Baro Ki'Teer/TennoCon Items</t>
        </is>
      </c>
      <c r="O849" t="inlineStr">
        <is>
          <t>Saved a concrete acquisition place from the official Warframe Wiki. TennoCon Items page lists the item.</t>
        </is>
      </c>
    </row>
    <row r="850">
      <c r="A850" t="inlineStr">
        <is>
          <t>/Lotus/Types/Items/ShipDecos/ArloMaleFollowerBobbleHead</t>
        </is>
      </c>
      <c r="B850" t="inlineStr">
        <is>
          <t>Noggle Statue - Male Devotee</t>
        </is>
      </c>
      <c r="C850" t="inlineStr">
        <is>
          <t>https://wiki.warframe.com/w/Nights_of_Naberus</t>
        </is>
      </c>
      <c r="D850" t="inlineStr">
        <is>
          <t>ExportResources</t>
        </is>
      </c>
      <c r="F850" t="inlineStr">
        <is>
          <t>Noggle Statue - Male Devotee</t>
        </is>
      </c>
      <c r="H850" t="inlineStr">
        <is>
          <t>Solved: current place verified and archived 2026-10-16.</t>
        </is>
      </c>
      <c r="I850" t="inlineStr">
        <is>
          <t>Resources</t>
        </is>
      </c>
      <c r="M850" t="inlineStr">
        <is>
          <t>Purchase from Daughter for 25 Mother Tokens during Nights of Naberus.</t>
        </is>
      </c>
      <c r="N850" t="inlineStr">
        <is>
          <t>Nights of Naberus</t>
        </is>
      </c>
      <c r="O850" t="inlineStr">
        <is>
          <t>We copied where it comes from off the wiki page. See place from wiki page.</t>
        </is>
      </c>
    </row>
    <row r="851">
      <c r="A851" t="inlineStr">
        <is>
          <t>/Lotus/Types/Items/ShipDecos/MacheteManicBobbleHead</t>
        </is>
      </c>
      <c r="B851" t="inlineStr">
        <is>
          <t>Noggle Statue - Manic</t>
        </is>
      </c>
      <c r="C851" t="inlineStr">
        <is>
          <t>https://wiki.warframe.com/w/Tactical_Alert/Archive</t>
        </is>
      </c>
      <c r="D851" t="inlineStr">
        <is>
          <t>ExportResources</t>
        </is>
      </c>
      <c r="F851" t="inlineStr">
        <is>
          <t>Noggle Statue - Manic</t>
        </is>
      </c>
      <c r="H851" t="inlineStr">
        <is>
          <t>Solved: current place verified and archived 2026-10-16.</t>
        </is>
      </c>
      <c r="I851" t="inlineStr">
        <is>
          <t>Resources</t>
        </is>
      </c>
      <c r="M851" t="inlineStr">
        <is>
          <t>Reward from the Jack o'Naut Tactical Alert.</t>
        </is>
      </c>
      <c r="N851" t="inlineStr">
        <is>
          <t>Tactical Alert/Archive</t>
        </is>
      </c>
      <c r="O851" t="inlineStr">
        <is>
          <t>We copied where it comes from off the wiki page. See place from wiki page.</t>
        </is>
      </c>
    </row>
    <row r="852">
      <c r="A852" t="inlineStr">
        <is>
          <t>/Lotus/Types/Items/ShipDecos/MesaBobbleHead</t>
        </is>
      </c>
      <c r="B852" t="inlineStr">
        <is>
          <t>Noggle Statue - Mesa</t>
        </is>
      </c>
      <c r="C852" t="inlineStr">
        <is>
          <t>https://wiki.warframe.com/w/Market/Equipment</t>
        </is>
      </c>
      <c r="D852" t="inlineStr">
        <is>
          <t>ExportResources</t>
        </is>
      </c>
      <c r="F852" t="inlineStr">
        <is>
          <t>Noggle Statue - Mesa</t>
        </is>
      </c>
      <c r="H852" t="inlineStr">
        <is>
          <t>Solved: current place verified and archived 2026-10-16.</t>
        </is>
      </c>
      <c r="I852" t="inlineStr">
        <is>
          <t>Resources</t>
        </is>
      </c>
      <c r="M852" t="inlineStr">
        <is>
          <t>In-game Market for 35 Platinum.</t>
        </is>
      </c>
      <c r="N852" t="inlineStr">
        <is>
          <t>Market/Equipment</t>
        </is>
      </c>
      <c r="O852" t="inlineStr">
        <is>
          <t>Saved a concrete acquisition place from the official Warframe Wiki. Market/Equipment lists it with a Platinum price.</t>
        </is>
      </c>
    </row>
    <row r="853">
      <c r="A853" t="inlineStr">
        <is>
          <t>/Lotus/Types/Items/ShipDecos/MirageBobbleHead</t>
        </is>
      </c>
      <c r="B853" t="inlineStr">
        <is>
          <t>Noggle Statue - Mirage</t>
        </is>
      </c>
      <c r="C853" t="inlineStr">
        <is>
          <t>https://wiki.warframe.com/w/Market/Equipment</t>
        </is>
      </c>
      <c r="D853" t="inlineStr">
        <is>
          <t>ExportResources</t>
        </is>
      </c>
      <c r="F853" t="inlineStr">
        <is>
          <t>Noggle Statue - Mirage</t>
        </is>
      </c>
      <c r="H853" t="inlineStr">
        <is>
          <t>Solved: current place verified and archived 2026-10-16.</t>
        </is>
      </c>
      <c r="I853" t="inlineStr">
        <is>
          <t>Resources</t>
        </is>
      </c>
      <c r="M853" t="inlineStr">
        <is>
          <t>In-game Market for 35 Platinum.</t>
        </is>
      </c>
      <c r="N853" t="inlineStr">
        <is>
          <t>Market/Equipment</t>
        </is>
      </c>
      <c r="O853" t="inlineStr">
        <is>
          <t>Saved a concrete acquisition place from the official Warframe Wiki. Market/Equipment lists it with a Platinum price.</t>
        </is>
      </c>
    </row>
    <row r="854">
      <c r="A854" t="inlineStr">
        <is>
          <t>/Lotus/Types/Items/ShipDecos/CCTeamARifleBobbleHead</t>
        </is>
      </c>
      <c r="B854" t="inlineStr">
        <is>
          <t>Noggle Statue - Nako Xol</t>
        </is>
      </c>
      <c r="C854" t="inlineStr">
        <is>
          <t>https://wiki.warframe.com/w/Market/Equipment</t>
        </is>
      </c>
      <c r="D854" t="inlineStr">
        <is>
          <t>ExportResources</t>
        </is>
      </c>
      <c r="F854" t="inlineStr">
        <is>
          <t>Noggle Statue - Nako Xol</t>
        </is>
      </c>
      <c r="H854" t="inlineStr">
        <is>
          <t>Solved: current place verified and archived 2026-10-16.</t>
        </is>
      </c>
      <c r="I854" t="inlineStr">
        <is>
          <t>Resources</t>
        </is>
      </c>
      <c r="M854" t="inlineStr">
        <is>
          <t>In-game Market for 35 Platinum.</t>
        </is>
      </c>
      <c r="N854" t="inlineStr">
        <is>
          <t>Market/Equipment</t>
        </is>
      </c>
      <c r="O854" t="inlineStr">
        <is>
          <t>Saved a concrete acquisition place from the official Warframe Wiki. Market/Equipment lists it with a Platinum price.</t>
        </is>
      </c>
    </row>
    <row r="855">
      <c r="A855" t="inlineStr">
        <is>
          <t>/Lotus/Types/Items/ShipDecos/NekrosBobbleHead</t>
        </is>
      </c>
      <c r="B855" t="inlineStr">
        <is>
          <t>Noggle Statue - Nekros</t>
        </is>
      </c>
      <c r="C855" t="inlineStr">
        <is>
          <t>https://wiki.warframe.com/w/Market/Equipment</t>
        </is>
      </c>
      <c r="D855" t="inlineStr">
        <is>
          <t>ExportResources</t>
        </is>
      </c>
      <c r="F855" t="inlineStr">
        <is>
          <t>Noggle Statue - Nekros</t>
        </is>
      </c>
      <c r="H855" t="inlineStr">
        <is>
          <t>Solved: current place verified and archived 2026-10-16.</t>
        </is>
      </c>
      <c r="I855" t="inlineStr">
        <is>
          <t>Resources</t>
        </is>
      </c>
      <c r="M855" t="inlineStr">
        <is>
          <t>In-game Market for 35 Platinum.</t>
        </is>
      </c>
      <c r="N855" t="inlineStr">
        <is>
          <t>Market/Equipment</t>
        </is>
      </c>
      <c r="O855" t="inlineStr">
        <is>
          <t>Saved a concrete acquisition place from the official Warframe Wiki. Market/Equipment lists it with a Platinum price.</t>
        </is>
      </c>
    </row>
    <row r="856">
      <c r="A856" t="inlineStr">
        <is>
          <t>/Lotus/Types/Items/ShipDecos/NezhaBobbleHead</t>
        </is>
      </c>
      <c r="B856" t="inlineStr">
        <is>
          <t>Noggle Statue - Nezha</t>
        </is>
      </c>
      <c r="C856" t="inlineStr">
        <is>
          <t>https://wiki.warframe.com/w/Market/Equipment</t>
        </is>
      </c>
      <c r="D856" t="inlineStr">
        <is>
          <t>ExportResources</t>
        </is>
      </c>
      <c r="F856" t="inlineStr">
        <is>
          <t>Noggle Statue - Nezha</t>
        </is>
      </c>
      <c r="H856" t="inlineStr">
        <is>
          <t>Solved: current place verified and archived 2026-10-16.</t>
        </is>
      </c>
      <c r="I856" t="inlineStr">
        <is>
          <t>Resources</t>
        </is>
      </c>
      <c r="M856" t="inlineStr">
        <is>
          <t>In-game Market for 35 Platinum.</t>
        </is>
      </c>
      <c r="N856" t="inlineStr">
        <is>
          <t>Market/Equipment</t>
        </is>
      </c>
      <c r="O856" t="inlineStr">
        <is>
          <t>Saved a concrete acquisition place from the official Warframe Wiki. Market/Equipment lists it with a Platinum price.</t>
        </is>
      </c>
    </row>
    <row r="857">
      <c r="A857" t="inlineStr">
        <is>
          <t>/Lotus/Types/Items/ShipDecos/NidusBobbleHead</t>
        </is>
      </c>
      <c r="B857" t="inlineStr">
        <is>
          <t>Noggle Statue - Nidus</t>
        </is>
      </c>
      <c r="D857" t="inlineStr">
        <is>
          <t>ExportResources</t>
        </is>
      </c>
      <c r="F857" t="inlineStr">
        <is>
          <t>Noggle Statue - Nidus</t>
        </is>
      </c>
      <c r="H857" t="inlineStr">
        <is>
          <t>Solved: current place verified and archived 2026-10-16.</t>
        </is>
      </c>
      <c r="I857" t="inlineStr">
        <is>
          <t>Resources</t>
        </is>
      </c>
      <c r="M857" t="inlineStr">
        <is>
          <t>In-game Market for 35 Platinum.</t>
        </is>
      </c>
      <c r="O857" t="inlineStr">
        <is>
          <t>No wiki page uses this exact name.</t>
        </is>
      </c>
    </row>
    <row r="858">
      <c r="A858" t="inlineStr">
        <is>
          <t>/Lotus/Types/Items/ShipDecos/NoraNightBobbleHead</t>
        </is>
      </c>
      <c r="B858" t="inlineStr">
        <is>
          <t>Noggle Statue - Nora Night</t>
        </is>
      </c>
      <c r="C858" t="inlineStr">
        <is>
          <t>https://wiki.warframe.com/w/Nightwave/Nora's_Mix_Volume_2</t>
        </is>
      </c>
      <c r="D858" t="inlineStr">
        <is>
          <t>ExportResources</t>
        </is>
      </c>
      <c r="F858" t="inlineStr">
        <is>
          <t>Noggle Statue - Nora Night</t>
        </is>
      </c>
      <c r="H858" t="inlineStr">
        <is>
          <t>Solved: current place verified and archived 2026-10-16.</t>
        </is>
      </c>
      <c r="I858" t="inlineStr">
        <is>
          <t>Resources</t>
        </is>
      </c>
      <c r="M858" t="inlineStr">
        <is>
          <t>Nightwave: Nora's Mix Volume 2 rank 18 reward.</t>
        </is>
      </c>
      <c r="N858" t="inlineStr">
        <is>
          <t>Nightwave/Nora's Mix Volume 2 | Update 42: The Shadowgrapher | Update 31 | Nightwave/Patch History</t>
        </is>
      </c>
      <c r="O858" t="inlineStr">
        <is>
          <t>We copied where it comes from off the wiki page. See place from wiki page.</t>
        </is>
      </c>
    </row>
    <row r="859">
      <c r="A859" t="inlineStr">
        <is>
          <t>/Lotus/Types/Items/ShipDecos/NovaBobbleHead</t>
        </is>
      </c>
      <c r="B859" t="inlineStr">
        <is>
          <t>Noggle Statue - Nova</t>
        </is>
      </c>
      <c r="C859" t="inlineStr">
        <is>
          <t>https://wiki.warframe.com/w/Market/Equipment</t>
        </is>
      </c>
      <c r="D859" t="inlineStr">
        <is>
          <t>ExportResources</t>
        </is>
      </c>
      <c r="F859" t="inlineStr">
        <is>
          <t>Noggle Statue - Nova</t>
        </is>
      </c>
      <c r="H859" t="inlineStr">
        <is>
          <t>Solved: current place verified and archived 2026-10-16.</t>
        </is>
      </c>
      <c r="I859" t="inlineStr">
        <is>
          <t>Resources</t>
        </is>
      </c>
      <c r="M859" t="inlineStr">
        <is>
          <t>In-game Market for 35 Platinum.</t>
        </is>
      </c>
      <c r="N859" t="inlineStr">
        <is>
          <t>Market/Equipment</t>
        </is>
      </c>
      <c r="O859" t="inlineStr">
        <is>
          <t>Saved a concrete acquisition place from the official Warframe Wiki. Market/Equipment lists it with a Platinum price.</t>
        </is>
      </c>
    </row>
    <row r="860">
      <c r="A860" t="inlineStr">
        <is>
          <t>/Lotus/Types/Items/ShipDecos/NyxBobbleHead</t>
        </is>
      </c>
      <c r="B860" t="inlineStr">
        <is>
          <t>Noggle Statue - Nyx</t>
        </is>
      </c>
      <c r="C860" t="inlineStr">
        <is>
          <t>https://wiki.warframe.com/w/Market/Equipment</t>
        </is>
      </c>
      <c r="D860" t="inlineStr">
        <is>
          <t>ExportResources</t>
        </is>
      </c>
      <c r="F860" t="inlineStr">
        <is>
          <t>Noggle Statue - Nyx</t>
        </is>
      </c>
      <c r="H860" t="inlineStr">
        <is>
          <t>Solved: current place verified and archived 2026-10-16.</t>
        </is>
      </c>
      <c r="I860" t="inlineStr">
        <is>
          <t>Resources</t>
        </is>
      </c>
      <c r="M860" t="inlineStr">
        <is>
          <t>In-game Market for 35 Platinum.</t>
        </is>
      </c>
      <c r="N860" t="inlineStr">
        <is>
          <t>Market/Equipment</t>
        </is>
      </c>
      <c r="O860" t="inlineStr">
        <is>
          <t>Saved a concrete acquisition place from the official Warframe Wiki. Market/Equipment lists it with a Platinum price.</t>
        </is>
      </c>
    </row>
    <row r="861">
      <c r="A861" t="inlineStr">
        <is>
          <t>/Lotus/Types/Items/ShipDecos/OberonBobbleHead</t>
        </is>
      </c>
      <c r="B861" t="inlineStr">
        <is>
          <t>Noggle Statue - Oberon</t>
        </is>
      </c>
      <c r="C861" t="inlineStr">
        <is>
          <t>https://wiki.warframe.com/w/Market/Equipment</t>
        </is>
      </c>
      <c r="D861" t="inlineStr">
        <is>
          <t>ExportResources</t>
        </is>
      </c>
      <c r="F861" t="inlineStr">
        <is>
          <t>Noggle Statue - Oberon</t>
        </is>
      </c>
      <c r="H861" t="inlineStr">
        <is>
          <t>Solved: current place verified and archived 2026-10-16.</t>
        </is>
      </c>
      <c r="I861" t="inlineStr">
        <is>
          <t>Resources</t>
        </is>
      </c>
      <c r="M861" t="inlineStr">
        <is>
          <t>In-game Market for 35 Platinum.</t>
        </is>
      </c>
      <c r="N861" t="inlineStr">
        <is>
          <t>Market/Equipment</t>
        </is>
      </c>
      <c r="O861" t="inlineStr">
        <is>
          <t>Saved a concrete acquisition place from the official Warframe Wiki. Market/Equipment lists it with a Platinum price.</t>
        </is>
      </c>
    </row>
    <row r="862">
      <c r="A862" t="inlineStr">
        <is>
          <t>/Lotus/Types/Items/ShipDecos/CCTeamASkateBobbleHead</t>
        </is>
      </c>
      <c r="B862" t="inlineStr">
        <is>
          <t>Noggle Statue - Pelna Cade</t>
        </is>
      </c>
      <c r="C862" t="inlineStr">
        <is>
          <t>https://wiki.warframe.com/w/Market/Equipment</t>
        </is>
      </c>
      <c r="D862" t="inlineStr">
        <is>
          <t>ExportResources</t>
        </is>
      </c>
      <c r="F862" t="inlineStr">
        <is>
          <t>Noggle Statue - Pelna Cade</t>
        </is>
      </c>
      <c r="H862" t="inlineStr">
        <is>
          <t>Solved: current place verified and archived 2026-10-16.</t>
        </is>
      </c>
      <c r="I862" t="inlineStr">
        <is>
          <t>Resources</t>
        </is>
      </c>
      <c r="M862" t="inlineStr">
        <is>
          <t>In-game Market for 35 Platinum.</t>
        </is>
      </c>
      <c r="N862" t="inlineStr">
        <is>
          <t>Market/Equipment</t>
        </is>
      </c>
      <c r="O862" t="inlineStr">
        <is>
          <t>Saved a concrete acquisition place from the official Warframe Wiki. Market/Equipment lists it with a Platinum price.</t>
        </is>
      </c>
    </row>
    <row r="863">
      <c r="A863" t="inlineStr">
        <is>
          <t>/Lotus/Types/Items/ShipDecos/ExcaliburPrismaBobbleHead</t>
        </is>
      </c>
      <c r="B863" t="inlineStr">
        <is>
          <t>Noggle Statue - Prisma Excalibur</t>
        </is>
      </c>
      <c r="C863" t="inlineStr">
        <is>
          <t>https://wiki.warframe.com/w/Market/Equipment</t>
        </is>
      </c>
      <c r="D863" t="inlineStr">
        <is>
          <t>ExportResources</t>
        </is>
      </c>
      <c r="F863" t="inlineStr">
        <is>
          <t>Noggle Statue - Prisma Excalibur</t>
        </is>
      </c>
      <c r="H863" t="inlineStr">
        <is>
          <t>Solved: current place verified and archived 2026-10-16.</t>
        </is>
      </c>
      <c r="I863" t="inlineStr">
        <is>
          <t>Resources</t>
        </is>
      </c>
      <c r="M863" t="inlineStr">
        <is>
          <t>In-game Market for 35 Platinum.</t>
        </is>
      </c>
      <c r="N863" t="inlineStr">
        <is>
          <t>Market/Equipment</t>
        </is>
      </c>
      <c r="O863" t="inlineStr">
        <is>
          <t>Saved a concrete acquisition place from the official Warframe Wiki. Market/Equipment lists it with a Platinum price.</t>
        </is>
      </c>
    </row>
    <row r="864">
      <c r="A864" t="inlineStr">
        <is>
          <t>/Lotus/Types/Items/ShipDecos/ExcaliburProtoBobbleHead</t>
        </is>
      </c>
      <c r="B864" t="inlineStr">
        <is>
          <t>Noggle Statue - Proto-Excalibur</t>
        </is>
      </c>
      <c r="C864" t="inlineStr">
        <is>
          <t>https://wiki.warframe.com/w/Market/Equipment</t>
        </is>
      </c>
      <c r="D864" t="inlineStr">
        <is>
          <t>ExportResources</t>
        </is>
      </c>
      <c r="F864" t="inlineStr">
        <is>
          <t>Noggle Statue - Proto-Excalibur</t>
        </is>
      </c>
      <c r="H864" t="inlineStr">
        <is>
          <t>Solved: current place verified and archived 2026-10-16.</t>
        </is>
      </c>
      <c r="I864" t="inlineStr">
        <is>
          <t>Resources</t>
        </is>
      </c>
      <c r="M864" t="inlineStr">
        <is>
          <t>In-game Market for 35 Platinum.</t>
        </is>
      </c>
      <c r="N864" t="inlineStr">
        <is>
          <t>Market/Equipment</t>
        </is>
      </c>
      <c r="O864" t="inlineStr">
        <is>
          <t>Saved a concrete acquisition place from the official Warframe Wiki. Market/Equipment lists it with a Platinum price.</t>
        </is>
      </c>
    </row>
    <row r="865">
      <c r="A865" t="inlineStr">
        <is>
          <t>/Lotus/Types/Items/ShipDecos/CCTeamDBusterCBobbleHead</t>
        </is>
      </c>
      <c r="B865" t="inlineStr">
        <is>
          <t>Noggle Statue - Rana Del</t>
        </is>
      </c>
      <c r="C865" t="inlineStr">
        <is>
          <t>https://wiki.warframe.com/w/Market/Equipment</t>
        </is>
      </c>
      <c r="D865" t="inlineStr">
        <is>
          <t>ExportResources</t>
        </is>
      </c>
      <c r="F865" t="inlineStr">
        <is>
          <t>Noggle Statue - Rana Del</t>
        </is>
      </c>
      <c r="H865" t="inlineStr">
        <is>
          <t>Solved: current place verified and archived 2026-10-16.</t>
        </is>
      </c>
      <c r="I865" t="inlineStr">
        <is>
          <t>Resources</t>
        </is>
      </c>
      <c r="M865" t="inlineStr">
        <is>
          <t>In-game Market for 35 Platinum.</t>
        </is>
      </c>
      <c r="N865" t="inlineStr">
        <is>
          <t>Market/Equipment</t>
        </is>
      </c>
      <c r="O865" t="inlineStr">
        <is>
          <t>Saved a concrete acquisition place from the official Warframe Wiki. Market/Equipment lists it with a Platinum price.</t>
        </is>
      </c>
    </row>
    <row r="866">
      <c r="A866" t="inlineStr">
        <is>
          <t>/Lotus/Types/Items/ShipDecos/CCTeamBRaptorBobbleHead</t>
        </is>
      </c>
      <c r="B866" t="inlineStr">
        <is>
          <t>Noggle Statue - Raptor Rx</t>
        </is>
      </c>
      <c r="C866" t="inlineStr">
        <is>
          <t>https://wiki.warframe.com/w/Market/Equipment</t>
        </is>
      </c>
      <c r="D866" t="inlineStr">
        <is>
          <t>ExportResources</t>
        </is>
      </c>
      <c r="F866" t="inlineStr">
        <is>
          <t>Noggle Statue - Raptor Rx</t>
        </is>
      </c>
      <c r="H866" t="inlineStr">
        <is>
          <t>Solved: current place verified and archived 2026-10-16.</t>
        </is>
      </c>
      <c r="I866" t="inlineStr">
        <is>
          <t>Resources</t>
        </is>
      </c>
      <c r="M866" t="inlineStr">
        <is>
          <t>In-game Market for 35 Platinum.</t>
        </is>
      </c>
      <c r="N866" t="inlineStr">
        <is>
          <t>Market/Equipment</t>
        </is>
      </c>
      <c r="O866" t="inlineStr">
        <is>
          <t>Saved a concrete acquisition place from the official Warframe Wiki. Market/Equipment lists it with a Platinum price.</t>
        </is>
      </c>
    </row>
    <row r="867">
      <c r="A867" t="inlineStr">
        <is>
          <t>/Lotus/Types/Items/ShipDecos/RhinoBobbleHead</t>
        </is>
      </c>
      <c r="B867" t="inlineStr">
        <is>
          <t>Noggle Statue - Rhino</t>
        </is>
      </c>
      <c r="C867" t="inlineStr">
        <is>
          <t>https://wiki.warframe.com/w/Market/Equipment</t>
        </is>
      </c>
      <c r="D867" t="inlineStr">
        <is>
          <t>ExportResources</t>
        </is>
      </c>
      <c r="F867" t="inlineStr">
        <is>
          <t>Noggle Statue - Rhino</t>
        </is>
      </c>
      <c r="H867" t="inlineStr">
        <is>
          <t>Solved: current place verified and archived 2026-10-16.</t>
        </is>
      </c>
      <c r="I867" t="inlineStr">
        <is>
          <t>Resources</t>
        </is>
      </c>
      <c r="M867" t="inlineStr">
        <is>
          <t>In-game Market for 35 Platinum.</t>
        </is>
      </c>
      <c r="N867" t="inlineStr">
        <is>
          <t>Market/Equipment</t>
        </is>
      </c>
      <c r="O867" t="inlineStr">
        <is>
          <t>Saved a concrete acquisition place from the official Warframe Wiki. Market/Equipment lists it with a Platinum price.</t>
        </is>
      </c>
    </row>
    <row r="868">
      <c r="A868" t="inlineStr">
        <is>
          <t>/Lotus/Types/Items/ShipDecos/SargusRukBobbleHead</t>
        </is>
      </c>
      <c r="B868" t="inlineStr">
        <is>
          <t>Noggle Statue - Sargas Ruk</t>
        </is>
      </c>
      <c r="C868" t="inlineStr">
        <is>
          <t>https://wiki.warframe.com/w/Market/Equipment</t>
        </is>
      </c>
      <c r="D868" t="inlineStr">
        <is>
          <t>ExportResources</t>
        </is>
      </c>
      <c r="F868" t="inlineStr">
        <is>
          <t>Noggle Statue - Sargas Ruk</t>
        </is>
      </c>
      <c r="H868" t="inlineStr">
        <is>
          <t>Solved: current place verified and archived 2026-10-16.</t>
        </is>
      </c>
      <c r="I868" t="inlineStr">
        <is>
          <t>Resources</t>
        </is>
      </c>
      <c r="M868" t="inlineStr">
        <is>
          <t>In-game Market for 35 Platinum.</t>
        </is>
      </c>
      <c r="N868" t="inlineStr">
        <is>
          <t>Market/Equipment</t>
        </is>
      </c>
      <c r="O868" t="inlineStr">
        <is>
          <t>Saved a concrete acquisition place from the official Warframe Wiki. Market/Equipment lists it with a Platinum price.</t>
        </is>
      </c>
    </row>
    <row r="869">
      <c r="A869" t="inlineStr">
        <is>
          <t>/Lotus/Types/Items/ShipDecos/SarynBobbleHead</t>
        </is>
      </c>
      <c r="B869" t="inlineStr">
        <is>
          <t>Noggle Statue - Saryn</t>
        </is>
      </c>
      <c r="C869" t="inlineStr">
        <is>
          <t>https://wiki.warframe.com/w/Market/Equipment</t>
        </is>
      </c>
      <c r="D869" t="inlineStr">
        <is>
          <t>ExportResources</t>
        </is>
      </c>
      <c r="F869" t="inlineStr">
        <is>
          <t>Noggle Statue - Saryn</t>
        </is>
      </c>
      <c r="H869" t="inlineStr">
        <is>
          <t>Solved: current place verified and archived 2026-10-16.</t>
        </is>
      </c>
      <c r="I869" t="inlineStr">
        <is>
          <t>Resources</t>
        </is>
      </c>
      <c r="M869" t="inlineStr">
        <is>
          <t>In-game Market for 35 Platinum.</t>
        </is>
      </c>
      <c r="N869" t="inlineStr">
        <is>
          <t>Market/Equipment</t>
        </is>
      </c>
      <c r="O869" t="inlineStr">
        <is>
          <t>Saved a concrete acquisition place from the official Warframe Wiki. Market/Equipment lists it with a Platinum price.</t>
        </is>
      </c>
    </row>
    <row r="870">
      <c r="A870" t="inlineStr">
        <is>
          <t>/Lotus/Types/Items/ShipDecos/TheLotusBobbleHead</t>
        </is>
      </c>
      <c r="B870" t="inlineStr">
        <is>
          <t>Noggle Statue - The Lotus</t>
        </is>
      </c>
      <c r="C870" t="inlineStr">
        <is>
          <t>https://wiki.warframe.com/w/Market/Equipment</t>
        </is>
      </c>
      <c r="D870" t="inlineStr">
        <is>
          <t>ExportResources</t>
        </is>
      </c>
      <c r="F870" t="inlineStr">
        <is>
          <t>Noggle Statue - The Lotus</t>
        </is>
      </c>
      <c r="H870" t="inlineStr">
        <is>
          <t>Solved: current place verified and archived 2026-10-16.</t>
        </is>
      </c>
      <c r="I870" t="inlineStr">
        <is>
          <t>Resources</t>
        </is>
      </c>
      <c r="M870" t="inlineStr">
        <is>
          <t>In-game Market for 35 Platinum.</t>
        </is>
      </c>
      <c r="N870" t="inlineStr">
        <is>
          <t>Market/Equipment</t>
        </is>
      </c>
      <c r="O870" t="inlineStr">
        <is>
          <t>Saved a concrete acquisition place from the official Warframe Wiki. Market/Equipment lists it with a Platinum price.</t>
        </is>
      </c>
    </row>
    <row r="871">
      <c r="A871" t="inlineStr">
        <is>
          <t>/Lotus/Types/Items/ShipDecos/CCTeamCStealthBobbleHead</t>
        </is>
      </c>
      <c r="B871" t="inlineStr">
        <is>
          <t>Noggle Statue - Tia Mayn</t>
        </is>
      </c>
      <c r="C871" t="inlineStr">
        <is>
          <t>https://wiki.warframe.com/w/Market/Equipment</t>
        </is>
      </c>
      <c r="D871" t="inlineStr">
        <is>
          <t>ExportResources</t>
        </is>
      </c>
      <c r="F871" t="inlineStr">
        <is>
          <t>Noggle Statue - Tia Mayn</t>
        </is>
      </c>
      <c r="H871" t="inlineStr">
        <is>
          <t>Solved: current place verified and archived 2026-10-16.</t>
        </is>
      </c>
      <c r="I871" t="inlineStr">
        <is>
          <t>Resources</t>
        </is>
      </c>
      <c r="M871" t="inlineStr">
        <is>
          <t>In-game Market for 35 Platinum.</t>
        </is>
      </c>
      <c r="N871" t="inlineStr">
        <is>
          <t>Market/Equipment</t>
        </is>
      </c>
      <c r="O871" t="inlineStr">
        <is>
          <t>Saved a concrete acquisition place from the official Warframe Wiki. Market/Equipment lists it with a Platinum price.</t>
        </is>
      </c>
    </row>
    <row r="872">
      <c r="A872" t="inlineStr">
        <is>
          <t>/Lotus/Types/Items/ShipDecos/TitaniaBobbleHead</t>
        </is>
      </c>
      <c r="B872" t="inlineStr">
        <is>
          <t>Noggle Statue - Titania</t>
        </is>
      </c>
      <c r="D872" t="inlineStr">
        <is>
          <t>ExportResources</t>
        </is>
      </c>
      <c r="F872" t="inlineStr">
        <is>
          <t>Noggle Statue - Titania</t>
        </is>
      </c>
      <c r="H872" t="inlineStr">
        <is>
          <t>Solved: current place verified and archived 2026-10-16.</t>
        </is>
      </c>
      <c r="I872" t="inlineStr">
        <is>
          <t>Resources</t>
        </is>
      </c>
      <c r="M872" t="inlineStr">
        <is>
          <t>In-game Market for 35 Platinum.</t>
        </is>
      </c>
      <c r="O872" t="inlineStr">
        <is>
          <t>No wiki page uses this exact name.</t>
        </is>
      </c>
    </row>
    <row r="873">
      <c r="A873" t="inlineStr">
        <is>
          <t>/Lotus/Types/Items/ShipDecos/TrinityBobbleHead</t>
        </is>
      </c>
      <c r="B873" t="inlineStr">
        <is>
          <t>Noggle Statue - Trinity</t>
        </is>
      </c>
      <c r="C873" t="inlineStr">
        <is>
          <t>https://wiki.warframe.com/w/Market/Equipment</t>
        </is>
      </c>
      <c r="D873" t="inlineStr">
        <is>
          <t>ExportResources</t>
        </is>
      </c>
      <c r="F873" t="inlineStr">
        <is>
          <t>Noggle Statue - Trinity</t>
        </is>
      </c>
      <c r="H873" t="inlineStr">
        <is>
          <t>Solved: current place verified and archived 2026-10-16.</t>
        </is>
      </c>
      <c r="I873" t="inlineStr">
        <is>
          <t>Resources</t>
        </is>
      </c>
      <c r="M873" t="inlineStr">
        <is>
          <t>In-game Market for 35 Platinum.</t>
        </is>
      </c>
      <c r="N873" t="inlineStr">
        <is>
          <t>Market/Equipment</t>
        </is>
      </c>
      <c r="O873" t="inlineStr">
        <is>
          <t>Saved a concrete acquisition place from the official Warframe Wiki. Market/Equipment lists it with a Platinum price.</t>
        </is>
      </c>
    </row>
    <row r="874">
      <c r="A874" t="inlineStr">
        <is>
          <t>/Lotus/Types/Items/ShipDecos/TylRegorBobbleHead</t>
        </is>
      </c>
      <c r="B874" t="inlineStr">
        <is>
          <t>Noggle Statue - Tyl Regor</t>
        </is>
      </c>
      <c r="D874" t="inlineStr">
        <is>
          <t>ExportResources</t>
        </is>
      </c>
      <c r="F874" t="inlineStr">
        <is>
          <t>Noggle Statue - Tyl Regor</t>
        </is>
      </c>
      <c r="H874" t="inlineStr">
        <is>
          <t>Solved: current place verified and archived 2026-10-16.</t>
        </is>
      </c>
      <c r="I874" t="inlineStr">
        <is>
          <t>Resources</t>
        </is>
      </c>
      <c r="M874" t="inlineStr">
        <is>
          <t>In-game Market for 35 Platinum.</t>
        </is>
      </c>
      <c r="O874" t="inlineStr">
        <is>
          <t>No wiki page uses this exact name.</t>
        </is>
      </c>
    </row>
    <row r="875">
      <c r="A875" t="inlineStr">
        <is>
          <t>/Lotus/Types/Items/ShipDecos/ValkyrBobbleHead</t>
        </is>
      </c>
      <c r="B875" t="inlineStr">
        <is>
          <t>Noggle Statue - Valkyr</t>
        </is>
      </c>
      <c r="C875" t="inlineStr">
        <is>
          <t>https://wiki.warframe.com/w/Market/Equipment</t>
        </is>
      </c>
      <c r="D875" t="inlineStr">
        <is>
          <t>ExportResources</t>
        </is>
      </c>
      <c r="F875" t="inlineStr">
        <is>
          <t>Noggle Statue - Valkyr</t>
        </is>
      </c>
      <c r="H875" t="inlineStr">
        <is>
          <t>Solved: current place verified and archived 2026-10-16.</t>
        </is>
      </c>
      <c r="I875" t="inlineStr">
        <is>
          <t>Resources</t>
        </is>
      </c>
      <c r="M875" t="inlineStr">
        <is>
          <t>In-game Market for 35 Platinum.</t>
        </is>
      </c>
      <c r="N875" t="inlineStr">
        <is>
          <t>Market/Equipment</t>
        </is>
      </c>
      <c r="O875" t="inlineStr">
        <is>
          <t>Saved a concrete acquisition place from the official Warframe Wiki. Market/Equipment lists it with a Platinum price.</t>
        </is>
      </c>
    </row>
    <row r="876">
      <c r="A876" t="inlineStr">
        <is>
          <t>/Lotus/Types/Items/ShipDecos/VaubanBobbleHead</t>
        </is>
      </c>
      <c r="B876" t="inlineStr">
        <is>
          <t>Noggle Statue - Vauban</t>
        </is>
      </c>
      <c r="C876" t="inlineStr">
        <is>
          <t>https://wiki.warframe.com/w/Market/Equipment</t>
        </is>
      </c>
      <c r="D876" t="inlineStr">
        <is>
          <t>ExportResources</t>
        </is>
      </c>
      <c r="F876" t="inlineStr">
        <is>
          <t>Noggle Statue - Vauban</t>
        </is>
      </c>
      <c r="H876" t="inlineStr">
        <is>
          <t>Solved: current place verified and archived 2026-10-16.</t>
        </is>
      </c>
      <c r="I876" t="inlineStr">
        <is>
          <t>Resources</t>
        </is>
      </c>
      <c r="M876" t="inlineStr">
        <is>
          <t>In-game Market for 35 Platinum.</t>
        </is>
      </c>
      <c r="N876" t="inlineStr">
        <is>
          <t>Market/Equipment</t>
        </is>
      </c>
      <c r="O876" t="inlineStr">
        <is>
          <t>Saved a concrete acquisition place from the official Warframe Wiki. Market/Equipment lists it with a Platinum price.</t>
        </is>
      </c>
    </row>
    <row r="877">
      <c r="A877" t="inlineStr">
        <is>
          <t>/Lotus/Types/Items/ShipDecos/CCTeamAHeavyBobbleHead</t>
        </is>
      </c>
      <c r="B877" t="inlineStr">
        <is>
          <t>Noggle Statue - Ved Xol</t>
        </is>
      </c>
      <c r="C877" t="inlineStr">
        <is>
          <t>https://wiki.warframe.com/w/Market/Equipment</t>
        </is>
      </c>
      <c r="D877" t="inlineStr">
        <is>
          <t>ExportResources</t>
        </is>
      </c>
      <c r="F877" t="inlineStr">
        <is>
          <t>Noggle Statue - Ved Xol</t>
        </is>
      </c>
      <c r="H877" t="inlineStr">
        <is>
          <t>Solved: current place verified and archived 2026-10-16.</t>
        </is>
      </c>
      <c r="I877" t="inlineStr">
        <is>
          <t>Resources</t>
        </is>
      </c>
      <c r="M877" t="inlineStr">
        <is>
          <t>In-game Market for 35 Platinum.</t>
        </is>
      </c>
      <c r="N877" t="inlineStr">
        <is>
          <t>Market/Equipment</t>
        </is>
      </c>
      <c r="O877" t="inlineStr">
        <is>
          <t>Saved a concrete acquisition place from the official Warframe Wiki. Market/Equipment lists it with a Platinum price.</t>
        </is>
      </c>
    </row>
    <row r="878">
      <c r="A878" t="inlineStr">
        <is>
          <t>/Lotus/Types/Items/ShipDecos/VoltBobbleHead</t>
        </is>
      </c>
      <c r="B878" t="inlineStr">
        <is>
          <t>Noggle Statue - Volt</t>
        </is>
      </c>
      <c r="C878" t="inlineStr">
        <is>
          <t>https://wiki.warframe.com/w/Market/Equipment</t>
        </is>
      </c>
      <c r="D878" t="inlineStr">
        <is>
          <t>ExportResources</t>
        </is>
      </c>
      <c r="F878" t="inlineStr">
        <is>
          <t>Noggle Statue - Volt</t>
        </is>
      </c>
      <c r="H878" t="inlineStr">
        <is>
          <t>Solved: current place verified and archived 2026-10-16.</t>
        </is>
      </c>
      <c r="I878" t="inlineStr">
        <is>
          <t>Resources</t>
        </is>
      </c>
      <c r="M878" t="inlineStr">
        <is>
          <t>In-game Market for 35 Platinum.</t>
        </is>
      </c>
      <c r="N878" t="inlineStr">
        <is>
          <t>Market/Equipment</t>
        </is>
      </c>
      <c r="O878" t="inlineStr">
        <is>
          <t>Saved a concrete acquisition place from the official Warframe Wiki. Market/Equipment lists it with a Platinum price.</t>
        </is>
      </c>
    </row>
    <row r="879">
      <c r="A879" t="inlineStr">
        <is>
          <t>/Lotus/Types/Items/ShipDecos/VorBobbleHead</t>
        </is>
      </c>
      <c r="B879" t="inlineStr">
        <is>
          <t>Noggle Statue - Vor</t>
        </is>
      </c>
      <c r="C879" t="inlineStr">
        <is>
          <t>https://wiki.warframe.com/w/Market/Equipment</t>
        </is>
      </c>
      <c r="D879" t="inlineStr">
        <is>
          <t>ExportResources</t>
        </is>
      </c>
      <c r="F879" t="inlineStr">
        <is>
          <t>Noggle Statue - Vor</t>
        </is>
      </c>
      <c r="H879" t="inlineStr">
        <is>
          <t>Solved: current place verified and archived 2026-10-16.</t>
        </is>
      </c>
      <c r="I879" t="inlineStr">
        <is>
          <t>Resources</t>
        </is>
      </c>
      <c r="M879" t="inlineStr">
        <is>
          <t>In-game Market for 35 Platinum.</t>
        </is>
      </c>
      <c r="N879" t="inlineStr">
        <is>
          <t>Market/Equipment</t>
        </is>
      </c>
      <c r="O879" t="inlineStr">
        <is>
          <t>Saved a concrete acquisition place from the official Warframe Wiki. Market/Equipment lists it with a Platinum price.</t>
        </is>
      </c>
    </row>
    <row r="880">
      <c r="A880" t="inlineStr">
        <is>
          <t>/Lotus/Types/Items/ShipDecos/WukongBobbleHead</t>
        </is>
      </c>
      <c r="B880" t="inlineStr">
        <is>
          <t>Noggle Statue - Wukong</t>
        </is>
      </c>
      <c r="C880" t="inlineStr">
        <is>
          <t>https://wiki.warframe.com/w/Market/Equipment</t>
        </is>
      </c>
      <c r="D880" t="inlineStr">
        <is>
          <t>ExportResources</t>
        </is>
      </c>
      <c r="F880" t="inlineStr">
        <is>
          <t>Noggle Statue - Wukong</t>
        </is>
      </c>
      <c r="H880" t="inlineStr">
        <is>
          <t>Solved: current place verified and archived 2026-10-16.</t>
        </is>
      </c>
      <c r="I880" t="inlineStr">
        <is>
          <t>Resources</t>
        </is>
      </c>
      <c r="M880" t="inlineStr">
        <is>
          <t>In-game Market for 35 Platinum.</t>
        </is>
      </c>
      <c r="N880" t="inlineStr">
        <is>
          <t>Market/Equipment</t>
        </is>
      </c>
      <c r="O880" t="inlineStr">
        <is>
          <t>Saved a concrete acquisition place from the official Warframe Wiki. Market/Equipment lists it with a Platinum price.</t>
        </is>
      </c>
    </row>
    <row r="881">
      <c r="A881" t="inlineStr">
        <is>
          <t>/Lotus/Types/Items/ShipDecos/YareliMerulinaBobbleHead</t>
        </is>
      </c>
      <c r="B881" t="inlineStr">
        <is>
          <t>Noggle Statue - Yareli And Merulina</t>
        </is>
      </c>
      <c r="C881" t="inlineStr">
        <is>
          <t>https://wiki.warframe.com/w/Dog_Days | https://wiki.warframe.com/w/Nightwave/Nora's_Choice</t>
        </is>
      </c>
      <c r="D881" t="inlineStr">
        <is>
          <t>ExportResources</t>
        </is>
      </c>
      <c r="F881" t="inlineStr">
        <is>
          <t>Noggle Statue - Yareli And Merulina</t>
        </is>
      </c>
      <c r="H881" t="inlineStr">
        <is>
          <t>Solved: current place verified and archived 2026-10-16.</t>
        </is>
      </c>
      <c r="I881" t="inlineStr">
        <is>
          <t>Resources</t>
        </is>
      </c>
      <c r="M881" t="inlineStr">
        <is>
          <t>Purchase from the Dog Days event store for 140 Nakak Pearls.</t>
        </is>
      </c>
      <c r="N881" t="inlineStr">
        <is>
          <t>Dog Days | Nightwave/Nora's Choice | Update 36</t>
        </is>
      </c>
      <c r="O881" t="inlineStr">
        <is>
          <t>We found more than one answer for where it comes from. Look at place from wiki page — the answers are separated by | — and pick the right one.</t>
        </is>
      </c>
    </row>
    <row r="882">
      <c r="A882" t="inlineStr">
        <is>
          <t>/Lotus/Types/Items/ShipDecos/ZephyrBobbleHead</t>
        </is>
      </c>
      <c r="B882" t="inlineStr">
        <is>
          <t>Noggle Statue - Zephyr</t>
        </is>
      </c>
      <c r="C882" t="inlineStr">
        <is>
          <t>https://wiki.warframe.com/w/Market/Equipment</t>
        </is>
      </c>
      <c r="D882" t="inlineStr">
        <is>
          <t>ExportResources</t>
        </is>
      </c>
      <c r="F882" t="inlineStr">
        <is>
          <t>Noggle Statue - Zephyr</t>
        </is>
      </c>
      <c r="H882" t="inlineStr">
        <is>
          <t>Solved: current place verified and archived 2026-10-16.</t>
        </is>
      </c>
      <c r="I882" t="inlineStr">
        <is>
          <t>Resources</t>
        </is>
      </c>
      <c r="M882" t="inlineStr">
        <is>
          <t>In-game Market for 35 Platinum.</t>
        </is>
      </c>
      <c r="N882" t="inlineStr">
        <is>
          <t>Market/Equipment</t>
        </is>
      </c>
      <c r="O882" t="inlineStr">
        <is>
          <t>Saved a concrete acquisition place from the official Warframe Wiki. Market/Equipment lists it with a Platinum price.</t>
        </is>
      </c>
    </row>
    <row r="883">
      <c r="A883" t="inlineStr">
        <is>
          <t>/Lotus/Types/Items/ShipDecos/TarotCardNokko</t>
        </is>
      </c>
      <c r="B883" t="inlineStr">
        <is>
          <t>Nokko Prex</t>
        </is>
      </c>
      <c r="C883" t="inlineStr">
        <is>
          <t>https://wiki.warframe.com/w/Decorations/Orbiter_Decorations</t>
        </is>
      </c>
      <c r="D883" t="inlineStr">
        <is>
          <t>ExportResources</t>
        </is>
      </c>
      <c r="F883" t="inlineStr">
        <is>
          <t>Nokko Prex</t>
        </is>
      </c>
      <c r="H883" t="inlineStr">
        <is>
          <t>Solved: current place verified and archived 2026-10-16.</t>
        </is>
      </c>
      <c r="I883" t="inlineStr">
        <is>
          <t>Resources</t>
        </is>
      </c>
      <c r="M883" t="inlineStr">
        <is>
          <t>Hidden pickup in Fortuna, Venus: in The Airlock, behind some large crates on the upper balcony.</t>
        </is>
      </c>
      <c r="N883" t="inlineStr">
        <is>
          <t>Decorations/Orbiter Decorations</t>
        </is>
      </c>
      <c r="O883" t="inlineStr">
        <is>
          <t>Saved a concrete acquisition place from the official Warframe Wiki. Orbiter Decorations Prex table and Prex Locations list.</t>
        </is>
      </c>
    </row>
    <row r="884">
      <c r="A884" t="inlineStr">
        <is>
          <t>/Lotus/Types/Items/MiscItems/NoraIntermissionFourCreds</t>
        </is>
      </c>
      <c r="B884" t="inlineStr">
        <is>
          <t>Nora's Choice Cred</t>
        </is>
      </c>
      <c r="C884" t="inlineStr">
        <is>
          <t>https://wiki.warframe.com/w/Nightwave/Nora's_Choice</t>
        </is>
      </c>
      <c r="D884" t="inlineStr">
        <is>
          <t>ExportResources</t>
        </is>
      </c>
      <c r="G884" t="inlineStr">
        <is>
          <t>Nightwave/Nora's Choice</t>
        </is>
      </c>
      <c r="H884" t="inlineStr">
        <is>
          <t>Solved: current place verified and archived 2026-10-16.</t>
        </is>
      </c>
      <c r="I884" t="inlineStr">
        <is>
          <t>Resources</t>
        </is>
      </c>
      <c r="J884" t="inlineStr">
        <is>
          <t>Resources_data</t>
        </is>
      </c>
      <c r="K884" t="inlineStr">
        <is>
          <t>Resources/data</t>
        </is>
      </c>
      <c r="L884" t="inlineStr">
        <is>
          <t>listed, no place</t>
        </is>
      </c>
      <c r="M884" t="inlineStr">
        <is>
          <t>Not currently obtainable.</t>
        </is>
      </c>
      <c r="N884" t="inlineStr">
        <is>
          <t>Nightwave/Nora's Choice</t>
        </is>
      </c>
      <c r="O884" t="inlineStr">
        <is>
          <t>Saved a concrete acquisition place from the official Warframe Wiki.</t>
        </is>
      </c>
    </row>
    <row r="885">
      <c r="A885" t="inlineStr">
        <is>
          <t>/Lotus/Types/Items/MiscItems/NoraIntermissionFiveCreds</t>
        </is>
      </c>
      <c r="B885" t="inlineStr">
        <is>
          <t>Nora's Mix Vol. 1 Cred</t>
        </is>
      </c>
      <c r="C885" t="inlineStr">
        <is>
          <t>https://wiki.warframe.com/w/Nightwave/Nora's_Mix_Volume_1</t>
        </is>
      </c>
      <c r="D885" t="inlineStr">
        <is>
          <t>ExportResources</t>
        </is>
      </c>
      <c r="G885" t="inlineStr">
        <is>
          <t>Nightwave/Nora's Mix Volume 1</t>
        </is>
      </c>
      <c r="H885" t="inlineStr">
        <is>
          <t>Solved: current place verified and archived 2026-10-16.</t>
        </is>
      </c>
      <c r="I885" t="inlineStr">
        <is>
          <t>Resources</t>
        </is>
      </c>
      <c r="J885" t="inlineStr">
        <is>
          <t>Resources_data</t>
        </is>
      </c>
      <c r="K885" t="inlineStr">
        <is>
          <t>Resources/data</t>
        </is>
      </c>
      <c r="L885" t="inlineStr">
        <is>
          <t>listed, no place</t>
        </is>
      </c>
      <c r="M885" t="inlineStr">
        <is>
          <t>Not currently obtainable.</t>
        </is>
      </c>
      <c r="N885" t="inlineStr">
        <is>
          <t>Nightwave/Nora's Mix Volume 1</t>
        </is>
      </c>
      <c r="O885" t="inlineStr">
        <is>
          <t>Saved a concrete acquisition place from the official Warframe Wiki.</t>
        </is>
      </c>
    </row>
    <row r="886">
      <c r="A886" t="inlineStr">
        <is>
          <t>/Lotus/Types/Items/MiscItems/NoraIntermissionSixCreds</t>
        </is>
      </c>
      <c r="B886" t="inlineStr">
        <is>
          <t>Nora's Mix Vol. 2 Cred</t>
        </is>
      </c>
      <c r="C886" t="inlineStr">
        <is>
          <t>https://wiki.warframe.com/w/Nightwave/Nora's_Mix_Volume_2</t>
        </is>
      </c>
      <c r="D886" t="inlineStr">
        <is>
          <t>ExportResources</t>
        </is>
      </c>
      <c r="G886" t="inlineStr">
        <is>
          <t>Nightwave/Nora's Mix Volume 2</t>
        </is>
      </c>
      <c r="H886" t="inlineStr">
        <is>
          <t>Solved: current place verified and archived 2026-10-16.</t>
        </is>
      </c>
      <c r="I886" t="inlineStr">
        <is>
          <t>Resources</t>
        </is>
      </c>
      <c r="J886" t="inlineStr">
        <is>
          <t>Resources_data</t>
        </is>
      </c>
      <c r="K886" t="inlineStr">
        <is>
          <t>Resources/data</t>
        </is>
      </c>
      <c r="L886" t="inlineStr">
        <is>
          <t>listed, no place</t>
        </is>
      </c>
      <c r="M886" t="inlineStr">
        <is>
          <t>Not currently obtainable.</t>
        </is>
      </c>
      <c r="N886" t="inlineStr">
        <is>
          <t>Nightwave/Nora's Mix Volume 2</t>
        </is>
      </c>
      <c r="O886" t="inlineStr">
        <is>
          <t>Saved a concrete acquisition place from the official Warframe Wiki.</t>
        </is>
      </c>
    </row>
    <row r="887">
      <c r="A887" t="inlineStr">
        <is>
          <t>/Lotus/Types/Items/MiscItems/NoraIntermissionSevenCreds</t>
        </is>
      </c>
      <c r="B887" t="inlineStr">
        <is>
          <t>Nora's Mix Vol. 3 Cred</t>
        </is>
      </c>
      <c r="C887" t="inlineStr">
        <is>
          <t>https://wiki.warframe.com/w/Nightwave/Nora's_Mix_Volume_3</t>
        </is>
      </c>
      <c r="D887" t="inlineStr">
        <is>
          <t>ExportResources</t>
        </is>
      </c>
      <c r="G887" t="inlineStr">
        <is>
          <t>Nightwave/Nora's Mix Volume 3</t>
        </is>
      </c>
      <c r="H887" t="inlineStr">
        <is>
          <t>Solved: current place verified and archived 2026-10-16.</t>
        </is>
      </c>
      <c r="I887" t="inlineStr">
        <is>
          <t>Resources</t>
        </is>
      </c>
      <c r="J887" t="inlineStr">
        <is>
          <t>Resources_data</t>
        </is>
      </c>
      <c r="K887" t="inlineStr">
        <is>
          <t>Resources/data</t>
        </is>
      </c>
      <c r="L887" t="inlineStr">
        <is>
          <t>listed, no place</t>
        </is>
      </c>
      <c r="M887" t="inlineStr">
        <is>
          <t>Not currently obtainable.</t>
        </is>
      </c>
      <c r="N887" t="inlineStr">
        <is>
          <t>Nightwave/Nora's Mix Volume 3</t>
        </is>
      </c>
      <c r="O887" t="inlineStr">
        <is>
          <t>Saved a concrete acquisition place from the official Warframe Wiki.</t>
        </is>
      </c>
    </row>
    <row r="888">
      <c r="A888" t="inlineStr">
        <is>
          <t>/Lotus/Types/Items/MiscItems/NoraIntermissionEightCreds</t>
        </is>
      </c>
      <c r="B888" t="inlineStr">
        <is>
          <t>Nora's Mix Vol. 4 Cred</t>
        </is>
      </c>
      <c r="C888" t="inlineStr">
        <is>
          <t>https://wiki.warframe.com/w/Nightwave/Nora's_Mix_Volume_4</t>
        </is>
      </c>
      <c r="D888" t="inlineStr">
        <is>
          <t>ExportResources</t>
        </is>
      </c>
      <c r="G888" t="inlineStr">
        <is>
          <t>Nightwave/Nora's Mix Volume 4</t>
        </is>
      </c>
      <c r="H888" t="inlineStr">
        <is>
          <t>Solved: current place verified and archived 2026-10-16.</t>
        </is>
      </c>
      <c r="I888" t="inlineStr">
        <is>
          <t>Resources</t>
        </is>
      </c>
      <c r="J888" t="inlineStr">
        <is>
          <t>Resources_data</t>
        </is>
      </c>
      <c r="K888" t="inlineStr">
        <is>
          <t>Resources/data</t>
        </is>
      </c>
      <c r="L888" t="inlineStr">
        <is>
          <t>listed, no place</t>
        </is>
      </c>
      <c r="M888" t="inlineStr">
        <is>
          <t>Not currently obtainable.</t>
        </is>
      </c>
      <c r="N888" t="inlineStr">
        <is>
          <t>Nightwave/Nora's Mix Volume 4</t>
        </is>
      </c>
      <c r="O888" t="inlineStr">
        <is>
          <t>Saved a concrete acquisition place from the official Warframe Wiki.</t>
        </is>
      </c>
    </row>
    <row r="889">
      <c r="A889" t="inlineStr">
        <is>
          <t>/Lotus/Types/Items/MiscItems/NoraIntermissionNineCreds</t>
        </is>
      </c>
      <c r="B889" t="inlineStr">
        <is>
          <t>Nora's Mix Vol. 5 Cred</t>
        </is>
      </c>
      <c r="C889" t="inlineStr">
        <is>
          <t>https://wiki.warframe.com/w/Nightwave/Nora's_Mix_Volume_5</t>
        </is>
      </c>
      <c r="D889" t="inlineStr">
        <is>
          <t>ExportResources</t>
        </is>
      </c>
      <c r="G889" t="inlineStr">
        <is>
          <t>Nightwave/Nora's Mix Volume 5</t>
        </is>
      </c>
      <c r="H889" t="inlineStr">
        <is>
          <t>Solved: current place verified and archived 2026-10-16.</t>
        </is>
      </c>
      <c r="I889" t="inlineStr">
        <is>
          <t>Resources</t>
        </is>
      </c>
      <c r="J889" t="inlineStr">
        <is>
          <t>Resources_data</t>
        </is>
      </c>
      <c r="K889" t="inlineStr">
        <is>
          <t>Resources/data</t>
        </is>
      </c>
      <c r="L889" t="inlineStr">
        <is>
          <t>listed, no place</t>
        </is>
      </c>
      <c r="M889" t="inlineStr">
        <is>
          <t>Not currently obtainable.</t>
        </is>
      </c>
      <c r="N889" t="inlineStr">
        <is>
          <t>Nightwave/Nora's Mix Volume 5</t>
        </is>
      </c>
      <c r="O889" t="inlineStr">
        <is>
          <t>Saved a concrete acquisition place from the official Warframe Wiki.</t>
        </is>
      </c>
    </row>
    <row r="890">
      <c r="A890" t="inlineStr">
        <is>
          <t>/Lotus/Types/Items/MiscItems/NoraIntermissionTenCreds</t>
        </is>
      </c>
      <c r="B890" t="inlineStr">
        <is>
          <t>Nora's Mix Vol. 6 Cred</t>
        </is>
      </c>
      <c r="C890" t="inlineStr">
        <is>
          <t>https://wiki.warframe.com/w/Nightwave/Nora's_Mix_Volume_6</t>
        </is>
      </c>
      <c r="D890" t="inlineStr">
        <is>
          <t>ExportResources</t>
        </is>
      </c>
      <c r="G890" t="inlineStr">
        <is>
          <t>Nightwave/Nora's Mix Volume 6</t>
        </is>
      </c>
      <c r="H890" t="inlineStr">
        <is>
          <t>Solved: current place verified and archived 2026-10-16.</t>
        </is>
      </c>
      <c r="I890" t="inlineStr">
        <is>
          <t>Resources</t>
        </is>
      </c>
      <c r="J890" t="inlineStr">
        <is>
          <t>Resources_data, Vendors_data</t>
        </is>
      </c>
      <c r="K890" t="inlineStr">
        <is>
          <t>Resources/data</t>
        </is>
      </c>
      <c r="L890" t="inlineStr">
        <is>
          <t>listed, no place</t>
        </is>
      </c>
      <c r="M890" t="inlineStr">
        <is>
          <t>Not currently obtainable.</t>
        </is>
      </c>
      <c r="N890" t="inlineStr">
        <is>
          <t>Nightwave/Nora's Mix Volume 6</t>
        </is>
      </c>
      <c r="O890" t="inlineStr">
        <is>
          <t>Saved a concrete acquisition place from the official Warframe Wiki.</t>
        </is>
      </c>
    </row>
    <row r="891">
      <c r="A891" t="inlineStr">
        <is>
          <t>/Lotus/Types/Items/MiscItems/NoraIntermissionElevenCreds</t>
        </is>
      </c>
      <c r="B891" t="inlineStr">
        <is>
          <t>Nora's Mix Vol. 7 Cred</t>
        </is>
      </c>
      <c r="C891" t="inlineStr">
        <is>
          <t>https://wiki.warframe.com/w/Nightwave/Nora's_Mix_Volume_7</t>
        </is>
      </c>
      <c r="D891" t="inlineStr">
        <is>
          <t>ExportResources</t>
        </is>
      </c>
      <c r="G891" t="inlineStr">
        <is>
          <t>Nightwave/Nora's Mix Volume 7</t>
        </is>
      </c>
      <c r="H891" t="inlineStr">
        <is>
          <t>Solved: current place verified and archived 2026-10-16.</t>
        </is>
      </c>
      <c r="I891" t="inlineStr">
        <is>
          <t>Resources</t>
        </is>
      </c>
      <c r="J891" t="inlineStr">
        <is>
          <t>Resources_data</t>
        </is>
      </c>
      <c r="K891" t="inlineStr">
        <is>
          <t>Resources/data</t>
        </is>
      </c>
      <c r="L891" t="inlineStr">
        <is>
          <t>listed, no place</t>
        </is>
      </c>
      <c r="M891" t="inlineStr">
        <is>
          <t>Not currently obtainable.</t>
        </is>
      </c>
      <c r="N891" t="inlineStr">
        <is>
          <t>Nightwave/Nora's Mix Volume 7</t>
        </is>
      </c>
      <c r="O891" t="inlineStr">
        <is>
          <t>Saved a concrete acquisition place from the official Warframe Wiki.</t>
        </is>
      </c>
    </row>
    <row r="892">
      <c r="A892" t="inlineStr">
        <is>
          <t>/Lotus/Types/Items/MiscItems/NoraIntermissionTwelveCreds</t>
        </is>
      </c>
      <c r="B892" t="inlineStr">
        <is>
          <t>Nora's Mix Vol. 8 Cred</t>
        </is>
      </c>
      <c r="C892" t="inlineStr">
        <is>
          <t>https://wiki.warframe.com/w/Nightwave/Nora's_Mix_Volume_8</t>
        </is>
      </c>
      <c r="D892" t="inlineStr">
        <is>
          <t>ExportResources</t>
        </is>
      </c>
      <c r="G892" t="inlineStr">
        <is>
          <t>Nightwave/Nora's Mix Volume 8</t>
        </is>
      </c>
      <c r="H892" t="inlineStr">
        <is>
          <t>Solved: current place verified and archived 2026-10-16.</t>
        </is>
      </c>
      <c r="I892" t="inlineStr">
        <is>
          <t>Resources</t>
        </is>
      </c>
      <c r="J892" t="inlineStr">
        <is>
          <t>Resources_data</t>
        </is>
      </c>
      <c r="K892" t="inlineStr">
        <is>
          <t>Resources/data</t>
        </is>
      </c>
      <c r="L892" t="inlineStr">
        <is>
          <t>listed, no place</t>
        </is>
      </c>
      <c r="M892" t="inlineStr">
        <is>
          <t>Not currently obtainable.</t>
        </is>
      </c>
      <c r="N892" t="inlineStr">
        <is>
          <t>Nightwave/Nora's Mix Volume 8</t>
        </is>
      </c>
      <c r="O892" t="inlineStr">
        <is>
          <t>Saved a concrete acquisition place from the official Warframe Wiki.</t>
        </is>
      </c>
    </row>
    <row r="893">
      <c r="A893" t="inlineStr">
        <is>
          <t>/Lotus/Types/Items/MiscItems/NoraIntermissionThirteenCreds</t>
        </is>
      </c>
      <c r="B893" t="inlineStr">
        <is>
          <t>Nora's Mix Vol. 9 Cred</t>
        </is>
      </c>
      <c r="C893" t="inlineStr">
        <is>
          <t>https://wiki.warframe.com/w/Nightwave/Nora's_Mix_Volume_9</t>
        </is>
      </c>
      <c r="D893" t="inlineStr">
        <is>
          <t>ExportResources</t>
        </is>
      </c>
      <c r="G893" t="inlineStr">
        <is>
          <t>Nightwave/Nora's Mix Volume 9</t>
        </is>
      </c>
      <c r="H893" t="inlineStr">
        <is>
          <t>Solved: current place verified and archived 2026-10-16.</t>
        </is>
      </c>
      <c r="I893" t="inlineStr">
        <is>
          <t>Resources</t>
        </is>
      </c>
      <c r="J893" t="inlineStr">
        <is>
          <t>Resources_data</t>
        </is>
      </c>
      <c r="K893" t="inlineStr">
        <is>
          <t>Resources/data</t>
        </is>
      </c>
      <c r="L893" t="inlineStr">
        <is>
          <t>listed, no place</t>
        </is>
      </c>
      <c r="M893" t="inlineStr">
        <is>
          <t>Not currently obtainable.</t>
        </is>
      </c>
      <c r="N893" t="inlineStr">
        <is>
          <t>Nightwave/Nora's Mix Volume 9</t>
        </is>
      </c>
      <c r="O893" t="inlineStr">
        <is>
          <t>Saved a concrete acquisition place from the official Warframe Wiki.</t>
        </is>
      </c>
    </row>
    <row r="894">
      <c r="A894" t="inlineStr">
        <is>
          <t>/Lotus/Types/Items/MiscItems/NoraIntermissionFourteenCreds</t>
        </is>
      </c>
      <c r="B894" t="inlineStr">
        <is>
          <t>Nora's Mix:
Dreams of the Dead Cred</t>
        </is>
      </c>
      <c r="C894" t="inlineStr">
        <is>
          <t>https://wiki.warframe.com/w/Nightwave/Nora's_Mix:_Dreams_of_the_Dead</t>
        </is>
      </c>
      <c r="D894" t="inlineStr">
        <is>
          <t>ExportResources</t>
        </is>
      </c>
      <c r="G894" t="inlineStr">
        <is>
          <t>Nightwave/Nora's Mix: Dreams of the Dead</t>
        </is>
      </c>
      <c r="H894" t="inlineStr">
        <is>
          <t>Solved: current place verified and archived 2026-10-16.</t>
        </is>
      </c>
      <c r="I894" t="inlineStr">
        <is>
          <t>Resources</t>
        </is>
      </c>
      <c r="J894" t="inlineStr">
        <is>
          <t>Resources_data</t>
        </is>
      </c>
      <c r="K894" t="inlineStr">
        <is>
          <t>Resources/data</t>
        </is>
      </c>
      <c r="L894" t="inlineStr">
        <is>
          <t>listed, no place</t>
        </is>
      </c>
      <c r="M894" t="inlineStr">
        <is>
          <t>Not currently obtainable.</t>
        </is>
      </c>
      <c r="N894" t="inlineStr">
        <is>
          <t>Nightwave/Nora's Mix: Dreams of the Dead</t>
        </is>
      </c>
      <c r="O894" t="inlineStr">
        <is>
          <t>Saved a concrete acquisition place from the official Warframe Wiki.</t>
        </is>
      </c>
    </row>
    <row r="895">
      <c r="A895" t="inlineStr">
        <is>
          <t>/Lotus/Types/Items/MiscItems/NoraIntermissionFifteenCreds</t>
        </is>
      </c>
      <c r="B895" t="inlineStr">
        <is>
          <t>Nora's Mix: Time Tempests Cred</t>
        </is>
      </c>
      <c r="C895" t="inlineStr">
        <is>
          <t>https://wiki.warframe.com/w/Nightwave/Nora's_Mix:_Time_Tempests</t>
        </is>
      </c>
      <c r="D895" t="inlineStr">
        <is>
          <t>ExportResources</t>
        </is>
      </c>
      <c r="G895" t="inlineStr">
        <is>
          <t>Nightwave/Nora's Mix: Time Tempests</t>
        </is>
      </c>
      <c r="H895" t="inlineStr">
        <is>
          <t>Solved: current place verified and archived 2026-10-16.</t>
        </is>
      </c>
      <c r="I895" t="inlineStr">
        <is>
          <t>Resources</t>
        </is>
      </c>
      <c r="J895" t="inlineStr">
        <is>
          <t>Resources_data</t>
        </is>
      </c>
      <c r="K895" t="inlineStr">
        <is>
          <t>Resources/data</t>
        </is>
      </c>
      <c r="L895" t="inlineStr">
        <is>
          <t>listed, no place</t>
        </is>
      </c>
      <c r="M895" t="inlineStr">
        <is>
          <t>Not currently obtainable.</t>
        </is>
      </c>
      <c r="N895" t="inlineStr">
        <is>
          <t>Nightwave/Nora's Mix: Time Tempests</t>
        </is>
      </c>
      <c r="O895" t="inlineStr">
        <is>
          <t>Saved a concrete acquisition place from the official Warframe Wiki.</t>
        </is>
      </c>
    </row>
    <row r="896">
      <c r="A896" t="inlineStr">
        <is>
          <t>/Lotus/Objects/Tenno/Props/TnoLisetTextProjector</t>
        </is>
      </c>
      <c r="B896" t="inlineStr">
        <is>
          <t>Note Beacon</t>
        </is>
      </c>
      <c r="C896" t="inlineStr">
        <is>
          <t>https://wiki.warframe.com/w/Text_Icons | https://wiki.warframe.com/w/Pride_(Event) | https://wiki.warframe.com/w/Decorations/Decoration_Mode | https://wiki.warframe.com/w/Clan_Dojo | https://wiki.warframe.com/w/Decorations/Orbiter_Decorations</t>
        </is>
      </c>
      <c r="D896" t="inlineStr">
        <is>
          <t>ExportResources</t>
        </is>
      </c>
      <c r="F896" t="inlineStr">
        <is>
          <t>Note Beacon</t>
        </is>
      </c>
      <c r="H896" t="inlineStr">
        <is>
          <t>Solved: current place verified and archived 2026-10-16.</t>
        </is>
      </c>
      <c r="I896" t="inlineStr">
        <is>
          <t>Resources</t>
        </is>
      </c>
      <c r="M896" t="inlineStr">
        <is>
          <t>In-game Market for 35 Platinum.</t>
        </is>
      </c>
      <c r="N896" t="inlineStr">
        <is>
          <t>Text Icons | Pride (Event) | Decorations/Decoration Mode | Clan Dojo | Decorations/Orbiter Decorations</t>
        </is>
      </c>
      <c r="O896" t="inlineStr">
        <is>
          <t>We copied where it comes from off the wiki page. See place from wiki page.</t>
        </is>
      </c>
    </row>
    <row r="897">
      <c r="A897" t="inlineStr">
        <is>
          <t>/Lotus/Types/Items/ShipDecos/TarotCardNova</t>
        </is>
      </c>
      <c r="B897" t="inlineStr">
        <is>
          <t>Nova Prex</t>
        </is>
      </c>
      <c r="C897" t="inlineStr">
        <is>
          <t>https://wiki.warframe.com/w/Decorations/Orbiter_Decorations</t>
        </is>
      </c>
      <c r="D897" t="inlineStr">
        <is>
          <t>ExportResources</t>
        </is>
      </c>
      <c r="F897" t="inlineStr">
        <is>
          <t>Nova Prex</t>
        </is>
      </c>
      <c r="H897" t="inlineStr">
        <is>
          <t>Solved: current place verified and archived 2026-10-16.</t>
        </is>
      </c>
      <c r="I897" t="inlineStr">
        <is>
          <t>Resources</t>
        </is>
      </c>
      <c r="M897" t="inlineStr">
        <is>
          <t>Hidden pickup in the Leverian; not visible until you've mastered Nova / Nova Prime.</t>
        </is>
      </c>
      <c r="N897" t="inlineStr">
        <is>
          <t>Decorations/Orbiter Decorations</t>
        </is>
      </c>
      <c r="O897" t="inlineStr">
        <is>
          <t>Saved a concrete acquisition place from the official Warframe Wiki. Orbiter Decorations Prex table and Prex Locations list.</t>
        </is>
      </c>
    </row>
    <row r="898">
      <c r="A898" t="inlineStr">
        <is>
          <t>/Lotus/Types/Recipes/Weapons/WeaponParts/DuelistBowGrip</t>
        </is>
      </c>
      <c r="B898" t="inlineStr">
        <is>
          <t>Nunchasa Grip</t>
        </is>
      </c>
      <c r="C898" t="inlineStr">
        <is>
          <t>https://wiki.warframe.com/w/Entropic_Kuva | https://wiki.warframe.com/w/Cephalon_Melica | https://wiki.warframe.com/w/Entrati_Lanthorn</t>
        </is>
      </c>
      <c r="D898" t="inlineStr">
        <is>
          <t>ExportResources</t>
        </is>
      </c>
      <c r="F898" t="inlineStr">
        <is>
          <t>Nunchasa Grip</t>
        </is>
      </c>
      <c r="H898" t="inlineStr">
        <is>
          <t>Solved: current place verified and archived 2026-10-16.</t>
        </is>
      </c>
      <c r="I898" t="inlineStr">
        <is>
          <t>Resources</t>
        </is>
      </c>
      <c r="M898" t="inlineStr">
        <is>
          <t>Purchase the blueprint from Cephalon Melica for 50 Entropic Kuva.</t>
        </is>
      </c>
      <c r="N898" t="inlineStr">
        <is>
          <t>Cephalon Melica</t>
        </is>
      </c>
      <c r="O898" t="inlineStr">
        <is>
          <t>Saved a concrete acquisition place from the official Warframe Wiki. Cephalon Melica page lists the blueprint in Classroom Supplies.</t>
        </is>
      </c>
    </row>
    <row r="899">
      <c r="A899" t="inlineStr">
        <is>
          <t>/Lotus/Types/Recipes/Weapons/WeaponParts/DuelistBowLowerLimb</t>
        </is>
      </c>
      <c r="B899" t="inlineStr">
        <is>
          <t>Nunchasa Lower Limb</t>
        </is>
      </c>
      <c r="C899" t="inlineStr">
        <is>
          <t>https://wiki.warframe.com/w/Entropic_Kuva | https://wiki.warframe.com/w/Cephalon_Melica | https://wiki.warframe.com/w/Voidplume_Pinion | https://wiki.warframe.com/w/Alloy_Plate</t>
        </is>
      </c>
      <c r="D899" t="inlineStr">
        <is>
          <t>ExportResources</t>
        </is>
      </c>
      <c r="F899" t="inlineStr">
        <is>
          <t>Nunchasa Lower Limb</t>
        </is>
      </c>
      <c r="H899" t="inlineStr">
        <is>
          <t>Solved: current place verified and archived 2026-10-16.</t>
        </is>
      </c>
      <c r="I899" t="inlineStr">
        <is>
          <t>Resources</t>
        </is>
      </c>
      <c r="M899" t="inlineStr">
        <is>
          <t>Purchase the blueprint from Cephalon Melica for 50 Entropic Kuva.</t>
        </is>
      </c>
      <c r="N899" t="inlineStr">
        <is>
          <t>Cephalon Melica</t>
        </is>
      </c>
      <c r="O899" t="inlineStr">
        <is>
          <t>Saved a concrete acquisition place from the official Warframe Wiki. Cephalon Melica page lists the blueprint in Classroom Supplies.</t>
        </is>
      </c>
    </row>
    <row r="900">
      <c r="A900" t="inlineStr">
        <is>
          <t>/Lotus/Types/Recipes/Weapons/WeaponParts/DuelistBowString</t>
        </is>
      </c>
      <c r="B900" t="inlineStr">
        <is>
          <t>Nunchasa String</t>
        </is>
      </c>
      <c r="C900" t="inlineStr">
        <is>
          <t>https://wiki.warframe.com/w/Entropic_Kuva | https://wiki.warframe.com/w/Cephalon_Melica</t>
        </is>
      </c>
      <c r="D900" t="inlineStr">
        <is>
          <t>ExportResources</t>
        </is>
      </c>
      <c r="F900" t="inlineStr">
        <is>
          <t>Nunchasa String</t>
        </is>
      </c>
      <c r="H900" t="inlineStr">
        <is>
          <t>Solved: current place verified and archived 2026-10-16.</t>
        </is>
      </c>
      <c r="I900" t="inlineStr">
        <is>
          <t>Resources</t>
        </is>
      </c>
      <c r="M900" t="inlineStr">
        <is>
          <t>Purchase the blueprint from Cephalon Melica for 50 Entropic Kuva.</t>
        </is>
      </c>
      <c r="N900" t="inlineStr">
        <is>
          <t>Cephalon Melica</t>
        </is>
      </c>
      <c r="O900" t="inlineStr">
        <is>
          <t>Saved a concrete acquisition place from the official Warframe Wiki. Cephalon Melica page lists the blueprint in Classroom Supplies.</t>
        </is>
      </c>
    </row>
    <row r="901">
      <c r="A901" t="inlineStr">
        <is>
          <t>/Lotus/Types/Recipes/Weapons/WeaponParts/DuelistBowUpperLimb</t>
        </is>
      </c>
      <c r="B901" t="inlineStr">
        <is>
          <t>Nunchasa Upper Limb</t>
        </is>
      </c>
      <c r="C901" t="inlineStr">
        <is>
          <t>https://wiki.warframe.com/w/Entropic_Kuva | https://wiki.warframe.com/w/Cephalon_Melica | https://wiki.warframe.com/w/Voidplume_Pinion | https://wiki.warframe.com/w/Alloy_Plate</t>
        </is>
      </c>
      <c r="D901" t="inlineStr">
        <is>
          <t>ExportResources</t>
        </is>
      </c>
      <c r="F901" t="inlineStr">
        <is>
          <t>Nunchasa Upper Limb</t>
        </is>
      </c>
      <c r="H901" t="inlineStr">
        <is>
          <t>Solved: current place verified and archived 2026-10-16.</t>
        </is>
      </c>
      <c r="I901" t="inlineStr">
        <is>
          <t>Resources</t>
        </is>
      </c>
      <c r="M901" t="inlineStr">
        <is>
          <t>Purchase the blueprint from Cephalon Melica for 50 Entropic Kuva.</t>
        </is>
      </c>
      <c r="N901" t="inlineStr">
        <is>
          <t>Cephalon Melica</t>
        </is>
      </c>
      <c r="O901" t="inlineStr">
        <is>
          <t>Saved a concrete acquisition place from the official Warframe Wiki. Cephalon Melica page lists the blueprint in Classroom Supplies.</t>
        </is>
      </c>
    </row>
    <row r="902">
      <c r="A902" t="inlineStr">
        <is>
          <t>/Lotus/Types/Items/ShipDecos/EntratiLabs/ORKxLabVesselEyeDeco</t>
        </is>
      </c>
      <c r="B902" t="inlineStr">
        <is>
          <t>Observant Vitreum</t>
        </is>
      </c>
      <c r="C902" t="inlineStr">
        <is>
          <t>https://wiki.warframe.com/w/Decorations/Orbiter_Decorations</t>
        </is>
      </c>
      <c r="D902" t="inlineStr">
        <is>
          <t>ExportResources</t>
        </is>
      </c>
      <c r="F902" t="inlineStr">
        <is>
          <t>Observant Vitreum</t>
        </is>
      </c>
      <c r="H902" t="inlineStr">
        <is>
          <t>Solved: current place verified and archived 2026-10-16.</t>
        </is>
      </c>
      <c r="I902" t="inlineStr">
        <is>
          <t>Resources</t>
        </is>
      </c>
      <c r="M902" t="inlineStr">
        <is>
          <t>In-game Market for 100 Platinum.</t>
        </is>
      </c>
      <c r="N902" t="inlineStr">
        <is>
          <t>Decorations/Orbiter Decorations | Update 35</t>
        </is>
      </c>
      <c r="O902" t="inlineStr">
        <is>
          <t>We copied where it comes from off the wiki page. See place from wiki page.</t>
        </is>
      </c>
    </row>
    <row r="903">
      <c r="A903" t="inlineStr">
        <is>
          <t>/Lotus/Types/Recipes/Weapons/WeaponParts/OkinaPrimeBlade</t>
        </is>
      </c>
      <c r="B903" t="inlineStr">
        <is>
          <t>Okina Prime Blade</t>
        </is>
      </c>
      <c r="C903" t="inlineStr">
        <is>
          <t>https://wiki.warframe.com/w/Okina_Prime | https://wiki.warframe.com/w/Axi_C10 | https://wiki.warframe.com/w/Axi_N13 | https://wiki.warframe.com/w/Meso_T7 | https://wiki.warframe.com/w/Neo_P11</t>
        </is>
      </c>
      <c r="D903" t="inlineStr">
        <is>
          <t>ExportResources</t>
        </is>
      </c>
      <c r="F903" t="inlineStr">
        <is>
          <t>Okina Prime Blade</t>
        </is>
      </c>
      <c r="H903" t="inlineStr">
        <is>
          <t>Solved: current place verified and archived 2026-10-16.</t>
        </is>
      </c>
      <c r="I903" t="inlineStr">
        <is>
          <t>Resources</t>
        </is>
      </c>
      <c r="J903" t="inlineStr">
        <is>
          <t>Lith C12 Relic (Common) | Lith L5 Relic (Common) | Lith L7 Relic (Common) | Axi B8 Relic (Common) | Axi C10 Relic (Common) | Meso T7 Relic (Common) | Neo P11 Relic (Common) | Axi N13 Relic (Common)</t>
        </is>
      </c>
      <c r="K903" t="inlineStr">
        <is>
          <t>Void/data</t>
        </is>
      </c>
      <c r="L903" t="inlineStr">
        <is>
          <t>name</t>
        </is>
      </c>
      <c r="M903" t="inlineStr">
        <is>
          <t>Axi C10, Axi N13, Meso T7 and Neo P11 relic drops (vaulted; trade only).</t>
        </is>
      </c>
      <c r="N903" t="inlineStr">
        <is>
          <t>Axi C10 | Axi N13 | Meso T7 | Neo P11</t>
        </is>
      </c>
      <c r="O903" t="inlineStr">
        <is>
          <t>Saved a concrete acquisition place from the official Warframe Wiki. Relic pages list this part in their reward table.</t>
        </is>
      </c>
    </row>
    <row r="904">
      <c r="A904" t="inlineStr">
        <is>
          <t>/Lotus/Types/Recipes/Weapons/WeaponParts/OkinaPrimeHandle</t>
        </is>
      </c>
      <c r="B904" t="inlineStr">
        <is>
          <t>Okina Prime Handle</t>
        </is>
      </c>
      <c r="C904" t="inlineStr">
        <is>
          <t>https://wiki.warframe.com/w/Okina_Prime | https://wiki.warframe.com/w/Meso_A8 | https://wiki.warframe.com/w/Meso_V16 | https://wiki.warframe.com/w/Neo_Z11 | https://wiki.warframe.com/w/Meso_L3</t>
        </is>
      </c>
      <c r="D904" t="inlineStr">
        <is>
          <t>ExportResources</t>
        </is>
      </c>
      <c r="F904" t="inlineStr">
        <is>
          <t>Okina Prime Handle</t>
        </is>
      </c>
      <c r="H904" t="inlineStr">
        <is>
          <t>Solved: current place verified and archived 2026-10-16.</t>
        </is>
      </c>
      <c r="I904" t="inlineStr">
        <is>
          <t>Resources</t>
        </is>
      </c>
      <c r="J904" t="inlineStr">
        <is>
          <t>Lith Z4 Relic (Uncommon) | Meso A8 Relic (Uncommon) | Neo G8 Relic (Uncommon) | Meso G7 Relic (Uncommon) | Meso L3 Relic (Uncommon) | Meso V16 Relic (Uncommon) | Meso Y1 Relic (Uncommon) | Neo Z11 Relic (Uncommon)</t>
        </is>
      </c>
      <c r="K904" t="inlineStr">
        <is>
          <t>Void/data</t>
        </is>
      </c>
      <c r="L904" t="inlineStr">
        <is>
          <t>name</t>
        </is>
      </c>
      <c r="M904" t="inlineStr">
        <is>
          <t>Meso A8, Meso V16, Neo Z11 and Meso L3 relic drops (vaulted; trade only).</t>
        </is>
      </c>
      <c r="N904" t="inlineStr">
        <is>
          <t>Meso A8 | Meso V16 | Neo Z11 | Meso L3</t>
        </is>
      </c>
      <c r="O904" t="inlineStr">
        <is>
          <t>Saved a concrete acquisition place from the official Warframe Wiki. Relic pages list this part in their reward table.</t>
        </is>
      </c>
    </row>
    <row r="905">
      <c r="A905" t="inlineStr">
        <is>
          <t>/Lotus/Types/Items/MiscItems/VayHekCoordinateFragmentD</t>
        </is>
      </c>
      <c r="B905" t="inlineStr">
        <is>
          <t>Omega Beacon</t>
        </is>
      </c>
      <c r="C905" t="inlineStr">
        <is>
          <t>https://wiki.warframe.com/w/Beacons_(Prosecutor)</t>
        </is>
      </c>
      <c r="D905" t="inlineStr">
        <is>
          <t>ExportResources</t>
        </is>
      </c>
      <c r="G905" t="inlineStr">
        <is>
          <t>Omega Beacon</t>
        </is>
      </c>
      <c r="H905" t="inlineStr">
        <is>
          <t>Solved: current place verified and archived 2026-10-16.</t>
        </is>
      </c>
      <c r="I905" t="inlineStr">
        <is>
          <t>Resources</t>
        </is>
      </c>
      <c r="J905" t="inlineStr">
        <is>
          <t>Resources_data</t>
        </is>
      </c>
      <c r="K905" t="inlineStr">
        <is>
          <t>Resources/data</t>
        </is>
      </c>
      <c r="L905" t="inlineStr">
        <is>
          <t>listed, no place</t>
        </is>
      </c>
      <c r="M905" t="inlineStr">
        <is>
          <t>Not currently obtainable.</t>
        </is>
      </c>
      <c r="N905" t="inlineStr">
        <is>
          <t>Beacons (Prosecutor)</t>
        </is>
      </c>
      <c r="O905" t="inlineStr">
        <is>
          <t>Saved a concrete acquisition place from the official Warframe Wiki.</t>
        </is>
      </c>
    </row>
    <row r="906">
      <c r="A906" t="inlineStr">
        <is>
          <t>/Lotus/Types/Items/ShipDecos/Nightwave1999OnLyneRunningLatePoster</t>
        </is>
      </c>
      <c r="B906" t="inlineStr">
        <is>
          <t>On-lyne Running Late Album Cover Display</t>
        </is>
      </c>
      <c r="C906" t="inlineStr">
        <is>
          <t>https://wiki.warframe.com/w/Amir</t>
        </is>
      </c>
      <c r="D906" t="inlineStr">
        <is>
          <t>ExportResources</t>
        </is>
      </c>
      <c r="F906" t="inlineStr">
        <is>
          <t>On-lyne Running Late Album Cover Display</t>
        </is>
      </c>
      <c r="H906" t="inlineStr">
        <is>
          <t>Solved: current place verified and archived 2026-10-16.</t>
        </is>
      </c>
      <c r="I906" t="inlineStr">
        <is>
          <t>Resources</t>
        </is>
      </c>
      <c r="M906" t="inlineStr">
        <is>
          <t>Purchase from Amir for 5,000 Standing.</t>
        </is>
      </c>
      <c r="N906" t="inlineStr">
        <is>
          <t>Amir</t>
        </is>
      </c>
      <c r="O906" t="inlineStr">
        <is>
          <t>We copied where it comes from off the wiki page. See place from wiki page.</t>
        </is>
      </c>
    </row>
    <row r="907">
      <c r="A907" t="inlineStr">
        <is>
          <t>/Lotus/Types/Items/ShipDecos/Nightwave1999OnLyneRunningLate2Poster</t>
        </is>
      </c>
      <c r="B907" t="inlineStr">
        <is>
          <t>On-lyne Running Late Promo Poster</t>
        </is>
      </c>
      <c r="C907" t="inlineStr">
        <is>
          <t>https://wiki.warframe.com/w/Amir</t>
        </is>
      </c>
      <c r="D907" t="inlineStr">
        <is>
          <t>ExportResources</t>
        </is>
      </c>
      <c r="F907" t="inlineStr">
        <is>
          <t>On-lyne Running Late Promo Poster</t>
        </is>
      </c>
      <c r="H907" t="inlineStr">
        <is>
          <t>Solved: current place verified and archived 2026-10-16.</t>
        </is>
      </c>
      <c r="I907" t="inlineStr">
        <is>
          <t>Resources</t>
        </is>
      </c>
      <c r="M907" t="inlineStr">
        <is>
          <t>Purchase from Amir for 5,000 Standing.</t>
        </is>
      </c>
      <c r="N907" t="inlineStr">
        <is>
          <t>Amir</t>
        </is>
      </c>
      <c r="O907" t="inlineStr">
        <is>
          <t>We copied where it comes from off the wiki page. See place from wiki page.</t>
        </is>
      </c>
    </row>
    <row r="908">
      <c r="A908" t="inlineStr">
        <is>
          <t>/Lotus/Types/Items/ShipDecos/BoybandPosters/BoybandWhiteBluePoster</t>
        </is>
      </c>
      <c r="B908" t="inlineStr">
        <is>
          <t>On-lyne: Feeling Blue Poster</t>
        </is>
      </c>
      <c r="C908" t="inlineStr">
        <is>
          <t>https://wiki.warframe.com/w/Technocyte_Coda/Rewards | https://wiki.warframe.com/w/Adversary_System | https://wiki.warframe.com/w/Decorations/Orbiter_Decorations</t>
        </is>
      </c>
      <c r="D908" t="inlineStr">
        <is>
          <t>ExportResources</t>
        </is>
      </c>
      <c r="F908" t="inlineStr">
        <is>
          <t>On-lyne: Feeling Blue Poster</t>
        </is>
      </c>
      <c r="H908" t="inlineStr">
        <is>
          <t>Solved: current place verified and archived 2026-10-16.</t>
        </is>
      </c>
      <c r="I908" t="inlineStr">
        <is>
          <t>Resources</t>
        </is>
      </c>
      <c r="M908" t="inlineStr">
        <is>
          <t>Reward from vanquishing a Technocyte Coda (each Coda drops one Floof or Poster).</t>
        </is>
      </c>
      <c r="N908" t="inlineStr">
        <is>
          <t>Technocyte Coda/Rewards</t>
        </is>
      </c>
      <c r="O908" t="inlineStr">
        <is>
          <t>Saved a concrete acquisition place from the official Warframe Wiki. Rewards page: Coda pulls its second cosmetic drop from a Floof or Poster pool.</t>
        </is>
      </c>
    </row>
    <row r="909">
      <c r="A909" t="inlineStr">
        <is>
          <t>/Lotus/Types/Items/ShipDecos/BoybandPosters/BoybandHuddlePoster</t>
        </is>
      </c>
      <c r="B909" t="inlineStr">
        <is>
          <t>On-lyne: Friends 4 Eva Poster</t>
        </is>
      </c>
      <c r="C909" t="inlineStr">
        <is>
          <t>https://wiki.warframe.com/w/Technocyte_Coda/Rewards | https://wiki.warframe.com/w/Adversary_System | https://wiki.warframe.com/w/Decorations/Orbiter_Decorations</t>
        </is>
      </c>
      <c r="D909" t="inlineStr">
        <is>
          <t>ExportResources</t>
        </is>
      </c>
      <c r="F909" t="inlineStr">
        <is>
          <t>On-lyne: Friends 4 Eva Poster</t>
        </is>
      </c>
      <c r="H909" t="inlineStr">
        <is>
          <t>Solved: current place verified and archived 2026-10-16.</t>
        </is>
      </c>
      <c r="I909" t="inlineStr">
        <is>
          <t>Resources</t>
        </is>
      </c>
      <c r="M909" t="inlineStr">
        <is>
          <t>Reward from vanquishing a Technocyte Coda (each Coda drops one Floof or Poster).</t>
        </is>
      </c>
      <c r="N909" t="inlineStr">
        <is>
          <t>Technocyte Coda/Rewards</t>
        </is>
      </c>
      <c r="O909" t="inlineStr">
        <is>
          <t>Saved a concrete acquisition place from the official Warframe Wiki. Rewards page: Coda pulls its second cosmetic drop from a Floof or Poster pool.</t>
        </is>
      </c>
    </row>
    <row r="910">
      <c r="A910" t="inlineStr">
        <is>
          <t>/Lotus/Types/Items/ShipDecos/BoybandPosters/BoybandJumpPoster</t>
        </is>
      </c>
      <c r="B910" t="inlineStr">
        <is>
          <t>On-lyne: Hearts Take Flight Poster</t>
        </is>
      </c>
      <c r="C910" t="inlineStr">
        <is>
          <t>https://wiki.warframe.com/w/Technocyte_Coda/Rewards | https://wiki.warframe.com/w/Adversary_System | https://wiki.warframe.com/w/Decorations/Orbiter_Decorations</t>
        </is>
      </c>
      <c r="D910" t="inlineStr">
        <is>
          <t>ExportResources</t>
        </is>
      </c>
      <c r="F910" t="inlineStr">
        <is>
          <t>On-lyne: Hearts Take Flight Poster</t>
        </is>
      </c>
      <c r="H910" t="inlineStr">
        <is>
          <t>Solved: current place verified and archived 2026-10-16.</t>
        </is>
      </c>
      <c r="I910" t="inlineStr">
        <is>
          <t>Resources</t>
        </is>
      </c>
      <c r="M910" t="inlineStr">
        <is>
          <t>Reward from vanquishing a Technocyte Coda (each Coda drops one Floof or Poster).</t>
        </is>
      </c>
      <c r="N910" t="inlineStr">
        <is>
          <t>Technocyte Coda/Rewards</t>
        </is>
      </c>
      <c r="O910" t="inlineStr">
        <is>
          <t>Saved a concrete acquisition place from the official Warframe Wiki. Rewards page: Coda pulls its second cosmetic drop from a Floof or Poster pool.</t>
        </is>
      </c>
    </row>
    <row r="911">
      <c r="A911" t="inlineStr">
        <is>
          <t>/Lotus/Types/Items/ShipDecos/BoybandPosters/BoybandBillboardPosterB</t>
        </is>
      </c>
      <c r="B911" t="inlineStr">
        <is>
          <t>On-lyne: Jump Party Poster</t>
        </is>
      </c>
      <c r="C911" t="inlineStr">
        <is>
          <t>https://wiki.warframe.com/w/Technocyte_Coda/Rewards | https://wiki.warframe.com/w/Adversary_System | https://wiki.warframe.com/w/Decorations/Orbiter_Decorations</t>
        </is>
      </c>
      <c r="D911" t="inlineStr">
        <is>
          <t>ExportResources</t>
        </is>
      </c>
      <c r="F911" t="inlineStr">
        <is>
          <t>On-lyne: Jump Party Poster</t>
        </is>
      </c>
      <c r="H911" t="inlineStr">
        <is>
          <t>Solved: current place verified and archived 2026-10-16.</t>
        </is>
      </c>
      <c r="I911" t="inlineStr">
        <is>
          <t>Resources</t>
        </is>
      </c>
      <c r="M911" t="inlineStr">
        <is>
          <t>Reward from vanquishing a Technocyte Coda (each Coda drops one Floof or Poster).</t>
        </is>
      </c>
      <c r="N911" t="inlineStr">
        <is>
          <t>Technocyte Coda/Rewards</t>
        </is>
      </c>
      <c r="O911" t="inlineStr">
        <is>
          <t>Saved a concrete acquisition place from the official Warframe Wiki. Rewards page: Coda pulls its second cosmetic drop from a Floof or Poster pool.</t>
        </is>
      </c>
    </row>
    <row r="912">
      <c r="A912" t="inlineStr">
        <is>
          <t>/Lotus/Types/Items/ShipDecos/BoybandPosters/BoybandLookingDownPosterDay</t>
        </is>
      </c>
      <c r="B912" t="inlineStr">
        <is>
          <t>On-lyne: Only Looking Up Poster, Day</t>
        </is>
      </c>
      <c r="C912" t="inlineStr">
        <is>
          <t>https://wiki.warframe.com/w/Technocyte_Coda/Rewards | https://wiki.warframe.com/w/Adversary_System | https://wiki.warframe.com/w/Decorations/Orbiter_Decorations</t>
        </is>
      </c>
      <c r="D912" t="inlineStr">
        <is>
          <t>ExportResources</t>
        </is>
      </c>
      <c r="F912" t="inlineStr">
        <is>
          <t>On-lyne: Only Looking Up Poster, Day</t>
        </is>
      </c>
      <c r="H912" t="inlineStr">
        <is>
          <t>Solved: current place verified and archived 2026-10-16.</t>
        </is>
      </c>
      <c r="I912" t="inlineStr">
        <is>
          <t>Resources</t>
        </is>
      </c>
      <c r="M912" t="inlineStr">
        <is>
          <t>Reward from vanquishing a Technocyte Coda (each Coda drops one Floof or Poster).</t>
        </is>
      </c>
      <c r="N912" t="inlineStr">
        <is>
          <t>Technocyte Coda/Rewards</t>
        </is>
      </c>
      <c r="O912" t="inlineStr">
        <is>
          <t>Saved a concrete acquisition place from the official Warframe Wiki. Rewards page: Coda pulls its second cosmetic drop from a Floof or Poster pool.</t>
        </is>
      </c>
    </row>
    <row r="913">
      <c r="A913" t="inlineStr">
        <is>
          <t>/Lotus/Types/Items/ShipDecos/BoybandPosters/BoybandLookingDownPosterNight</t>
        </is>
      </c>
      <c r="B913" t="inlineStr">
        <is>
          <t>On-lyne: Only Looking Up Poster, Night</t>
        </is>
      </c>
      <c r="C913" t="inlineStr">
        <is>
          <t>https://wiki.warframe.com/w/Technocyte_Coda/Rewards | https://wiki.warframe.com/w/Adversary_System | https://wiki.warframe.com/w/Decorations/Orbiter_Decorations</t>
        </is>
      </c>
      <c r="D913" t="inlineStr">
        <is>
          <t>ExportResources</t>
        </is>
      </c>
      <c r="F913" t="inlineStr">
        <is>
          <t>On-lyne: Only Looking Up Poster, Night</t>
        </is>
      </c>
      <c r="H913" t="inlineStr">
        <is>
          <t>Solved: current place verified and archived 2026-10-16.</t>
        </is>
      </c>
      <c r="I913" t="inlineStr">
        <is>
          <t>Resources</t>
        </is>
      </c>
      <c r="M913" t="inlineStr">
        <is>
          <t>Reward from vanquishing a Technocyte Coda (each Coda drops one Floof or Poster).</t>
        </is>
      </c>
      <c r="N913" t="inlineStr">
        <is>
          <t>Technocyte Coda/Rewards</t>
        </is>
      </c>
      <c r="O913" t="inlineStr">
        <is>
          <t>Saved a concrete acquisition place from the official Warframe Wiki. Rewards page: Coda pulls its second cosmetic drop from a Floof or Poster pool.</t>
        </is>
      </c>
    </row>
    <row r="914">
      <c r="A914" t="inlineStr">
        <is>
          <t>/Lotus/Types/Items/ShipDecos/BoybandPosters/BoybandSillyPoster</t>
        </is>
      </c>
      <c r="B914" t="inlineStr">
        <is>
          <t>On-lyne: Reunion Tour Poster</t>
        </is>
      </c>
      <c r="C914" t="inlineStr">
        <is>
          <t>https://wiki.warframe.com/w/Technocyte_Coda/Rewards | https://wiki.warframe.com/w/Adversary_System | https://wiki.warframe.com/w/Decorations/Orbiter_Decorations</t>
        </is>
      </c>
      <c r="D914" t="inlineStr">
        <is>
          <t>ExportResources</t>
        </is>
      </c>
      <c r="F914" t="inlineStr">
        <is>
          <t>On-lyne: Reunion Tour Poster</t>
        </is>
      </c>
      <c r="H914" t="inlineStr">
        <is>
          <t>Solved: current place verified and archived 2026-10-16.</t>
        </is>
      </c>
      <c r="I914" t="inlineStr">
        <is>
          <t>Resources</t>
        </is>
      </c>
      <c r="M914" t="inlineStr">
        <is>
          <t>Reward from vanquishing a Technocyte Coda (each Coda drops one Floof or Poster).</t>
        </is>
      </c>
      <c r="N914" t="inlineStr">
        <is>
          <t>Technocyte Coda/Rewards</t>
        </is>
      </c>
      <c r="O914" t="inlineStr">
        <is>
          <t>Saved a concrete acquisition place from the official Warframe Wiki. Rewards page: Coda pulls its second cosmetic drop from a Floof or Poster pool.</t>
        </is>
      </c>
    </row>
    <row r="915">
      <c r="A915" t="inlineStr">
        <is>
          <t>/Lotus/Types/Items/ShipDecos/BoybandPosters/BoybandLimoPoster</t>
        </is>
      </c>
      <c r="B915" t="inlineStr">
        <is>
          <t>On-lyne: Rolling Out Poster</t>
        </is>
      </c>
      <c r="C915" t="inlineStr">
        <is>
          <t>https://wiki.warframe.com/w/Technocyte_Coda/Rewards | https://wiki.warframe.com/w/Adversary_System | https://wiki.warframe.com/w/Decorations/Orbiter_Decorations</t>
        </is>
      </c>
      <c r="D915" t="inlineStr">
        <is>
          <t>ExportResources</t>
        </is>
      </c>
      <c r="F915" t="inlineStr">
        <is>
          <t>On-lyne: Rolling Out Poster</t>
        </is>
      </c>
      <c r="H915" t="inlineStr">
        <is>
          <t>Solved: current place verified and archived 2026-10-16.</t>
        </is>
      </c>
      <c r="I915" t="inlineStr">
        <is>
          <t>Resources</t>
        </is>
      </c>
      <c r="M915" t="inlineStr">
        <is>
          <t>Reward from vanquishing a Technocyte Coda (each Coda drops one Floof or Poster).</t>
        </is>
      </c>
      <c r="N915" t="inlineStr">
        <is>
          <t>Technocyte Coda/Rewards</t>
        </is>
      </c>
      <c r="O915" t="inlineStr">
        <is>
          <t>Saved a concrete acquisition place from the official Warframe Wiki. Rewards page: Coda pulls its second cosmetic drop from a Floof or Poster pool.</t>
        </is>
      </c>
    </row>
    <row r="916">
      <c r="A916" t="inlineStr">
        <is>
          <t>/Lotus/Types/Items/ShipDecos/BoybandPosters/BoybandBillboardPosterA</t>
        </is>
      </c>
      <c r="B916" t="inlineStr">
        <is>
          <t>On-lyne: The Classic Poster</t>
        </is>
      </c>
      <c r="C916" t="inlineStr">
        <is>
          <t>https://wiki.warframe.com/w/Technocyte_Coda/Rewards | https://wiki.warframe.com/w/Adversary_System | https://wiki.warframe.com/w/Decorations/Orbiter_Decorations</t>
        </is>
      </c>
      <c r="D916" t="inlineStr">
        <is>
          <t>ExportResources</t>
        </is>
      </c>
      <c r="F916" t="inlineStr">
        <is>
          <t>On-lyne: The Classic Poster</t>
        </is>
      </c>
      <c r="H916" t="inlineStr">
        <is>
          <t>Solved: current place verified and archived 2026-10-16.</t>
        </is>
      </c>
      <c r="I916" t="inlineStr">
        <is>
          <t>Resources</t>
        </is>
      </c>
      <c r="M916" t="inlineStr">
        <is>
          <t>Reward from vanquishing a Technocyte Coda (each Coda drops one Floof or Poster).</t>
        </is>
      </c>
      <c r="N916" t="inlineStr">
        <is>
          <t>Technocyte Coda/Rewards</t>
        </is>
      </c>
      <c r="O916" t="inlineStr">
        <is>
          <t>Saved a concrete acquisition place from the official Warframe Wiki. Rewards page: Coda pulls its second cosmetic drop from a Floof or Poster pool.</t>
        </is>
      </c>
    </row>
    <row r="917">
      <c r="A917" t="inlineStr">
        <is>
          <t>/Lotus/Types/Items/ShipDecos/BoybandPosters/BoybandDespairPoster</t>
        </is>
      </c>
      <c r="B917" t="inlineStr">
        <is>
          <t>On-lyne: The Great Despair Album Poster</t>
        </is>
      </c>
      <c r="C917" t="inlineStr">
        <is>
          <t>https://wiki.warframe.com/w/Technocyte_Coda/Rewards | https://wiki.warframe.com/w/Adversary_System | https://wiki.warframe.com/w/Decorations/Orbiter_Decorations</t>
        </is>
      </c>
      <c r="D917" t="inlineStr">
        <is>
          <t>ExportResources</t>
        </is>
      </c>
      <c r="F917" t="inlineStr">
        <is>
          <t>On-lyne: The Great Despair Album Poster</t>
        </is>
      </c>
      <c r="H917" t="inlineStr">
        <is>
          <t>Solved: current place verified and archived 2026-10-16.</t>
        </is>
      </c>
      <c r="I917" t="inlineStr">
        <is>
          <t>Resources</t>
        </is>
      </c>
      <c r="M917" t="inlineStr">
        <is>
          <t>Reward from vanquishing a Technocyte Coda (each Coda drops one Floof or Poster).</t>
        </is>
      </c>
      <c r="N917" t="inlineStr">
        <is>
          <t>Technocyte Coda/Rewards</t>
        </is>
      </c>
      <c r="O917" t="inlineStr">
        <is>
          <t>Saved a concrete acquisition place from the official Warframe Wiki. Rewards page: Coda pulls its second cosmetic drop from a Floof or Poster pool.</t>
        </is>
      </c>
    </row>
    <row r="918">
      <c r="A918" t="inlineStr">
        <is>
          <t>/Lotus/Types/Items/ShipDecos/BoybandPosters/BoybandGridPoster</t>
        </is>
      </c>
      <c r="B918" t="inlineStr">
        <is>
          <t>On-lyne: The Heartthrobs Poster</t>
        </is>
      </c>
      <c r="C918" t="inlineStr">
        <is>
          <t>https://wiki.warframe.com/w/Technocyte_Coda/Rewards | https://wiki.warframe.com/w/Adversary_System | https://wiki.warframe.com/w/Decorations/Orbiter_Decorations</t>
        </is>
      </c>
      <c r="D918" t="inlineStr">
        <is>
          <t>ExportResources</t>
        </is>
      </c>
      <c r="F918" t="inlineStr">
        <is>
          <t>On-lyne: The Heartthrobs Poster</t>
        </is>
      </c>
      <c r="H918" t="inlineStr">
        <is>
          <t>Solved: current place verified and archived 2026-10-16.</t>
        </is>
      </c>
      <c r="I918" t="inlineStr">
        <is>
          <t>Resources</t>
        </is>
      </c>
      <c r="M918" t="inlineStr">
        <is>
          <t>Reward from vanquishing a Technocyte Coda (each Coda drops one Floof or Poster).</t>
        </is>
      </c>
      <c r="N918" t="inlineStr">
        <is>
          <t>Technocyte Coda/Rewards</t>
        </is>
      </c>
      <c r="O918" t="inlineStr">
        <is>
          <t>Saved a concrete acquisition place from the official Warframe Wiki. Rewards page: Coda pulls its second cosmetic drop from a Floof or Poster pool.</t>
        </is>
      </c>
    </row>
    <row r="919">
      <c r="A919" t="inlineStr">
        <is>
          <t>/Lotus/Types/Items/ShipDecos/BoybandPosters/BoybandWhitePinkPoster</t>
        </is>
      </c>
      <c r="B919" t="inlineStr">
        <is>
          <t>On-lyne: Yeah Yeah Baby Poster</t>
        </is>
      </c>
      <c r="C919" t="inlineStr">
        <is>
          <t>https://wiki.warframe.com/w/Technocyte_Coda/Rewards | https://wiki.warframe.com/w/Adversary_System | https://wiki.warframe.com/w/Decorations/Orbiter_Decorations</t>
        </is>
      </c>
      <c r="D919" t="inlineStr">
        <is>
          <t>ExportResources</t>
        </is>
      </c>
      <c r="F919" t="inlineStr">
        <is>
          <t>On-lyne: Yeah Yeah Baby Poster</t>
        </is>
      </c>
      <c r="H919" t="inlineStr">
        <is>
          <t>Solved: current place verified and archived 2026-10-16.</t>
        </is>
      </c>
      <c r="I919" t="inlineStr">
        <is>
          <t>Resources</t>
        </is>
      </c>
      <c r="M919" t="inlineStr">
        <is>
          <t>Reward from vanquishing a Technocyte Coda (each Coda drops one Floof or Poster).</t>
        </is>
      </c>
      <c r="N919" t="inlineStr">
        <is>
          <t>Technocyte Coda/Rewards</t>
        </is>
      </c>
      <c r="O919" t="inlineStr">
        <is>
          <t>Saved a concrete acquisition place from the official Warframe Wiki. Rewards page: Coda pulls its second cosmetic drop from a Floof or Poster pool.</t>
        </is>
      </c>
    </row>
    <row r="920">
      <c r="A920" t="inlineStr">
        <is>
          <t>/Lotus/Types/Items/ShipDecos/LisetPropOroOperatorSwitch</t>
        </is>
      </c>
      <c r="B920" t="inlineStr">
        <is>
          <t>Operator Switch</t>
        </is>
      </c>
      <c r="C920" t="inlineStr">
        <is>
          <t>https://wiki.warframe.com/w/Pride_(Event) | https://wiki.warframe.com/w/Decorations | https://wiki.warframe.com/w/Decorations/Orbiter_Decorations</t>
        </is>
      </c>
      <c r="D920" t="inlineStr">
        <is>
          <t>ExportResources</t>
        </is>
      </c>
      <c r="F920" t="inlineStr">
        <is>
          <t>Operator Switch</t>
        </is>
      </c>
      <c r="H920" t="inlineStr">
        <is>
          <t>Solved: current place verified and archived 2026-10-16.</t>
        </is>
      </c>
      <c r="I920" t="inlineStr">
        <is>
          <t>Resources</t>
        </is>
      </c>
      <c r="M920" t="inlineStr">
        <is>
          <t>In-game Market for 35 Platinum.</t>
        </is>
      </c>
      <c r="N920" t="inlineStr">
        <is>
          <t>Pride (Event) | Decorations | Decorations/Orbiter Decorations | Update 31</t>
        </is>
      </c>
      <c r="O920" t="inlineStr">
        <is>
          <t>We copied where it comes from off the wiki page. See place from wiki page.</t>
        </is>
      </c>
    </row>
    <row r="921">
      <c r="A921" t="inlineStr">
        <is>
          <t>/Lotus/Types/Items/ShipDecos/TarotCardOraxia</t>
        </is>
      </c>
      <c r="B921" t="inlineStr">
        <is>
          <t>Oraxia Prex</t>
        </is>
      </c>
      <c r="C921" t="inlineStr">
        <is>
          <t>https://wiki.warframe.com/w/Decorations/Orbiter_Decorations</t>
        </is>
      </c>
      <c r="D921" t="inlineStr">
        <is>
          <t>ExportResources</t>
        </is>
      </c>
      <c r="F921" t="inlineStr">
        <is>
          <t>Oraxia Prex</t>
        </is>
      </c>
      <c r="H921" t="inlineStr">
        <is>
          <t>Solved: current place verified and archived 2026-10-16.</t>
        </is>
      </c>
      <c r="I921" t="inlineStr">
        <is>
          <t>Resources</t>
        </is>
      </c>
      <c r="M921" t="inlineStr">
        <is>
          <t>Hidden pickup in Isleweaver, Duviri: on a large lone island southwest of Castle Town, on the undercliff at the bottom-left.</t>
        </is>
      </c>
      <c r="N921" t="inlineStr">
        <is>
          <t>Decorations/Orbiter Decorations</t>
        </is>
      </c>
      <c r="O921" t="inlineStr">
        <is>
          <t>Saved a concrete acquisition place from the official Warframe Wiki. Orbiter Decorations Prex table and Prex Locations list.</t>
        </is>
      </c>
    </row>
    <row r="922">
      <c r="A922" t="inlineStr">
        <is>
          <t>/Lotus/Types/Items/MiscItems/PhotoboothTilePlayerShip</t>
        </is>
      </c>
      <c r="B922" t="inlineStr">
        <is>
          <t>Orbiter Scene</t>
        </is>
      </c>
      <c r="C922" t="inlineStr">
        <is>
          <t>https://wiki.warframe.com/w/Captura | https://wiki.warframe.com/w/Lunar_Renewal | https://wiki.warframe.com/w/Tennobaum | https://wiki.warframe.com/w/Orbiter | https://wiki.warframe.com/w/Halloween</t>
        </is>
      </c>
      <c r="D922" t="inlineStr">
        <is>
          <t>ExportResources</t>
        </is>
      </c>
      <c r="F922" t="inlineStr">
        <is>
          <t>Orbiter Scene</t>
        </is>
      </c>
      <c r="H922" t="inlineStr">
        <is>
          <t>Solved: current place verified and archived 2026-10-16.</t>
        </is>
      </c>
      <c r="I922" t="inlineStr">
        <is>
          <t>Resources</t>
        </is>
      </c>
      <c r="M922" t="inlineStr">
        <is>
          <t>Purchase from the Captura menu for 10,000,000 Credits.</t>
        </is>
      </c>
      <c r="N922" t="inlineStr">
        <is>
          <t>Captura | Lunar Renewal | Tennobaum | Orbiter | Halloween | Update 26 | Update 38</t>
        </is>
      </c>
      <c r="O922" t="inlineStr">
        <is>
          <t>We copied where it comes from off the wiki page. See place from wiki page.</t>
        </is>
      </c>
    </row>
    <row r="923">
      <c r="A923" t="inlineStr">
        <is>
          <t>/Lotus/Types/Items/ShipDecos/Plushies/PlushyOrdis</t>
        </is>
      </c>
      <c r="B923" t="inlineStr">
        <is>
          <t>Ordis Embodied Floof</t>
        </is>
      </c>
      <c r="C923" t="inlineStr">
        <is>
          <t>https://wiki.warframe.com/w/Conquera</t>
        </is>
      </c>
      <c r="D923" t="inlineStr">
        <is>
          <t>ExportResources</t>
        </is>
      </c>
      <c r="F923" t="inlineStr">
        <is>
          <t>Ordis Embodied Floof</t>
        </is>
      </c>
      <c r="H923" t="inlineStr">
        <is>
          <t>Solved: current place verified and archived 2026-10-16.</t>
        </is>
      </c>
      <c r="I923" t="inlineStr">
        <is>
          <t>Resources</t>
        </is>
      </c>
      <c r="M923" t="inlineStr">
        <is>
          <t>Featured in Conquera 2024 themed merchandise (Quest to Conquer Cancer).</t>
        </is>
      </c>
      <c r="N923" t="inlineStr">
        <is>
          <t>Conquera</t>
        </is>
      </c>
      <c r="O923" t="inlineStr">
        <is>
          <t>Saved a concrete acquisition place from the official Warframe Wiki. Conquera page, 2024 section.</t>
        </is>
      </c>
    </row>
    <row r="924">
      <c r="A924" t="inlineStr">
        <is>
          <t>/Lotus/Types/Items/ShipDecos/Nightwave/NightwaveOrigamiCraneB</t>
        </is>
      </c>
      <c r="B924" t="inlineStr">
        <is>
          <t>Origami Crane Game Piece Decoration</t>
        </is>
      </c>
      <c r="C924" t="inlineStr">
        <is>
          <t>https://wiki.warframe.com/w/Amir</t>
        </is>
      </c>
      <c r="D924" t="inlineStr">
        <is>
          <t>ExportResources</t>
        </is>
      </c>
      <c r="F924" t="inlineStr">
        <is>
          <t>Origami Crane Game Piece Decoration</t>
        </is>
      </c>
      <c r="H924" t="inlineStr">
        <is>
          <t>Solved: current place verified and archived 2026-10-16.</t>
        </is>
      </c>
      <c r="I924" t="inlineStr">
        <is>
          <t>Resources</t>
        </is>
      </c>
      <c r="M924" t="inlineStr">
        <is>
          <t>Purchase from Amir for 10,000 Standing.</t>
        </is>
      </c>
      <c r="N924" t="inlineStr">
        <is>
          <t>Amir</t>
        </is>
      </c>
      <c r="O924" t="inlineStr">
        <is>
          <t>We copied where it comes from off the wiki page. See place from wiki page.</t>
        </is>
      </c>
    </row>
    <row r="925">
      <c r="A925" t="inlineStr">
        <is>
          <t>/Lotus/Types/Items/ShipDecos/Nightwave/NightwaveOrigamiDragon</t>
        </is>
      </c>
      <c r="B925" t="inlineStr">
        <is>
          <t>Origami Dragon Game Piece Decoration</t>
        </is>
      </c>
      <c r="C925" t="inlineStr">
        <is>
          <t>https://wiki.warframe.com/w/Amir</t>
        </is>
      </c>
      <c r="D925" t="inlineStr">
        <is>
          <t>ExportResources</t>
        </is>
      </c>
      <c r="F925" t="inlineStr">
        <is>
          <t>Origami Dragon Game Piece Decoration</t>
        </is>
      </c>
      <c r="H925" t="inlineStr">
        <is>
          <t>Solved: current place verified and archived 2026-10-16.</t>
        </is>
      </c>
      <c r="I925" t="inlineStr">
        <is>
          <t>Resources</t>
        </is>
      </c>
      <c r="M925" t="inlineStr">
        <is>
          <t>Purchase from Amir for 10,000 Standing.</t>
        </is>
      </c>
      <c r="N925" t="inlineStr">
        <is>
          <t>Amir</t>
        </is>
      </c>
      <c r="O925" t="inlineStr">
        <is>
          <t>We copied where it comes from off the wiki page. See place from wiki page.</t>
        </is>
      </c>
    </row>
    <row r="926">
      <c r="A926" t="inlineStr">
        <is>
          <t>/Lotus/Types/Items/ShipDecos/Nightwave/NightwaveOrigamiGargoyle</t>
        </is>
      </c>
      <c r="B926" t="inlineStr">
        <is>
          <t>Origami Gargoyle Game Piece Decoration</t>
        </is>
      </c>
      <c r="C926" t="inlineStr">
        <is>
          <t>https://wiki.warframe.com/w/Amir</t>
        </is>
      </c>
      <c r="D926" t="inlineStr">
        <is>
          <t>ExportResources</t>
        </is>
      </c>
      <c r="F926" t="inlineStr">
        <is>
          <t>Origami Gargoyle Game Piece Decoration</t>
        </is>
      </c>
      <c r="H926" t="inlineStr">
        <is>
          <t>Solved: current place verified and archived 2026-10-16.</t>
        </is>
      </c>
      <c r="I926" t="inlineStr">
        <is>
          <t>Resources</t>
        </is>
      </c>
      <c r="M926" t="inlineStr">
        <is>
          <t>Purchase from Amir for 10,000 Standing.</t>
        </is>
      </c>
      <c r="N926" t="inlineStr">
        <is>
          <t>Amir</t>
        </is>
      </c>
      <c r="O926" t="inlineStr">
        <is>
          <t>We copied where it comes from off the wiki page. See place from wiki page.</t>
        </is>
      </c>
    </row>
    <row r="927">
      <c r="A927" t="inlineStr">
        <is>
          <t>/Lotus/Types/Items/ShipDecos/Nightwave/NightwaveOrigamiLotus</t>
        </is>
      </c>
      <c r="B927" t="inlineStr">
        <is>
          <t>Origami Lotus Game Piece Decoration</t>
        </is>
      </c>
      <c r="C927" t="inlineStr">
        <is>
          <t>https://wiki.warframe.com/w/Amir</t>
        </is>
      </c>
      <c r="D927" t="inlineStr">
        <is>
          <t>ExportResources</t>
        </is>
      </c>
      <c r="F927" t="inlineStr">
        <is>
          <t>Origami Lotus Game Piece Decoration</t>
        </is>
      </c>
      <c r="H927" t="inlineStr">
        <is>
          <t>Solved: current place verified and archived 2026-10-16.</t>
        </is>
      </c>
      <c r="I927" t="inlineStr">
        <is>
          <t>Resources</t>
        </is>
      </c>
      <c r="M927" t="inlineStr">
        <is>
          <t>Purchase from Amir for 10,000 Standing.</t>
        </is>
      </c>
      <c r="N927" t="inlineStr">
        <is>
          <t>Amir</t>
        </is>
      </c>
      <c r="O927" t="inlineStr">
        <is>
          <t>We copied where it comes from off the wiki page. See place from wiki page.</t>
        </is>
      </c>
    </row>
    <row r="928">
      <c r="A928" t="inlineStr">
        <is>
          <t>/Lotus/Types/Items/ShipDecos/JadeShadows2OrionPoster</t>
        </is>
      </c>
      <c r="B928" t="inlineStr">
        <is>
          <t>Orion Alone Display</t>
        </is>
      </c>
      <c r="C928" t="inlineStr">
        <is>
          <t>https://wiki.warframe.com/w/Jade_Shadows:_Constellations | https://wiki.warframe.com/w/Sirius_%26_Orion/Media | https://wiki.warframe.com/w/Decorations/Orbiter_Decorations</t>
        </is>
      </c>
      <c r="D928" t="inlineStr">
        <is>
          <t>ExportResources</t>
        </is>
      </c>
      <c r="F928" t="inlineStr">
        <is>
          <t>Orion Alone Display</t>
        </is>
      </c>
      <c r="H928" t="inlineStr">
        <is>
          <t>Solved: current place verified and archived 2026-10-16.</t>
        </is>
      </c>
      <c r="I928" t="inlineStr">
        <is>
          <t>Resources</t>
        </is>
      </c>
      <c r="M928" t="inlineStr">
        <is>
          <t>Inbox reward for completing Jade Shadows: Constellations.</t>
        </is>
      </c>
      <c r="N928" t="inlineStr">
        <is>
          <t>Decorations/Orbiter Decorations</t>
        </is>
      </c>
      <c r="O928" t="inlineStr">
        <is>
          <t>Saved a concrete acquisition place from the official Warframe Wiki. Orbiter Decorations Posters/Misc section.</t>
        </is>
      </c>
    </row>
    <row r="929">
      <c r="A929" t="inlineStr">
        <is>
          <t>/Lotus/Types/Items/ShipDecos/Tau/LisetPropOrokinProbA</t>
        </is>
      </c>
      <c r="B929" t="inlineStr">
        <is>
          <t>Orokin Arc Conduit</t>
        </is>
      </c>
      <c r="C929" t="inlineStr">
        <is>
          <t>https://wiki.warframe.com/w/Lyon</t>
        </is>
      </c>
      <c r="D929" t="inlineStr">
        <is>
          <t>ExportResources</t>
        </is>
      </c>
      <c r="F929" t="inlineStr">
        <is>
          <t>Orokin Arc Conduit</t>
        </is>
      </c>
      <c r="H929" t="inlineStr">
        <is>
          <t>Solved: current place verified and archived 2026-10-16.</t>
        </is>
      </c>
      <c r="I929" t="inlineStr">
        <is>
          <t>Resources</t>
        </is>
      </c>
      <c r="M929" t="inlineStr">
        <is>
          <t>Purchase from Lyon's daily offerings (5 random decorations); costs 300-450 Agnovidisc, 120-360 Laudavi or 50-150 Servoris.</t>
        </is>
      </c>
      <c r="N929" t="inlineStr">
        <is>
          <t>Lyon</t>
        </is>
      </c>
      <c r="O929" t="inlineStr">
        <is>
          <t>Saved a concrete acquisition place from the official Warframe Wiki. Lyon page lists it in Offerings.</t>
        </is>
      </c>
    </row>
    <row r="930">
      <c r="A930" t="inlineStr">
        <is>
          <t>/Lotus/Types/Items/MiscItems/ArchWingNavCode</t>
        </is>
      </c>
      <c r="B930" t="inlineStr">
        <is>
          <t>Orokin Archive</t>
        </is>
      </c>
      <c r="C930" t="inlineStr">
        <is>
          <t>https://wiki.warframe.com/w/The_Archwing</t>
        </is>
      </c>
      <c r="D930" t="inlineStr">
        <is>
          <t>ExportResources</t>
        </is>
      </c>
      <c r="G930" t="inlineStr">
        <is>
          <t>The Archwing</t>
        </is>
      </c>
      <c r="H930" t="inlineStr">
        <is>
          <t>Solved: current place verified and archived 2026-10-16.</t>
        </is>
      </c>
      <c r="I930" t="inlineStr">
        <is>
          <t>Resources</t>
        </is>
      </c>
      <c r="J930" t="inlineStr">
        <is>
          <t>Keys_data, Resources_data</t>
        </is>
      </c>
      <c r="K930" t="inlineStr">
        <is>
          <t>Resources/data</t>
        </is>
      </c>
      <c r="L930" t="inlineStr">
        <is>
          <t>listed, no place</t>
        </is>
      </c>
      <c r="M930" t="inlineStr">
        <is>
          <t>Recovered from the Corpus stronghold on Tessera, Venus (Orokin Sabotage) during The Archwing quest.</t>
        </is>
      </c>
      <c r="N930" t="inlineStr">
        <is>
          <t>The Archwing</t>
        </is>
      </c>
      <c r="O930" t="inlineStr">
        <is>
          <t>Saved a concrete acquisition place from the official Warframe Wiki.</t>
        </is>
      </c>
    </row>
    <row r="931">
      <c r="A931" t="inlineStr">
        <is>
          <t>/Lotus/Types/Items/ShipDecos/Tau/LisetPropOroTechPieceB</t>
        </is>
      </c>
      <c r="B931" t="inlineStr">
        <is>
          <t>Orokin Cask</t>
        </is>
      </c>
      <c r="C931" t="inlineStr">
        <is>
          <t>https://wiki.warframe.com/w/Lyon</t>
        </is>
      </c>
      <c r="D931" t="inlineStr">
        <is>
          <t>ExportResources</t>
        </is>
      </c>
      <c r="F931" t="inlineStr">
        <is>
          <t>Orokin Cask</t>
        </is>
      </c>
      <c r="H931" t="inlineStr">
        <is>
          <t>Solved: current place verified and archived 2026-10-16.</t>
        </is>
      </c>
      <c r="I931" t="inlineStr">
        <is>
          <t>Resources</t>
        </is>
      </c>
      <c r="M931" t="inlineStr">
        <is>
          <t>Purchase from Lyon's daily offerings (5 random decorations); costs 300-450 Agnovidisc, 120-360 Laudavi or 50-150 Servoris.</t>
        </is>
      </c>
      <c r="N931" t="inlineStr">
        <is>
          <t>Lyon</t>
        </is>
      </c>
      <c r="O931" t="inlineStr">
        <is>
          <t>Saved a concrete acquisition place from the official Warframe Wiki. Lyon page lists it in Offerings.</t>
        </is>
      </c>
    </row>
    <row r="932">
      <c r="A932" t="inlineStr">
        <is>
          <t>/Lotus/Types/Items/ShipDecos/ContainerDecoItemCellArray</t>
        </is>
      </c>
      <c r="B932" t="inlineStr">
        <is>
          <t>Orokin Cell Array Decoration</t>
        </is>
      </c>
      <c r="C932" t="inlineStr">
        <is>
          <t>https://wiki.warframe.com/w/Market/Equipment</t>
        </is>
      </c>
      <c r="D932" t="inlineStr">
        <is>
          <t>ExportResources</t>
        </is>
      </c>
      <c r="F932" t="inlineStr">
        <is>
          <t>Orokin Cell Array Decoration</t>
        </is>
      </c>
      <c r="H932" t="inlineStr">
        <is>
          <t>Solved: current place verified and archived 2026-10-16.</t>
        </is>
      </c>
      <c r="I932" t="inlineStr">
        <is>
          <t>Resources</t>
        </is>
      </c>
      <c r="M932" t="inlineStr">
        <is>
          <t>In-game Market for 20 Platinum.</t>
        </is>
      </c>
      <c r="N932" t="inlineStr">
        <is>
          <t>Market/Equipment</t>
        </is>
      </c>
      <c r="O932" t="inlineStr">
        <is>
          <t>Saved a concrete acquisition place from the official Warframe Wiki. Market/Equipment lists it with a Platinum price.</t>
        </is>
      </c>
    </row>
    <row r="933">
      <c r="A933" t="inlineStr">
        <is>
          <t>/Lotus/Types/Items/ShipDecos/ResourceDecoItemOrokinCell</t>
        </is>
      </c>
      <c r="B933" t="inlineStr">
        <is>
          <t>Orokin Cell Decoration</t>
        </is>
      </c>
      <c r="C933" t="inlineStr">
        <is>
          <t>https://wiki.warframe.com/w/Market/Equipment</t>
        </is>
      </c>
      <c r="D933" t="inlineStr">
        <is>
          <t>ExportResources</t>
        </is>
      </c>
      <c r="F933" t="inlineStr">
        <is>
          <t>Orokin Cell Decoration</t>
        </is>
      </c>
      <c r="H933" t="inlineStr">
        <is>
          <t>Solved: current place verified and archived 2026-10-16.</t>
        </is>
      </c>
      <c r="I933" t="inlineStr">
        <is>
          <t>Resources</t>
        </is>
      </c>
      <c r="M933" t="inlineStr">
        <is>
          <t>In-game Market for 5 Platinum.</t>
        </is>
      </c>
      <c r="N933" t="inlineStr">
        <is>
          <t>Market/Equipment</t>
        </is>
      </c>
      <c r="O933" t="inlineStr">
        <is>
          <t>Saved a concrete acquisition place from the official Warframe Wiki. Market/Equipment lists it with a Platinum price.</t>
        </is>
      </c>
    </row>
    <row r="934">
      <c r="A934" t="inlineStr">
        <is>
          <t>/Lotus/Types/Items/ShipDecos/Tau/LisetPropOroTechPieceE</t>
        </is>
      </c>
      <c r="B934" t="inlineStr">
        <is>
          <t>Orokin Conduit</t>
        </is>
      </c>
      <c r="C934" t="inlineStr">
        <is>
          <t>https://wiki.warframe.com/w/Lyon</t>
        </is>
      </c>
      <c r="D934" t="inlineStr">
        <is>
          <t>ExportResources</t>
        </is>
      </c>
      <c r="F934" t="inlineStr">
        <is>
          <t>Orokin Conduit</t>
        </is>
      </c>
      <c r="H934" t="inlineStr">
        <is>
          <t>Solved: current place verified and archived 2026-10-16.</t>
        </is>
      </c>
      <c r="I934" t="inlineStr">
        <is>
          <t>Resources</t>
        </is>
      </c>
      <c r="M934" t="inlineStr">
        <is>
          <t>Purchase from Lyon's daily offerings (5 random decorations); costs 300-450 Agnovidisc, 120-360 Laudavi or 50-150 Servoris.</t>
        </is>
      </c>
      <c r="N934" t="inlineStr">
        <is>
          <t>Lyon</t>
        </is>
      </c>
      <c r="O934" t="inlineStr">
        <is>
          <t>Saved a concrete acquisition place from the official Warframe Wiki. Lyon page lists it in Offerings.</t>
        </is>
      </c>
    </row>
    <row r="935">
      <c r="A935" t="inlineStr">
        <is>
          <t>/Lotus/Types/Items/ShipDecos/Tau/LisetPropOroTechPieceG</t>
        </is>
      </c>
      <c r="B935" t="inlineStr">
        <is>
          <t>Orokin Sealed Storage</t>
        </is>
      </c>
      <c r="C935" t="inlineStr">
        <is>
          <t>https://wiki.warframe.com/w/Lyon</t>
        </is>
      </c>
      <c r="D935" t="inlineStr">
        <is>
          <t>ExportResources</t>
        </is>
      </c>
      <c r="F935" t="inlineStr">
        <is>
          <t>Orokin Sealed Storage</t>
        </is>
      </c>
      <c r="H935" t="inlineStr">
        <is>
          <t>Solved: current place verified and archived 2026-10-16.</t>
        </is>
      </c>
      <c r="I935" t="inlineStr">
        <is>
          <t>Resources</t>
        </is>
      </c>
      <c r="M935" t="inlineStr">
        <is>
          <t>Purchase from Lyon's daily offerings (5 random decorations); costs 300-450 Agnovidisc, 120-360 Laudavi or 50-150 Servoris.</t>
        </is>
      </c>
      <c r="N935" t="inlineStr">
        <is>
          <t>Lyon</t>
        </is>
      </c>
      <c r="O935" t="inlineStr">
        <is>
          <t>Saved a concrete acquisition place from the official Warframe Wiki. Lyon page lists it in Offerings.</t>
        </is>
      </c>
    </row>
    <row r="936">
      <c r="A936" t="inlineStr">
        <is>
          <t>/Lotus/Types/Items/MiscItems/PhotoboothTileDuviriDragonArena</t>
        </is>
      </c>
      <c r="B936" t="inlineStr">
        <is>
          <t>Orowyrm Arena Scene</t>
        </is>
      </c>
      <c r="C936" t="inlineStr">
        <is>
          <t>https://wiki.warframe.com/w/Acrithis | https://wiki.warframe.com/w/Captura</t>
        </is>
      </c>
      <c r="D936" t="inlineStr">
        <is>
          <t>ExportResources</t>
        </is>
      </c>
      <c r="F936" t="inlineStr">
        <is>
          <t>Orowyrm Arena Scene</t>
        </is>
      </c>
      <c r="H936" t="inlineStr">
        <is>
          <t>Solved: current place verified and archived 2026-10-16.</t>
        </is>
      </c>
      <c r="I936" t="inlineStr">
        <is>
          <t>Resources</t>
        </is>
      </c>
      <c r="L936" t="inlineStr">
        <is>
          <t>Vendors_data</t>
        </is>
      </c>
      <c r="M936" t="inlineStr">
        <is>
          <t>Purchase from Acrithis' rotating Wares in Duviri.</t>
        </is>
      </c>
      <c r="N936" t="inlineStr">
        <is>
          <t>Captura</t>
        </is>
      </c>
      <c r="O936" t="inlineStr">
        <is>
          <t>Saved a concrete acquisition place from the official Warframe Wiki. Captura scene table lists this scene with its acquisition note.</t>
        </is>
      </c>
    </row>
    <row r="937">
      <c r="A937" t="inlineStr">
        <is>
          <t>/Lotus/Types/Items/DangerRoom/DangerRoomTileDuviriDragonArena</t>
        </is>
      </c>
      <c r="B937" t="inlineStr">
        <is>
          <t>Orowyrm Arena Simulacrum</t>
        </is>
      </c>
      <c r="C937" t="inlineStr">
        <is>
          <t>https://wiki.warframe.com/w/Simulacrum | https://wiki.warframe.com/w/Acrithis</t>
        </is>
      </c>
      <c r="D937" t="inlineStr">
        <is>
          <t>ExportResources</t>
        </is>
      </c>
      <c r="F937" t="inlineStr">
        <is>
          <t>Orowyrm Arena Simulacrum</t>
        </is>
      </c>
      <c r="H937" t="inlineStr">
        <is>
          <t>Solved: current place verified and archived 2026-10-16.</t>
        </is>
      </c>
      <c r="I937" t="inlineStr">
        <is>
          <t>Resources</t>
        </is>
      </c>
      <c r="M937" t="inlineStr">
        <is>
          <t>Purchase from Acrithis for 20 Pathos Clamps.</t>
        </is>
      </c>
      <c r="N937" t="inlineStr">
        <is>
          <t>Simulacrum | Acrithis | Update 36</t>
        </is>
      </c>
      <c r="O937" t="inlineStr">
        <is>
          <t>We copied where it comes from off the wiki page. See place from wiki page.</t>
        </is>
      </c>
    </row>
    <row r="938">
      <c r="A938" t="inlineStr">
        <is>
          <t>/Lotus/Types/Items/ShipDecos/Duviri/DuviriDragonDisplay</t>
        </is>
      </c>
      <c r="B938" t="inlineStr">
        <is>
          <t>Orowyrm's Sanctum Display</t>
        </is>
      </c>
      <c r="C938" t="inlineStr">
        <is>
          <t>https://wiki.warframe.com/w/Promo_Codes</t>
        </is>
      </c>
      <c r="D938" t="inlineStr">
        <is>
          <t>ExportResources</t>
        </is>
      </c>
      <c r="F938" t="inlineStr">
        <is>
          <t>Orowyrm's Sanctum Display</t>
        </is>
      </c>
      <c r="H938" t="inlineStr">
        <is>
          <t>Solved: current place verified and archived 2026-10-16.</t>
        </is>
      </c>
      <c r="I938" t="inlineStr">
        <is>
          <t>Resources</t>
        </is>
      </c>
      <c r="M938" t="inlineStr">
        <is>
          <t>Second redemption of the promo code DUVIRI-(Warframe name).</t>
        </is>
      </c>
      <c r="N938" t="inlineStr">
        <is>
          <t>Promo Codes</t>
        </is>
      </c>
      <c r="O938" t="inlineStr">
        <is>
          <t>Saved a concrete acquisition place from the official Warframe Wiki. Promo Codes table.</t>
        </is>
      </c>
    </row>
    <row r="939">
      <c r="A939" t="inlineStr">
        <is>
          <t>/Lotus/Types/Items/ShipFeatureItems/Railjack/RailjackNacelleLeftFeatureItem</t>
        </is>
      </c>
      <c r="B939" t="inlineStr">
        <is>
          <t>PORT NACELLE</t>
        </is>
      </c>
      <c r="C939" t="inlineStr">
        <is>
          <t>https://wiki.warframe.com/w/Rising_Tide/Transcript | https://wiki.warframe.com/w/Rising_Tide | https://wiki.warframe.com/w/Control_Module</t>
        </is>
      </c>
      <c r="D939" t="inlineStr">
        <is>
          <t>ExportResources</t>
        </is>
      </c>
      <c r="F939" t="inlineStr">
        <is>
          <t>PORT NACELLE</t>
        </is>
      </c>
      <c r="H939" t="inlineStr">
        <is>
          <t>Solved: current place verified and archived 2026-10-16.</t>
        </is>
      </c>
      <c r="I939" t="inlineStr">
        <is>
          <t>Resources</t>
        </is>
      </c>
      <c r="M939" t="inlineStr">
        <is>
          <t>Recover it on Plato, Lua during the Rising Tide quest, then repair it in the Dry Dock.</t>
        </is>
      </c>
      <c r="N939" t="inlineStr">
        <is>
          <t>Rising Tide</t>
        </is>
      </c>
      <c r="O939" t="inlineStr">
        <is>
          <t>Saved a concrete acquisition place from the official Warframe Wiki. Rising Tide page lists the recovery mission and Dry Dock repair.</t>
        </is>
      </c>
    </row>
    <row r="940">
      <c r="A940" t="inlineStr">
        <is>
          <t>/Lotus/Types/Items/ShipFeatureItems/Railjack/RailjackHoodBraceFeatureItem</t>
        </is>
      </c>
      <c r="B940" t="inlineStr">
        <is>
          <t>PROPULSION SYSTEMS</t>
        </is>
      </c>
      <c r="C940" t="inlineStr">
        <is>
          <t>https://wiki.warframe.com/w/Cryophon | https://wiki.warframe.com/w/Rising_Tide/Transcript | https://wiki.warframe.com/w/Nano_Spores | https://wiki.warframe.com/w/Cryotic</t>
        </is>
      </c>
      <c r="D940" t="inlineStr">
        <is>
          <t>ExportResources</t>
        </is>
      </c>
      <c r="F940" t="inlineStr">
        <is>
          <t>PROPULSION SYSTEMS</t>
        </is>
      </c>
      <c r="H940" t="inlineStr">
        <is>
          <t>Solved: current place verified and archived 2026-10-16.</t>
        </is>
      </c>
      <c r="I940" t="inlineStr">
        <is>
          <t>Resources</t>
        </is>
      </c>
      <c r="M940" t="inlineStr">
        <is>
          <t>Recover it on Cervantes, Earth during the Rising Tide quest, then repair it in the Dry Dock.</t>
        </is>
      </c>
      <c r="N940" t="inlineStr">
        <is>
          <t>Rising Tide</t>
        </is>
      </c>
      <c r="O940" t="inlineStr">
        <is>
          <t>Saved a concrete acquisition place from the official Warframe Wiki. Rising Tide page lists the recovery mission and Dry Dock repair.</t>
        </is>
      </c>
    </row>
    <row r="941">
      <c r="A941" t="inlineStr">
        <is>
          <t>/Lotus/Types/Items/ShipDecos/Plushies/PlushyPacketHuman</t>
        </is>
      </c>
      <c r="B941" t="inlineStr">
        <is>
          <t>Packet Floof</t>
        </is>
      </c>
      <c r="C941" t="inlineStr">
        <is>
          <t>https://wiki.warframe.com/w/Technocyte_Coda/Rewards | https://wiki.warframe.com/w/Adversary_System | https://wiki.warframe.com/w/Decorations/Orbiter_Decorations</t>
        </is>
      </c>
      <c r="D941" t="inlineStr">
        <is>
          <t>ExportResources</t>
        </is>
      </c>
      <c r="F941" t="inlineStr">
        <is>
          <t>Packet Floof</t>
        </is>
      </c>
      <c r="H941" t="inlineStr">
        <is>
          <t>Solved: current place verified and archived 2026-10-16.</t>
        </is>
      </c>
      <c r="I941" t="inlineStr">
        <is>
          <t>Resources</t>
        </is>
      </c>
      <c r="M941" t="inlineStr">
        <is>
          <t>Reward from vanquishing a Technocyte Coda (each Coda drops one Floof or Poster).</t>
        </is>
      </c>
      <c r="N941" t="inlineStr">
        <is>
          <t>Technocyte Coda/Rewards</t>
        </is>
      </c>
      <c r="O941" t="inlineStr">
        <is>
          <t>Saved a concrete acquisition place from the official Warframe Wiki. Rewards page: Coda pulls its second cosmetic drop from a Floof or Poster pool.</t>
        </is>
      </c>
    </row>
    <row r="942">
      <c r="A942" t="inlineStr">
        <is>
          <t>/Lotus/Types/Items/ShipDecos/Plants/Nokko/LisetPropLASxIntFoliageFanPalmB</t>
        </is>
      </c>
      <c r="B942" t="inlineStr">
        <is>
          <t>Palm Shrub (Medium)</t>
        </is>
      </c>
      <c r="C942" t="inlineStr">
        <is>
          <t>https://wiki.warframe.com/w/Nightcap</t>
        </is>
      </c>
      <c r="D942" t="inlineStr">
        <is>
          <t>ExportResources</t>
        </is>
      </c>
      <c r="F942" t="inlineStr">
        <is>
          <t>Palm Shrub (Medium)</t>
        </is>
      </c>
      <c r="H942" t="inlineStr">
        <is>
          <t>Solved: current place verified and archived 2026-10-16.</t>
        </is>
      </c>
      <c r="I942" t="inlineStr">
        <is>
          <t>Resources</t>
        </is>
      </c>
      <c r="M942" t="inlineStr">
        <is>
          <t>Purchase from Nightcap's Nursery for 10 Fergolyte.</t>
        </is>
      </c>
      <c r="N942" t="inlineStr">
        <is>
          <t>Nightcap</t>
        </is>
      </c>
      <c r="O942" t="inlineStr">
        <is>
          <t>Saved a concrete acquisition place from the official Warframe Wiki. Nightcap page lists it in Offerings &gt; Nursery.</t>
        </is>
      </c>
    </row>
    <row r="943">
      <c r="A943" t="inlineStr">
        <is>
          <t>/Lotus/Types/Items/ShipDecos/Plants/Nokko/LisetPropLASxIntFoliageFanPalmA</t>
        </is>
      </c>
      <c r="B943" t="inlineStr">
        <is>
          <t>Palm Shrub (Small)</t>
        </is>
      </c>
      <c r="C943" t="inlineStr">
        <is>
          <t>https://wiki.warframe.com/w/Nightcap</t>
        </is>
      </c>
      <c r="D943" t="inlineStr">
        <is>
          <t>ExportResources</t>
        </is>
      </c>
      <c r="F943" t="inlineStr">
        <is>
          <t>Palm Shrub (Small)</t>
        </is>
      </c>
      <c r="H943" t="inlineStr">
        <is>
          <t>Solved: current place verified and archived 2026-10-16.</t>
        </is>
      </c>
      <c r="I943" t="inlineStr">
        <is>
          <t>Resources</t>
        </is>
      </c>
      <c r="M943" t="inlineStr">
        <is>
          <t>Purchase from Nightcap's Nursery for 10 Fergolyte.</t>
        </is>
      </c>
      <c r="N943" t="inlineStr">
        <is>
          <t>Nightcap</t>
        </is>
      </c>
      <c r="O943" t="inlineStr">
        <is>
          <t>Saved a concrete acquisition place from the official Warframe Wiki. Nightcap page lists it in Offerings &gt; Nursery.</t>
        </is>
      </c>
    </row>
    <row r="944">
      <c r="A944" t="inlineStr">
        <is>
          <t>/Lotus/Types/Items/Deimos/AnimalTagInfestedCritterRare</t>
        </is>
      </c>
      <c r="B944" t="inlineStr">
        <is>
          <t>Panzer Vulpaphyla Tag</t>
        </is>
      </c>
      <c r="C944" t="inlineStr">
        <is>
          <t>https://wiki.warframe.com/w/Conservation</t>
        </is>
      </c>
      <c r="D944" t="inlineStr">
        <is>
          <t>ExportResources</t>
        </is>
      </c>
      <c r="G944" t="inlineStr">
        <is>
          <t>Vulpaphyla</t>
        </is>
      </c>
      <c r="H944" t="inlineStr">
        <is>
          <t>Solved: current place verified and archived 2026-10-16.</t>
        </is>
      </c>
      <c r="I944" t="inlineStr">
        <is>
          <t>Resources</t>
        </is>
      </c>
      <c r="J944" t="inlineStr">
        <is>
          <t>Companions_data, Conservation_data, Cosmetics_data, Mods_data, Resources_data</t>
        </is>
      </c>
      <c r="K944" t="inlineStr">
        <is>
          <t>Resources/data</t>
        </is>
      </c>
      <c r="L944" t="inlineStr">
        <is>
          <t>listed, no place</t>
        </is>
      </c>
      <c r="M944" t="inlineStr">
        <is>
          <t>Capture a Panzer Vulpaphyla through Conservation in the Cambion Drift.</t>
        </is>
      </c>
      <c r="N944" t="inlineStr">
        <is>
          <t>Conservation</t>
        </is>
      </c>
      <c r="O944" t="inlineStr">
        <is>
          <t>Saved a concrete acquisition place from the official Warframe Wiki.</t>
        </is>
      </c>
    </row>
    <row r="945">
      <c r="A945" t="inlineStr">
        <is>
          <t>/Lotus/Types/Items/Ships/ZarimanShip</t>
        </is>
      </c>
      <c r="B945" t="inlineStr">
        <is>
          <t>Parallax</t>
        </is>
      </c>
      <c r="C945" t="inlineStr">
        <is>
          <t>https://wiki.warframe.com/w/Parallax</t>
        </is>
      </c>
      <c r="D945" t="inlineStr">
        <is>
          <t>ExportResources</t>
        </is>
      </c>
      <c r="F945" t="inlineStr">
        <is>
          <t>Parallax</t>
        </is>
      </c>
      <c r="G945" t="inlineStr">
        <is>
          <t>Parallax</t>
        </is>
      </c>
      <c r="H945" t="inlineStr">
        <is>
          <t>Solved: current place verified and archived 2026-10-16.</t>
        </is>
      </c>
      <c r="I945" t="inlineStr">
        <is>
          <t>Resources</t>
        </is>
      </c>
      <c r="J945" t="inlineStr">
        <is>
          <t>Cosmetics_data</t>
        </is>
      </c>
      <c r="K945" t="inlineStr">
        <is>
          <t>name or path</t>
        </is>
      </c>
      <c r="M945" t="inlineStr">
        <is>
          <t>In-game Market for 150 Platinum, or build it from a Market blueprint and component blueprints from Zariman Reinforced Carrypods.</t>
        </is>
      </c>
      <c r="N945" t="inlineStr">
        <is>
          <t>Parallax</t>
        </is>
      </c>
      <c r="O945" t="inlineStr">
        <is>
          <t>Saved a concrete acquisition place from the official Warframe Wiki.</t>
        </is>
      </c>
    </row>
    <row r="946">
      <c r="A946" t="inlineStr">
        <is>
          <t>/Lotus/Types/Recipes/LandingCraftRecipes/ZarimanShip/ZarimanShipAvionicsComponent</t>
        </is>
      </c>
      <c r="B946" t="inlineStr">
        <is>
          <t>Parallax Avionics</t>
        </is>
      </c>
      <c r="C946" t="inlineStr">
        <is>
          <t>https://wiki.warframe.com/w/Thrax_Plasm | https://wiki.warframe.com/w/Entrati_Lanthorn | https://wiki.warframe.com/w/Lucent_Teroglobe</t>
        </is>
      </c>
      <c r="D946" t="inlineStr">
        <is>
          <t>ExportResources</t>
        </is>
      </c>
      <c r="F946" t="inlineStr">
        <is>
          <t>Parallax Avionics</t>
        </is>
      </c>
      <c r="H946" t="inlineStr">
        <is>
          <t>Solved: current place verified and archived 2026-10-16.</t>
        </is>
      </c>
      <c r="I946" t="inlineStr">
        <is>
          <t>Resources</t>
        </is>
      </c>
      <c r="L946" t="inlineStr">
        <is>
          <t>DropTables_data, drop_reverse_index_v2</t>
        </is>
      </c>
      <c r="M946" t="inlineStr">
        <is>
          <t>Rare blueprint drop from Reinforced Carrypod Storage Containers on the Zariman Ten Zero.</t>
        </is>
      </c>
      <c r="N946" t="inlineStr">
        <is>
          <t>Parallax</t>
        </is>
      </c>
      <c r="O946" t="inlineStr">
        <is>
          <t>Saved a concrete acquisition place from the official Warframe Wiki. Parallax page Acquisition.</t>
        </is>
      </c>
    </row>
    <row r="947">
      <c r="A947" t="inlineStr">
        <is>
          <t>/Lotus/Types/Recipes/LandingCraftRecipes/ZarimanShip/ZarimanShipEnginesComponent</t>
        </is>
      </c>
      <c r="B947" t="inlineStr">
        <is>
          <t>Parallax Engines</t>
        </is>
      </c>
      <c r="C947" t="inlineStr">
        <is>
          <t>https://wiki.warframe.com/w/Stellated_Necrathene | https://wiki.warframe.com/w/Voidgel_Orb | https://wiki.warframe.com/w/Argon_Crystal</t>
        </is>
      </c>
      <c r="D947" t="inlineStr">
        <is>
          <t>ExportResources</t>
        </is>
      </c>
      <c r="F947" t="inlineStr">
        <is>
          <t>Parallax Engines</t>
        </is>
      </c>
      <c r="H947" t="inlineStr">
        <is>
          <t>Solved: current place verified and archived 2026-10-16.</t>
        </is>
      </c>
      <c r="I947" t="inlineStr">
        <is>
          <t>Resources</t>
        </is>
      </c>
      <c r="L947" t="inlineStr">
        <is>
          <t>DropTables_data, drop_reverse_index_v2</t>
        </is>
      </c>
      <c r="M947" t="inlineStr">
        <is>
          <t>Rare blueprint drop from Reinforced Carrypod Storage Containers on the Zariman Ten Zero.</t>
        </is>
      </c>
      <c r="N947" t="inlineStr">
        <is>
          <t>Parallax</t>
        </is>
      </c>
      <c r="O947" t="inlineStr">
        <is>
          <t>Saved a concrete acquisition place from the official Warframe Wiki. Parallax page Acquisition.</t>
        </is>
      </c>
    </row>
    <row r="948">
      <c r="A948" t="inlineStr">
        <is>
          <t>/Lotus/Types/Recipes/LandingCraftRecipes/ZarimanShip/ZarimanShipFuselageComponent</t>
        </is>
      </c>
      <c r="B948" t="inlineStr">
        <is>
          <t>Parallax Fuselage</t>
        </is>
      </c>
      <c r="C948" t="inlineStr">
        <is>
          <t>https://wiki.warframe.com/w/Voidplume_Quill</t>
        </is>
      </c>
      <c r="D948" t="inlineStr">
        <is>
          <t>ExportResources</t>
        </is>
      </c>
      <c r="F948" t="inlineStr">
        <is>
          <t>Parallax Fuselage</t>
        </is>
      </c>
      <c r="H948" t="inlineStr">
        <is>
          <t>Solved: current place verified and archived 2026-10-16.</t>
        </is>
      </c>
      <c r="I948" t="inlineStr">
        <is>
          <t>Resources</t>
        </is>
      </c>
      <c r="L948" t="inlineStr">
        <is>
          <t>DropTables_data, drop_reverse_index_v2</t>
        </is>
      </c>
      <c r="M948" t="inlineStr">
        <is>
          <t>Purchase for 30 Voidplume Quills.</t>
        </is>
      </c>
      <c r="N948" t="inlineStr">
        <is>
          <t>Voidplume Quill</t>
        </is>
      </c>
      <c r="O948" t="inlineStr">
        <is>
          <t>We copied where it comes from off the wiki page. See place from wiki page.</t>
        </is>
      </c>
    </row>
    <row r="949">
      <c r="A949" t="inlineStr">
        <is>
          <t>/Lotus/Types/Items/ShipDecos/Plushies/PlushyLNY2023Rabbit</t>
        </is>
      </c>
      <c r="B949" t="inlineStr">
        <is>
          <t>Peaceful Rabbit Floof</t>
        </is>
      </c>
      <c r="C949" t="inlineStr">
        <is>
          <t>https://wiki.warframe.com/w/Lunar_Renewal | https://wiki.warframe.com/w/Quartz_Renewal_Bundle | https://wiki.warframe.com/w/Redtext</t>
        </is>
      </c>
      <c r="D949" t="inlineStr">
        <is>
          <t>ExportResources</t>
        </is>
      </c>
      <c r="F949" t="inlineStr">
        <is>
          <t>Peaceful Rabbit Floof</t>
        </is>
      </c>
      <c r="H949" t="inlineStr">
        <is>
          <t>Solved: current place verified and archived 2026-10-16.</t>
        </is>
      </c>
      <c r="I949" t="inlineStr">
        <is>
          <t>Resources</t>
        </is>
      </c>
      <c r="M949" t="inlineStr">
        <is>
          <t>In-game Market for 35 Platinum.</t>
        </is>
      </c>
      <c r="N949" t="inlineStr">
        <is>
          <t>Lunar Renewal | Quartz Renewal Bundle | Update 32 | Redtext</t>
        </is>
      </c>
      <c r="O949" t="inlineStr">
        <is>
          <t>We copied where it comes from off the wiki page. See place from wiki page.</t>
        </is>
      </c>
    </row>
    <row r="950">
      <c r="A950" t="inlineStr">
        <is>
          <t>/Lotus/Types/Recipes/Weapons/WeaponParts/PerigalePrimeBarrel</t>
        </is>
      </c>
      <c r="B950" t="inlineStr">
        <is>
          <t>Perigale Prime Barrel</t>
        </is>
      </c>
      <c r="C950" t="inlineStr">
        <is>
          <t>https://wiki.warframe.com/w/Axi_P10 | https://wiki.warframe.com/w/Neo_P10 | https://wiki.warframe.com/w/Void_Relic/ByRarity | https://wiki.warframe.com/w/Void_Relic/ByRelic | https://wiki.warframe.com/w/Void_Relic/ByRewards</t>
        </is>
      </c>
      <c r="D950" t="inlineStr">
        <is>
          <t>ExportResources</t>
        </is>
      </c>
      <c r="F950" t="inlineStr">
        <is>
          <t>Perigale Prime Barrel</t>
        </is>
      </c>
      <c r="H950" t="inlineStr">
        <is>
          <t>Solved: current place verified and archived 2026-10-16.</t>
        </is>
      </c>
      <c r="I950" t="inlineStr">
        <is>
          <t>Resources</t>
        </is>
      </c>
      <c r="J950" t="inlineStr">
        <is>
          <t>Neo P10 Relic (Rare) | Axi P10 Relic (Rare)</t>
        </is>
      </c>
      <c r="K950" t="inlineStr">
        <is>
          <t>Void/data</t>
        </is>
      </c>
      <c r="L950" t="inlineStr">
        <is>
          <t>name</t>
        </is>
      </c>
      <c r="M950" t="inlineStr">
        <is>
          <t>Axi P10 relic drop.</t>
        </is>
      </c>
      <c r="N950" t="inlineStr">
        <is>
          <t>Axi P10 | Neo P10</t>
        </is>
      </c>
      <c r="O950" t="inlineStr">
        <is>
          <t>Saved a concrete acquisition place from the official Warframe Wiki. Relic pages list this part in their reward table.</t>
        </is>
      </c>
    </row>
    <row r="951">
      <c r="A951" t="inlineStr">
        <is>
          <t>/Lotus/Types/Recipes/Weapons/WeaponParts/PerigalePrimeReceiver</t>
        </is>
      </c>
      <c r="B951" t="inlineStr">
        <is>
          <t>Perigale Prime Receiver</t>
        </is>
      </c>
      <c r="C951" t="inlineStr">
        <is>
          <t>https://wiki.warframe.com/w/Meso_K9 | https://wiki.warframe.com/w/Lith_T14 | https://wiki.warframe.com/w/Lith_C14 | https://wiki.warframe.com/w/Void_Relic/ByRelic | https://wiki.warframe.com/w/Void_Relic/ByRarity</t>
        </is>
      </c>
      <c r="D951" t="inlineStr">
        <is>
          <t>ExportResources</t>
        </is>
      </c>
      <c r="F951" t="inlineStr">
        <is>
          <t>Perigale Prime Receiver</t>
        </is>
      </c>
      <c r="H951" t="inlineStr">
        <is>
          <t>Solved: current place verified and archived 2026-10-16.</t>
        </is>
      </c>
      <c r="I951" t="inlineStr">
        <is>
          <t>Resources</t>
        </is>
      </c>
      <c r="J951" t="inlineStr">
        <is>
          <t>Lith C14 Relic (Uncommon) | Lith T14 Relic (Uncommon) | Meso K9 Relic (Uncommon)</t>
        </is>
      </c>
      <c r="K951" t="inlineStr">
        <is>
          <t>Void/data</t>
        </is>
      </c>
      <c r="L951" t="inlineStr">
        <is>
          <t>name</t>
        </is>
      </c>
      <c r="M951" t="inlineStr">
        <is>
          <t>Meso K9 relic drop.</t>
        </is>
      </c>
      <c r="N951" t="inlineStr">
        <is>
          <t>Meso K9 | Lith T14 | Lith C14</t>
        </is>
      </c>
      <c r="O951" t="inlineStr">
        <is>
          <t>Saved a concrete acquisition place from the official Warframe Wiki. Relic pages list this part in their reward table.</t>
        </is>
      </c>
    </row>
    <row r="952">
      <c r="A952" t="inlineStr">
        <is>
          <t>/Lotus/Types/Recipes/Weapons/WeaponParts/PerigalePrimeStock</t>
        </is>
      </c>
      <c r="B952" t="inlineStr">
        <is>
          <t>Perigale Prime Stock</t>
        </is>
      </c>
      <c r="C952" t="inlineStr">
        <is>
          <t>https://wiki.warframe.com/w/Neo_A16 | https://wiki.warframe.com/w/Neo_T11 | https://wiki.warframe.com/w/Axi_C11 | https://wiki.warframe.com/w/Void_Relic/ByRelic | https://wiki.warframe.com/w/Void_Relic/ByRarity</t>
        </is>
      </c>
      <c r="D952" t="inlineStr">
        <is>
          <t>ExportResources</t>
        </is>
      </c>
      <c r="F952" t="inlineStr">
        <is>
          <t>Perigale Prime Stock</t>
        </is>
      </c>
      <c r="H952" t="inlineStr">
        <is>
          <t>Solved: current place verified and archived 2026-10-16.</t>
        </is>
      </c>
      <c r="I952" t="inlineStr">
        <is>
          <t>Resources</t>
        </is>
      </c>
      <c r="J952" t="inlineStr">
        <is>
          <t>Axi C11 Relic (Common) | Neo T11 Relic (Common) | Neo A16 Relic (Common)</t>
        </is>
      </c>
      <c r="K952" t="inlineStr">
        <is>
          <t>Void/data</t>
        </is>
      </c>
      <c r="L952" t="inlineStr">
        <is>
          <t>name</t>
        </is>
      </c>
      <c r="M952" t="inlineStr">
        <is>
          <t>Neo A16 relic drop.</t>
        </is>
      </c>
      <c r="N952" t="inlineStr">
        <is>
          <t>Neo A16 | Neo T11 | Axi C11</t>
        </is>
      </c>
      <c r="O952" t="inlineStr">
        <is>
          <t>Saved a concrete acquisition place from the official Warframe Wiki. Relic pages list this part in their reward table.</t>
        </is>
      </c>
    </row>
    <row r="953">
      <c r="A953" t="inlineStr">
        <is>
          <t>/Lotus/Types/Items/PhotoBooth/TauOldPeace/PhotoboothTileTauOldPeaceObjLiminalBossArena</t>
        </is>
      </c>
      <c r="B953" t="inlineStr">
        <is>
          <t>Perita Manifestation Scene</t>
        </is>
      </c>
      <c r="C953" t="inlineStr">
        <is>
          <t>https://wiki.warframe.com/w/Roathe | https://wiki.warframe.com/w/Captura</t>
        </is>
      </c>
      <c r="D953" t="inlineStr">
        <is>
          <t>ExportResources</t>
        </is>
      </c>
      <c r="F953" t="inlineStr">
        <is>
          <t>Perita Manifestation Scene</t>
        </is>
      </c>
      <c r="H953" t="inlineStr">
        <is>
          <t>Solved: current place verified and archived 2026-10-16.</t>
        </is>
      </c>
      <c r="I953" t="inlineStr">
        <is>
          <t>Resources</t>
        </is>
      </c>
      <c r="M953" t="inlineStr">
        <is>
          <t>Purchase from Roathe's Surplus for 100 Maphica.</t>
        </is>
      </c>
      <c r="N953" t="inlineStr">
        <is>
          <t>Captura</t>
        </is>
      </c>
      <c r="O953" t="inlineStr">
        <is>
          <t>Saved a concrete acquisition place from the official Warframe Wiki. Captura scene table lists this scene with its acquisition note.</t>
        </is>
      </c>
    </row>
    <row r="954">
      <c r="A954" t="inlineStr">
        <is>
          <t>/Lotus/Types/Items/Deimos/AnimalTagInfestedPredatorUncommon</t>
        </is>
      </c>
      <c r="B954" t="inlineStr">
        <is>
          <t>Pharaoh Predasite Tag</t>
        </is>
      </c>
      <c r="C954" t="inlineStr">
        <is>
          <t>https://wiki.warframe.com/w/Conservation</t>
        </is>
      </c>
      <c r="D954" t="inlineStr">
        <is>
          <t>ExportResources</t>
        </is>
      </c>
      <c r="G954" t="inlineStr">
        <is>
          <t>Conservation#Predasite</t>
        </is>
      </c>
      <c r="H954" t="inlineStr">
        <is>
          <t>Solved: current place verified and archived 2026-10-16.</t>
        </is>
      </c>
      <c r="I954" t="inlineStr">
        <is>
          <t>Resources</t>
        </is>
      </c>
      <c r="J954" t="inlineStr">
        <is>
          <t>Resources_data</t>
        </is>
      </c>
      <c r="K954" t="inlineStr">
        <is>
          <t>Resources/data</t>
        </is>
      </c>
      <c r="L954" t="inlineStr">
        <is>
          <t>listed, no place</t>
        </is>
      </c>
      <c r="M954" t="inlineStr">
        <is>
          <t>Capture a Pharaoh Predasite through Conservation in the Cambion Drift.</t>
        </is>
      </c>
      <c r="N954" t="inlineStr">
        <is>
          <t>Conservation</t>
        </is>
      </c>
      <c r="O954" t="inlineStr">
        <is>
          <t>Saved a concrete acquisition place from the official Warframe Wiki.</t>
        </is>
      </c>
    </row>
    <row r="955">
      <c r="A955" t="inlineStr">
        <is>
          <t>/Lotus/Types/Items/MiscItems/MechSurvivalEventCreds</t>
        </is>
      </c>
      <c r="B955" t="inlineStr">
        <is>
          <t>Phasic Cells</t>
        </is>
      </c>
      <c r="C955" t="inlineStr">
        <is>
          <t>https://wiki.warframe.com/w/Operation:_Orphix_Venom</t>
        </is>
      </c>
      <c r="D955" t="inlineStr">
        <is>
          <t>ExportResources</t>
        </is>
      </c>
      <c r="G955" t="inlineStr">
        <is>
          <t>Phasic Cells</t>
        </is>
      </c>
      <c r="H955" t="inlineStr">
        <is>
          <t>Solved: current place verified and archived 2026-10-16.</t>
        </is>
      </c>
      <c r="I955" t="inlineStr">
        <is>
          <t>Resources</t>
        </is>
      </c>
      <c r="J955" t="inlineStr">
        <is>
          <t>Resources_data, Vendors_data</t>
        </is>
      </c>
      <c r="K955" t="inlineStr">
        <is>
          <t>Resources/data</t>
        </is>
      </c>
      <c r="L955" t="inlineStr">
        <is>
          <t>listed, no place</t>
        </is>
      </c>
      <c r="M955" t="inlineStr">
        <is>
          <t>Not currently obtainable.</t>
        </is>
      </c>
      <c r="N955" t="inlineStr">
        <is>
          <t>Operation: Orphix Venom</t>
        </is>
      </c>
      <c r="O955" t="inlineStr">
        <is>
          <t>Saved a concrete acquisition place from the official Warframe Wiki.</t>
        </is>
      </c>
    </row>
    <row r="956">
      <c r="A956" t="inlineStr">
        <is>
          <t>/Lotus/Types/Items/ShipDecos/TennoPlanterF</t>
        </is>
      </c>
      <c r="B956" t="inlineStr">
        <is>
          <t>Piccha Planter</t>
        </is>
      </c>
      <c r="C956" t="inlineStr">
        <is>
          <t>https://wiki.warframe.com/w/Decorations/Orbiter_Decorations</t>
        </is>
      </c>
      <c r="D956" t="inlineStr">
        <is>
          <t>ExportResources</t>
        </is>
      </c>
      <c r="F956" t="inlineStr">
        <is>
          <t>Piccha Planter</t>
        </is>
      </c>
      <c r="H956" t="inlineStr">
        <is>
          <t>Solved: current place verified and archived 2026-10-16.</t>
        </is>
      </c>
      <c r="I956" t="inlineStr">
        <is>
          <t>Resources</t>
        </is>
      </c>
      <c r="M956" t="inlineStr">
        <is>
          <t>In-game Market for 20 Platinum.</t>
        </is>
      </c>
      <c r="N956" t="inlineStr">
        <is>
          <t>Decorations/Orbiter Decorations</t>
        </is>
      </c>
      <c r="O956" t="inlineStr">
        <is>
          <t>Saved a concrete acquisition place from the official Warframe Wiki. Orbiter Decorations Market section: planters cost 20 Platinum (Lua Planter 50).</t>
        </is>
      </c>
    </row>
    <row r="957">
      <c r="A957" t="inlineStr">
        <is>
          <t>/Lotus/Types/Items/ShipDecos/Props/Nokko/LisetPropLASxMallPlanterB</t>
        </is>
      </c>
      <c r="B957" t="inlineStr">
        <is>
          <t>Planter (Wooden)</t>
        </is>
      </c>
      <c r="C957" t="inlineStr">
        <is>
          <t>https://wiki.warframe.com/w/The_Hex_(Syndicate) | https://wiki.warframe.com/w/Velimir | https://wiki.warframe.com/w/Decorations</t>
        </is>
      </c>
      <c r="D957" t="inlineStr">
        <is>
          <t>ExportResources</t>
        </is>
      </c>
      <c r="F957" t="inlineStr">
        <is>
          <t>Planter (Wooden)</t>
        </is>
      </c>
      <c r="H957" t="inlineStr">
        <is>
          <t>Solved: current place verified and archived 2026-10-16.</t>
        </is>
      </c>
      <c r="I957" t="inlineStr">
        <is>
          <t>Resources</t>
        </is>
      </c>
      <c r="M957" t="inlineStr">
        <is>
          <t>Purchase from Velimir (The Hex) for 5,000 Standing at Rank 5 (Pizza Party).</t>
        </is>
      </c>
      <c r="N957" t="inlineStr">
        <is>
          <t>Velimir</t>
        </is>
      </c>
      <c r="O957" t="inlineStr">
        <is>
          <t>Saved a concrete acquisition place from the official Warframe Wiki. Velimir page lists it in Offerings.</t>
        </is>
      </c>
    </row>
    <row r="958">
      <c r="A958" t="inlineStr">
        <is>
          <t>/Lotus/Types/Items/ShipDecos/Props/Nokko/LisetPropLASxPlanterBox1mAFoliageA</t>
        </is>
      </c>
      <c r="B958" t="inlineStr">
        <is>
          <t>Planter Box Foliage (Small)</t>
        </is>
      </c>
      <c r="C958" t="inlineStr">
        <is>
          <t>https://wiki.warframe.com/w/Nightcap</t>
        </is>
      </c>
      <c r="D958" t="inlineStr">
        <is>
          <t>ExportResources</t>
        </is>
      </c>
      <c r="F958" t="inlineStr">
        <is>
          <t>Planter Box Foliage (Small)</t>
        </is>
      </c>
      <c r="H958" t="inlineStr">
        <is>
          <t>Solved: current place verified and archived 2026-10-16.</t>
        </is>
      </c>
      <c r="I958" t="inlineStr">
        <is>
          <t>Resources</t>
        </is>
      </c>
      <c r="M958" t="inlineStr">
        <is>
          <t>Purchase from Nightcap's Nursery for 10 Fergolyte.</t>
        </is>
      </c>
      <c r="N958" t="inlineStr">
        <is>
          <t>Nightcap</t>
        </is>
      </c>
      <c r="O958" t="inlineStr">
        <is>
          <t>Saved a concrete acquisition place from the official Warframe Wiki. Nightcap page lists it in Offerings &gt; Nursery.</t>
        </is>
      </c>
    </row>
    <row r="959">
      <c r="A959" t="inlineStr">
        <is>
          <t>/Lotus/Types/Items/ShipDecos/ContainerDecoItemPlastidCarapace</t>
        </is>
      </c>
      <c r="B959" t="inlineStr">
        <is>
          <t>Plastid Carapace Decoration</t>
        </is>
      </c>
      <c r="C959" t="inlineStr">
        <is>
          <t>https://wiki.warframe.com/w/Market/Equipment</t>
        </is>
      </c>
      <c r="D959" t="inlineStr">
        <is>
          <t>ExportResources</t>
        </is>
      </c>
      <c r="F959" t="inlineStr">
        <is>
          <t>Plastid Carapace Decoration</t>
        </is>
      </c>
      <c r="H959" t="inlineStr">
        <is>
          <t>Solved: current place verified and archived 2026-10-16.</t>
        </is>
      </c>
      <c r="I959" t="inlineStr">
        <is>
          <t>Resources</t>
        </is>
      </c>
      <c r="M959" t="inlineStr">
        <is>
          <t>In-game Market for 20 Platinum.</t>
        </is>
      </c>
      <c r="N959" t="inlineStr">
        <is>
          <t>Market/Equipment</t>
        </is>
      </c>
      <c r="O959" t="inlineStr">
        <is>
          <t>Saved a concrete acquisition place from the official Warframe Wiki. Market/Equipment lists it with a Platinum price.</t>
        </is>
      </c>
    </row>
    <row r="960">
      <c r="A960" t="inlineStr">
        <is>
          <t>/Lotus/Types/Items/ShipDecos/ResourceDecoItemPlastids</t>
        </is>
      </c>
      <c r="B960" t="inlineStr">
        <is>
          <t>Plastids Decoration</t>
        </is>
      </c>
      <c r="C960" t="inlineStr">
        <is>
          <t>https://wiki.warframe.com/w/Market/Equipment</t>
        </is>
      </c>
      <c r="D960" t="inlineStr">
        <is>
          <t>ExportResources</t>
        </is>
      </c>
      <c r="F960" t="inlineStr">
        <is>
          <t>Plastids Decoration</t>
        </is>
      </c>
      <c r="H960" t="inlineStr">
        <is>
          <t>Solved: current place verified and archived 2026-10-16.</t>
        </is>
      </c>
      <c r="I960" t="inlineStr">
        <is>
          <t>Resources</t>
        </is>
      </c>
      <c r="M960" t="inlineStr">
        <is>
          <t>In-game Market for 5 Platinum.</t>
        </is>
      </c>
      <c r="N960" t="inlineStr">
        <is>
          <t>Market/Equipment</t>
        </is>
      </c>
      <c r="O960" t="inlineStr">
        <is>
          <t>Saved a concrete acquisition place from the official Warframe Wiki. Market/Equipment lists it with a Platinum price.</t>
        </is>
      </c>
    </row>
    <row r="961">
      <c r="A961" t="inlineStr">
        <is>
          <t>/Lotus/Types/Items/ShipDecos/ResourceDecoItemPolymerBundle</t>
        </is>
      </c>
      <c r="B961" t="inlineStr">
        <is>
          <t>Polymer Bundle Decoration</t>
        </is>
      </c>
      <c r="C961" t="inlineStr">
        <is>
          <t>https://wiki.warframe.com/w/Market/Equipment</t>
        </is>
      </c>
      <c r="D961" t="inlineStr">
        <is>
          <t>ExportResources</t>
        </is>
      </c>
      <c r="F961" t="inlineStr">
        <is>
          <t>Polymer Bundle Decoration</t>
        </is>
      </c>
      <c r="H961" t="inlineStr">
        <is>
          <t>Solved: current place verified and archived 2026-10-16.</t>
        </is>
      </c>
      <c r="I961" t="inlineStr">
        <is>
          <t>Resources</t>
        </is>
      </c>
      <c r="M961" t="inlineStr">
        <is>
          <t>In-game Market for 5 Platinum.</t>
        </is>
      </c>
      <c r="N961" t="inlineStr">
        <is>
          <t>Market/Equipment</t>
        </is>
      </c>
      <c r="O961" t="inlineStr">
        <is>
          <t>Saved a concrete acquisition place from the official Warframe Wiki. Market/Equipment lists it with a Platinum price.</t>
        </is>
      </c>
    </row>
    <row r="962">
      <c r="A962" t="inlineStr">
        <is>
          <t>/Lotus/Types/Items/ShipDecos/ContainerDecoItemPolymerCase</t>
        </is>
      </c>
      <c r="B962" t="inlineStr">
        <is>
          <t>Polymer Case Decoration</t>
        </is>
      </c>
      <c r="C962" t="inlineStr">
        <is>
          <t>https://wiki.warframe.com/w/Market/Equipment</t>
        </is>
      </c>
      <c r="D962" t="inlineStr">
        <is>
          <t>ExportResources</t>
        </is>
      </c>
      <c r="F962" t="inlineStr">
        <is>
          <t>Polymer Case Decoration</t>
        </is>
      </c>
      <c r="H962" t="inlineStr">
        <is>
          <t>Solved: current place verified and archived 2026-10-16.</t>
        </is>
      </c>
      <c r="I962" t="inlineStr">
        <is>
          <t>Resources</t>
        </is>
      </c>
      <c r="M962" t="inlineStr">
        <is>
          <t>In-game Market for 20 Platinum.</t>
        </is>
      </c>
      <c r="N962" t="inlineStr">
        <is>
          <t>Market/Equipment</t>
        </is>
      </c>
      <c r="O962" t="inlineStr">
        <is>
          <t>Saved a concrete acquisition place from the official Warframe Wiki. Market/Equipment lists it with a Platinum price.</t>
        </is>
      </c>
    </row>
    <row r="963">
      <c r="A963" t="inlineStr">
        <is>
          <t>/Lotus/Types/Items/PhotoBooth/JadeShadows/PhotoboothTileJS2Hub</t>
        </is>
      </c>
      <c r="B963" t="inlineStr">
        <is>
          <t>Pontis Tower Scene</t>
        </is>
      </c>
      <c r="C963" t="inlineStr">
        <is>
          <t>https://wiki.warframe.com/w/Pontis_Tower | https://wiki.warframe.com/w/Emerald_Talent | https://wiki.warframe.com/w/Hunhow | https://wiki.warframe.com/w/Crimson_Talent</t>
        </is>
      </c>
      <c r="D963" t="inlineStr">
        <is>
          <t>ExportResources</t>
        </is>
      </c>
      <c r="F963" t="inlineStr">
        <is>
          <t>Pontis Tower Scene</t>
        </is>
      </c>
      <c r="H963" t="inlineStr">
        <is>
          <t>Solved: current place verified and archived 2026-10-16.</t>
        </is>
      </c>
      <c r="I963" t="inlineStr">
        <is>
          <t>Resources</t>
        </is>
      </c>
      <c r="M963" t="inlineStr">
        <is>
          <t>Purchase from Hunhow's Keepsakes in Pontis Tower for 25 Crimson Talents or 25 Emerald Talents.</t>
        </is>
      </c>
      <c r="N963" t="inlineStr">
        <is>
          <t>Pontis Tower | Emerald Talent | Hunhow | Crimson Talent</t>
        </is>
      </c>
      <c r="O963" t="inlineStr">
        <is>
          <t>We found more than one answer for where it comes from. Look at place from wiki page — the answers are separated by | — and pick the right one.</t>
        </is>
      </c>
    </row>
    <row r="964">
      <c r="A964" t="inlineStr">
        <is>
          <t>/Lotus/Types/Items/ShipDecos/Props/Nokko/LisetPropLASxShopPlanterB</t>
        </is>
      </c>
      <c r="B964" t="inlineStr">
        <is>
          <t>Potted Plant (Short, White Pot)</t>
        </is>
      </c>
      <c r="C964" t="inlineStr">
        <is>
          <t>https://wiki.warframe.com/w/The_Hex_(Syndicate) | https://wiki.warframe.com/w/Velimir | https://wiki.warframe.com/w/Decorations</t>
        </is>
      </c>
      <c r="D964" t="inlineStr">
        <is>
          <t>ExportResources</t>
        </is>
      </c>
      <c r="F964" t="inlineStr">
        <is>
          <t>Potted Plant (Short, White Pot)</t>
        </is>
      </c>
      <c r="H964" t="inlineStr">
        <is>
          <t>Solved: current place verified and archived 2026-10-16.</t>
        </is>
      </c>
      <c r="I964" t="inlineStr">
        <is>
          <t>Resources</t>
        </is>
      </c>
      <c r="M964" t="inlineStr">
        <is>
          <t>Purchase from Velimir (The Hex) for 5,000 Standing at Rank 5 (Pizza Party).</t>
        </is>
      </c>
      <c r="N964" t="inlineStr">
        <is>
          <t>Velimir</t>
        </is>
      </c>
      <c r="O964" t="inlineStr">
        <is>
          <t>Saved a concrete acquisition place from the official Warframe Wiki. Velimir page lists it in Offerings.</t>
        </is>
      </c>
    </row>
    <row r="965">
      <c r="A965" t="inlineStr">
        <is>
          <t>/Lotus/Types/Items/ShipDecos/Props/Nokko/LisetPropLASxShopPlanterA</t>
        </is>
      </c>
      <c r="B965" t="inlineStr">
        <is>
          <t>Potted Plant (Tall, Black Pot)</t>
        </is>
      </c>
      <c r="C965" t="inlineStr">
        <is>
          <t>https://wiki.warframe.com/w/The_Hex_(Syndicate) | https://wiki.warframe.com/w/Velimir | https://wiki.warframe.com/w/Decorations</t>
        </is>
      </c>
      <c r="D965" t="inlineStr">
        <is>
          <t>ExportResources</t>
        </is>
      </c>
      <c r="F965" t="inlineStr">
        <is>
          <t>Potted Plant (Tall, Black Pot)</t>
        </is>
      </c>
      <c r="H965" t="inlineStr">
        <is>
          <t>Solved: current place verified and archived 2026-10-16.</t>
        </is>
      </c>
      <c r="I965" t="inlineStr">
        <is>
          <t>Resources</t>
        </is>
      </c>
      <c r="M965" t="inlineStr">
        <is>
          <t>Purchase from Velimir (The Hex) for 5,000 Standing at Rank 5 (Pizza Party).</t>
        </is>
      </c>
      <c r="N965" t="inlineStr">
        <is>
          <t>Velimir</t>
        </is>
      </c>
      <c r="O965" t="inlineStr">
        <is>
          <t>Saved a concrete acquisition place from the official Warframe Wiki. Velimir page lists it in Offerings.</t>
        </is>
      </c>
    </row>
    <row r="966">
      <c r="A966" t="inlineStr">
        <is>
          <t>/Lotus/Types/Items/ShipDecos/KubrowBedD</t>
        </is>
      </c>
      <c r="B966" t="inlineStr">
        <is>
          <t>Pragka Pet Bed</t>
        </is>
      </c>
      <c r="C966" t="inlineStr">
        <is>
          <t>https://wiki.warframe.com/w/Decorations/Orbiter_Decorations</t>
        </is>
      </c>
      <c r="D966" t="inlineStr">
        <is>
          <t>ExportResources</t>
        </is>
      </c>
      <c r="F966" t="inlineStr">
        <is>
          <t>Pragka Pet Bed</t>
        </is>
      </c>
      <c r="H966" t="inlineStr">
        <is>
          <t>Solved: current place verified and archived 2026-10-16.</t>
        </is>
      </c>
      <c r="I966" t="inlineStr">
        <is>
          <t>Resources</t>
        </is>
      </c>
      <c r="M966" t="inlineStr">
        <is>
          <t>In-game Market for 20 Platinum.</t>
        </is>
      </c>
      <c r="N966" t="inlineStr">
        <is>
          <t>Decorations/Orbiter Decorations</t>
        </is>
      </c>
      <c r="O966" t="inlineStr">
        <is>
          <t>We copied where it comes from off the wiki page. See place from wiki page.</t>
        </is>
      </c>
    </row>
    <row r="967">
      <c r="A967" t="inlineStr">
        <is>
          <t>/Lotus/Types/Recipes/Weapons/WeaponParts/SiriusScytheBlade</t>
        </is>
      </c>
      <c r="B967" t="inlineStr">
        <is>
          <t>Pride Blade</t>
        </is>
      </c>
      <c r="C967" t="inlineStr">
        <is>
          <t>https://wiki.warframe.com/w/Emerald_Talent | https://wiki.warframe.com/w/Hunhow | https://wiki.warframe.com/w/Marquise_Thyst | https://wiki.warframe.com/w/Alloy_Plate | https://wiki.warframe.com/w/Ticor_Plate</t>
        </is>
      </c>
      <c r="D967" t="inlineStr">
        <is>
          <t>ExportResources</t>
        </is>
      </c>
      <c r="F967" t="inlineStr">
        <is>
          <t>Pride Blade</t>
        </is>
      </c>
      <c r="H967" t="inlineStr">
        <is>
          <t>Solved: current place verified and archived 2026-10-16.</t>
        </is>
      </c>
      <c r="I967" t="inlineStr">
        <is>
          <t>Resources</t>
        </is>
      </c>
      <c r="M967" t="inlineStr">
        <is>
          <t>Purchase Pride Blade Blueprint from Hunhow's Keepsakes in Pontis Tower for 45 Emerald Talents (unlocked after Jade Shadows: Constellations).</t>
        </is>
      </c>
      <c r="N967" t="inlineStr">
        <is>
          <t>Hunhow</t>
        </is>
      </c>
      <c r="O967" t="inlineStr">
        <is>
          <t>Saved a concrete acquisition place from the official Warframe Wiki. Hunhow page lists the blueprint under Keepsakes.</t>
        </is>
      </c>
    </row>
    <row r="968">
      <c r="A968" t="inlineStr">
        <is>
          <t>/Lotus/Types/Items/ShipDecos/Venus/PrideCommunityDisplay</t>
        </is>
      </c>
      <c r="B968" t="inlineStr">
        <is>
          <t>Pride Display I</t>
        </is>
      </c>
      <c r="C968" t="inlineStr">
        <is>
          <t>https://wiki.warframe.com/w/Pride_(Event)</t>
        </is>
      </c>
      <c r="D968" t="inlineStr">
        <is>
          <t>ExportResources</t>
        </is>
      </c>
      <c r="F968" t="inlineStr">
        <is>
          <t>Pride Display I</t>
        </is>
      </c>
      <c r="H968" t="inlineStr">
        <is>
          <t>Solved: current place verified and archived 2026-10-16.</t>
        </is>
      </c>
      <c r="I968" t="inlineStr">
        <is>
          <t>Resources</t>
        </is>
      </c>
      <c r="M968" t="inlineStr">
        <is>
          <t>Reward from the Pride event, held each June.</t>
        </is>
      </c>
      <c r="N968" t="inlineStr">
        <is>
          <t>Pride (Event)</t>
        </is>
      </c>
      <c r="O968" t="inlineStr">
        <is>
          <t>Saved a concrete acquisition place from the official Warframe Wiki. Pride event page lists it among that year's event items.</t>
        </is>
      </c>
    </row>
    <row r="969">
      <c r="A969" t="inlineStr">
        <is>
          <t>/Lotus/Types/Items/ShipDecos/Pride2023Display</t>
        </is>
      </c>
      <c r="B969" t="inlineStr">
        <is>
          <t>Pride Display II</t>
        </is>
      </c>
      <c r="C969" t="inlineStr">
        <is>
          <t>https://wiki.warframe.com/w/Pride_(Event) | https://wiki.warframe.com/w/Decorations/Orbiter_Decorations</t>
        </is>
      </c>
      <c r="D969" t="inlineStr">
        <is>
          <t>ExportResources</t>
        </is>
      </c>
      <c r="F969" t="inlineStr">
        <is>
          <t>Pride Display II</t>
        </is>
      </c>
      <c r="H969" t="inlineStr">
        <is>
          <t>Solved: current place verified and archived 2026-10-16.</t>
        </is>
      </c>
      <c r="I969" t="inlineStr">
        <is>
          <t>Resources</t>
        </is>
      </c>
      <c r="M969" t="inlineStr">
        <is>
          <t>Reward from the Pride event, held each June.</t>
        </is>
      </c>
      <c r="N969" t="inlineStr">
        <is>
          <t>Pride (Event)</t>
        </is>
      </c>
      <c r="O969" t="inlineStr">
        <is>
          <t>Saved a concrete acquisition place from the official Warframe Wiki. Pride event page lists it among that year's event items.</t>
        </is>
      </c>
    </row>
    <row r="970">
      <c r="A970" t="inlineStr">
        <is>
          <t>/Lotus/Types/Items/ShipDecos/Venus/Pride2024Display</t>
        </is>
      </c>
      <c r="B970" t="inlineStr">
        <is>
          <t>Pride Display III</t>
        </is>
      </c>
      <c r="C970" t="inlineStr">
        <is>
          <t>https://wiki.warframe.com/w/Pride_(Event) | https://wiki.warframe.com/w/Decorations/Orbiter_Decorations</t>
        </is>
      </c>
      <c r="D970" t="inlineStr">
        <is>
          <t>ExportResources</t>
        </is>
      </c>
      <c r="F970" t="inlineStr">
        <is>
          <t>Pride Display III</t>
        </is>
      </c>
      <c r="H970" t="inlineStr">
        <is>
          <t>Solved: current place verified and archived 2026-10-16.</t>
        </is>
      </c>
      <c r="I970" t="inlineStr">
        <is>
          <t>Resources</t>
        </is>
      </c>
      <c r="M970" t="inlineStr">
        <is>
          <t>Reward from the Pride event, held each June.</t>
        </is>
      </c>
      <c r="N970" t="inlineStr">
        <is>
          <t>Pride (Event)</t>
        </is>
      </c>
      <c r="O970" t="inlineStr">
        <is>
          <t>Saved a concrete acquisition place from the official Warframe Wiki. Pride event page lists it among that year's event items.</t>
        </is>
      </c>
    </row>
    <row r="971">
      <c r="A971" t="inlineStr">
        <is>
          <t>/Lotus/Types/Items/ShipDecos/Props/Seasonal/Pride2026SquarePictureFrame</t>
        </is>
      </c>
      <c r="B971" t="inlineStr">
        <is>
          <t>Pride Frame Display</t>
        </is>
      </c>
      <c r="C971" t="inlineStr">
        <is>
          <t>https://wiki.warframe.com/w/Pride_(Event) | https://wiki.warframe.com/w/Promo_Codes | https://wiki.warframe.com/w/Decorations/Orbiter_Decorations</t>
        </is>
      </c>
      <c r="D971" t="inlineStr">
        <is>
          <t>ExportResources</t>
        </is>
      </c>
      <c r="F971" t="inlineStr">
        <is>
          <t>Pride Frame Display</t>
        </is>
      </c>
      <c r="H971" t="inlineStr">
        <is>
          <t>Solved: current place verified and archived 2026-10-16.</t>
        </is>
      </c>
      <c r="I971" t="inlineStr">
        <is>
          <t>Resources</t>
        </is>
      </c>
      <c r="M971" t="inlineStr">
        <is>
          <t>Reward from the Pride event, held each June; promo code Pride2026 also gives the Pride Frame Display.</t>
        </is>
      </c>
      <c r="N971" t="inlineStr">
        <is>
          <t>Pride (Event)</t>
        </is>
      </c>
      <c r="O971" t="inlineStr">
        <is>
          <t>Saved a concrete acquisition place from the official Warframe Wiki. Pride event page lists it among that year's event items.</t>
        </is>
      </c>
    </row>
    <row r="972">
      <c r="A972" t="inlineStr">
        <is>
          <t>/Lotus/Types/Recipes/Weapons/WeaponParts/SiriusScytheHandle</t>
        </is>
      </c>
      <c r="B972" t="inlineStr">
        <is>
          <t>Pride Handle</t>
        </is>
      </c>
      <c r="C972" t="inlineStr">
        <is>
          <t>https://wiki.warframe.com/w/Emerald_Talent | https://wiki.warframe.com/w/Hunhow | https://wiki.warframe.com/w/Salvage</t>
        </is>
      </c>
      <c r="D972" t="inlineStr">
        <is>
          <t>ExportResources</t>
        </is>
      </c>
      <c r="F972" t="inlineStr">
        <is>
          <t>Pride Handle</t>
        </is>
      </c>
      <c r="H972" t="inlineStr">
        <is>
          <t>Solved: current place verified and archived 2026-10-16.</t>
        </is>
      </c>
      <c r="I972" t="inlineStr">
        <is>
          <t>Resources</t>
        </is>
      </c>
      <c r="L972" t="inlineStr">
        <is>
          <t>DropTables_data, drop_reverse_index_v2</t>
        </is>
      </c>
      <c r="M972" t="inlineStr">
        <is>
          <t>Purchase Pride Handle Blueprint from Hunhow's Keepsakes in Pontis Tower for 45 Emerald Talents (unlocked after Jade Shadows: Constellations).</t>
        </is>
      </c>
      <c r="N972" t="inlineStr">
        <is>
          <t>Hunhow</t>
        </is>
      </c>
      <c r="O972" t="inlineStr">
        <is>
          <t>Saved a concrete acquisition place from the official Warframe Wiki. Hunhow page lists the blueprint under Keepsakes.</t>
        </is>
      </c>
    </row>
    <row r="973">
      <c r="A973" t="inlineStr">
        <is>
          <t>/Lotus/Types/Items/ShipDecos/Pride2026Poster</t>
        </is>
      </c>
      <c r="B973" t="inlineStr">
        <is>
          <t>Pride Mesa Prime and Kaithe Display</t>
        </is>
      </c>
      <c r="C973" t="inlineStr">
        <is>
          <t>https://wiki.warframe.com/w/Pride_(Event) | https://wiki.warframe.com/w/Decorations/Orbiter_Decorations</t>
        </is>
      </c>
      <c r="D973" t="inlineStr">
        <is>
          <t>ExportResources</t>
        </is>
      </c>
      <c r="F973" t="inlineStr">
        <is>
          <t>Pride Mesa Prime and Kaithe Display</t>
        </is>
      </c>
      <c r="H973" t="inlineStr">
        <is>
          <t>Solved: current place verified and archived 2026-10-16.</t>
        </is>
      </c>
      <c r="I973" t="inlineStr">
        <is>
          <t>Resources</t>
        </is>
      </c>
      <c r="M973" t="inlineStr">
        <is>
          <t>Reward from the Pride event, held each June.</t>
        </is>
      </c>
      <c r="N973" t="inlineStr">
        <is>
          <t>Pride (Event)</t>
        </is>
      </c>
      <c r="O973" t="inlineStr">
        <is>
          <t>Saved a concrete acquisition place from the official Warframe Wiki. Pride event page lists it among that year's event items.</t>
        </is>
      </c>
    </row>
    <row r="974">
      <c r="A974" t="inlineStr">
        <is>
          <t>/Lotus/Types/Items/ShipDecos/HeartOroRainbowDeco</t>
        </is>
      </c>
      <c r="B974" t="inlineStr">
        <is>
          <t>Pride Oro Decoration</t>
        </is>
      </c>
      <c r="C974" t="inlineStr">
        <is>
          <t>https://wiki.warframe.com/w/Pride_(Event) | https://wiki.warframe.com/w/Promo_Codes | https://wiki.warframe.com/w/Decorations/Orbiter_Decorations</t>
        </is>
      </c>
      <c r="D974" t="inlineStr">
        <is>
          <t>ExportResources</t>
        </is>
      </c>
      <c r="F974" t="inlineStr">
        <is>
          <t>Pride Oro Decoration</t>
        </is>
      </c>
      <c r="H974" t="inlineStr">
        <is>
          <t>Solved: current place verified and archived 2026-10-16.</t>
        </is>
      </c>
      <c r="I974" t="inlineStr">
        <is>
          <t>Resources</t>
        </is>
      </c>
      <c r="M974" t="inlineStr">
        <is>
          <t>Reward from the Pride event, held each June.</t>
        </is>
      </c>
      <c r="N974" t="inlineStr">
        <is>
          <t>Pride (Event)</t>
        </is>
      </c>
      <c r="O974" t="inlineStr">
        <is>
          <t>Saved a concrete acquisition place from the official Warframe Wiki. Pride event page lists it among that year's event items.</t>
        </is>
      </c>
    </row>
    <row r="975">
      <c r="A975" t="inlineStr">
        <is>
          <t>/Lotus/Types/Items/ShipDecos/Pride2in1Display</t>
        </is>
      </c>
      <c r="B975" t="inlineStr">
        <is>
          <t>Pride Qorvex Fusion Display</t>
        </is>
      </c>
      <c r="C975" t="inlineStr">
        <is>
          <t>https://wiki.warframe.com/w/Pride_(Event) | https://wiki.warframe.com/w/Promo_Codes | https://wiki.warframe.com/w/Decorations/Orbiter_Decorations</t>
        </is>
      </c>
      <c r="D975" t="inlineStr">
        <is>
          <t>ExportResources</t>
        </is>
      </c>
      <c r="F975" t="inlineStr">
        <is>
          <t>Pride Qorvex Fusion Display</t>
        </is>
      </c>
      <c r="H975" t="inlineStr">
        <is>
          <t>Solved: current place verified and archived 2026-10-16.</t>
        </is>
      </c>
      <c r="I975" t="inlineStr">
        <is>
          <t>Resources</t>
        </is>
      </c>
      <c r="M975" t="inlineStr">
        <is>
          <t>Reward from the Pride event, held each June; promo code Pride2026 also gives the Pride Qorvex Fusion Display.</t>
        </is>
      </c>
      <c r="N975" t="inlineStr">
        <is>
          <t>Pride (Event)</t>
        </is>
      </c>
      <c r="O975" t="inlineStr">
        <is>
          <t>Saved a concrete acquisition place from the official Warframe Wiki. Pride event page lists it among that year's event items.</t>
        </is>
      </c>
    </row>
    <row r="976">
      <c r="A976" t="inlineStr">
        <is>
          <t>/Lotus/Types/Items/ShipDecos/VanguardCommunityPortrait</t>
        </is>
      </c>
      <c r="B976" t="inlineStr">
        <is>
          <t>Prime Vanguard Display</t>
        </is>
      </c>
      <c r="C976" t="inlineStr">
        <is>
          <t>https://wiki.warframe.com/w/Decorations/Orbiter_Decorations</t>
        </is>
      </c>
      <c r="D976" t="inlineStr">
        <is>
          <t>ExportResources</t>
        </is>
      </c>
      <c r="F976" t="inlineStr">
        <is>
          <t>Prime Vanguard Display</t>
        </is>
      </c>
      <c r="H976" t="inlineStr">
        <is>
          <t>Solved: current place verified and archived 2026-10-16.</t>
        </is>
      </c>
      <c r="I976" t="inlineStr">
        <is>
          <t>Resources</t>
        </is>
      </c>
      <c r="M976" t="inlineStr">
        <is>
          <t>In-game Market for 30 Platinum.</t>
        </is>
      </c>
      <c r="N976" t="inlineStr">
        <is>
          <t>Update 41: The Old Peace | Decorations/Orbiter Decorations</t>
        </is>
      </c>
      <c r="O976" t="inlineStr">
        <is>
          <t>We copied where it comes from off the wiki page. See place from wiki page.</t>
        </is>
      </c>
    </row>
    <row r="977">
      <c r="A977" t="inlineStr">
        <is>
          <t>/Lotus/Types/Items/ShipDecos/Props/LisetPropCitrinePrimeCrystal</t>
        </is>
      </c>
      <c r="B977" t="inlineStr">
        <is>
          <t>Prismatic Gem Prime Decoration</t>
        </is>
      </c>
      <c r="C977" t="inlineStr">
        <is>
          <t>https://wiki.warframe.com/w/Prime_Access</t>
        </is>
      </c>
      <c r="D977" t="inlineStr">
        <is>
          <t>ExportResources</t>
        </is>
      </c>
      <c r="F977" t="inlineStr">
        <is>
          <t>Prismatic Gem Prime Decoration</t>
        </is>
      </c>
      <c r="H977" t="inlineStr">
        <is>
          <t>Solved: current place verified and archived 2026-10-16.</t>
        </is>
      </c>
      <c r="I977" t="inlineStr">
        <is>
          <t>Resources</t>
        </is>
      </c>
      <c r="M977" t="inlineStr">
        <is>
          <t>Included in Citrine Prime Accessories (Prime Access).</t>
        </is>
      </c>
      <c r="N977" t="inlineStr">
        <is>
          <t>Decorations/Orbiter Decorations | Prime Access</t>
        </is>
      </c>
      <c r="O977" t="inlineStr">
        <is>
          <t>Saved a concrete acquisition place from the official Warframe Wiki. Orbiter Decorations Miscellaneous section.</t>
        </is>
      </c>
    </row>
    <row r="978">
      <c r="A978" t="inlineStr">
        <is>
          <t>/Lotus/Types/Items/ShipDecos/IndexAutograph</t>
        </is>
      </c>
      <c r="B978" t="inlineStr">
        <is>
          <t>Prodman Autograph</t>
        </is>
      </c>
      <c r="C978" t="inlineStr">
        <is>
          <t>https://wiki.warframe.com/w/Decorations/Orbiter_Decorations</t>
        </is>
      </c>
      <c r="D978" t="inlineStr">
        <is>
          <t>ExportResources</t>
        </is>
      </c>
      <c r="F978" t="inlineStr">
        <is>
          <t>Prodman Autograph</t>
        </is>
      </c>
      <c r="H978" t="inlineStr">
        <is>
          <t>Solved: current place verified and archived 2026-10-16.</t>
        </is>
      </c>
      <c r="I978" t="inlineStr">
        <is>
          <t>Resources</t>
        </is>
      </c>
      <c r="M978" t="inlineStr">
        <is>
          <t>Awarded for defeating John Prodman in The Index.</t>
        </is>
      </c>
      <c r="N978" t="inlineStr">
        <is>
          <t>Decorations/Orbiter Decorations</t>
        </is>
      </c>
      <c r="O978" t="inlineStr">
        <is>
          <t>Saved a concrete acquisition place from the official Warframe Wiki. Posters section.</t>
        </is>
      </c>
    </row>
    <row r="979">
      <c r="A979" t="inlineStr">
        <is>
          <t>/Lotus/Types/Items/ShipDecos/TarotCardProtea</t>
        </is>
      </c>
      <c r="B979" t="inlineStr">
        <is>
          <t>Protea Prex</t>
        </is>
      </c>
      <c r="C979" t="inlineStr">
        <is>
          <t>https://wiki.warframe.com/w/Home_Devstream_4 | https://wiki.warframe.com/w/Decorations | https://wiki.warframe.com/w/Relay</t>
        </is>
      </c>
      <c r="D979" t="inlineStr">
        <is>
          <t>ExportResources</t>
        </is>
      </c>
      <c r="F979" t="inlineStr">
        <is>
          <t>Protea Prex</t>
        </is>
      </c>
      <c r="H979" t="inlineStr">
        <is>
          <t>Solved: current place verified and archived 2026-10-16.</t>
        </is>
      </c>
      <c r="I979" t="inlineStr">
        <is>
          <t>Resources</t>
        </is>
      </c>
      <c r="M979" t="inlineStr">
        <is>
          <t>Hidden pickup in Kronia Relay, Saturn: to the right of the rightmost Ducat station in the Saturn Relay, hidden behind the pillar.</t>
        </is>
      </c>
      <c r="N979" t="inlineStr">
        <is>
          <t>Decorations/Orbiter Decorations</t>
        </is>
      </c>
      <c r="O979" t="inlineStr">
        <is>
          <t>Saved a concrete acquisition place from the official Warframe Wiki. Orbiter Decorations Prex table and Prex Locations list.</t>
        </is>
      </c>
    </row>
    <row r="980">
      <c r="A980" t="inlineStr">
        <is>
          <t>/Lotus/Types/PickUps/LoreCards/LoreCardItem/LoreCardProteaItem</t>
        </is>
      </c>
      <c r="B980" t="inlineStr">
        <is>
          <t>Protea Prex</t>
        </is>
      </c>
      <c r="C980" t="inlineStr">
        <is>
          <t>https://wiki.warframe.com/w/Home_Devstream_4 | https://wiki.warframe.com/w/Decorations | https://wiki.warframe.com/w/Relay</t>
        </is>
      </c>
      <c r="D980" t="inlineStr">
        <is>
          <t>ExportResources</t>
        </is>
      </c>
      <c r="F980" t="inlineStr">
        <is>
          <t>Protea Prex</t>
        </is>
      </c>
      <c r="H980" t="inlineStr">
        <is>
          <t>Solved: current place verified and archived 2026-10-16.</t>
        </is>
      </c>
      <c r="I980" t="inlineStr">
        <is>
          <t>Resources</t>
        </is>
      </c>
      <c r="M980" t="inlineStr">
        <is>
          <t>Hidden pickup in Kronia Relay, Saturn: to the right of the rightmost Ducat station in the Saturn Relay, hidden behind the pillar.</t>
        </is>
      </c>
      <c r="N980" t="inlineStr">
        <is>
          <t>Decorations/Orbiter Decorations</t>
        </is>
      </c>
      <c r="O980" t="inlineStr">
        <is>
          <t>Saved a concrete acquisition place from the official Warframe Wiki. Orbiter Decorations Prex table and Prex Locations list.</t>
        </is>
      </c>
    </row>
    <row r="981">
      <c r="A981" t="inlineStr">
        <is>
          <t>/Lotus/Types/Items/SongItems/ProteaPrimeSongItem</t>
        </is>
      </c>
      <c r="B981" t="inlineStr">
        <is>
          <t>Protea Prime Theme</t>
        </is>
      </c>
      <c r="C981" t="inlineStr">
        <is>
          <t>https://wiki.warframe.com/w/Protea_Prime_Theme_%22Double_Time%22 | https://wiki.warframe.com/w/Somachord | https://wiki.warframe.com/w/Somachord/Tones</t>
        </is>
      </c>
      <c r="D981" t="inlineStr">
        <is>
          <t>ExportResources</t>
        </is>
      </c>
      <c r="F981" t="inlineStr">
        <is>
          <t>Protea Prime Theme</t>
        </is>
      </c>
      <c r="H981" t="inlineStr">
        <is>
          <t>Solved: current place verified and archived 2026-10-16.</t>
        </is>
      </c>
      <c r="I981" t="inlineStr">
        <is>
          <t>Resources</t>
        </is>
      </c>
      <c r="M981" t="inlineStr">
        <is>
          <t>Somachord Tone from Varzia's Prime Resurgence offerings for 5 Aya.</t>
        </is>
      </c>
      <c r="N981" t="inlineStr">
        <is>
          <t>Protea Prime Theme "Double Time" | Somachord | Somachord/Tones</t>
        </is>
      </c>
      <c r="O981" t="inlineStr">
        <is>
          <t>We copied where it comes from off the wiki page. See place from wiki page.</t>
        </is>
      </c>
    </row>
    <row r="982">
      <c r="A982" t="inlineStr">
        <is>
          <t>/Lotus/Types/Items/ShipDecos/Plushies/PlushyProtectorStalker</t>
        </is>
      </c>
      <c r="B982" t="inlineStr">
        <is>
          <t>Protector Stalker Floof</t>
        </is>
      </c>
      <c r="C982" t="inlineStr">
        <is>
          <t>https://wiki.warframe.com/w/Conquera</t>
        </is>
      </c>
      <c r="D982" t="inlineStr">
        <is>
          <t>ExportResources</t>
        </is>
      </c>
      <c r="F982" t="inlineStr">
        <is>
          <t>Protector Stalker Floof</t>
        </is>
      </c>
      <c r="H982" t="inlineStr">
        <is>
          <t>Solved: current place verified and archived 2026-10-16.</t>
        </is>
      </c>
      <c r="I982" t="inlineStr">
        <is>
          <t>Resources</t>
        </is>
      </c>
      <c r="M982" t="inlineStr">
        <is>
          <t>Sold in-game for Platinum during Conquera 2025 (Quest to Conquer Cancer).</t>
        </is>
      </c>
      <c r="N982" t="inlineStr">
        <is>
          <t>Conquera</t>
        </is>
      </c>
      <c r="O982" t="inlineStr">
        <is>
          <t>Saved a concrete acquisition place from the official Warframe Wiki. Conquera page, 2025 section.</t>
        </is>
      </c>
    </row>
    <row r="983">
      <c r="A983" t="inlineStr">
        <is>
          <t>/Lotus/Types/Items/ShipDecos/Props/LisetPropLASxProtoInfestedChitin</t>
        </is>
      </c>
      <c r="B983" t="inlineStr">
        <is>
          <t>Proto-Infested Clump Decoration</t>
        </is>
      </c>
      <c r="C983" t="inlineStr">
        <is>
          <t>https://wiki.warframe.com/w/Velimir</t>
        </is>
      </c>
      <c r="D983" t="inlineStr">
        <is>
          <t>ExportResources</t>
        </is>
      </c>
      <c r="F983" t="inlineStr">
        <is>
          <t>Proto-Infested Clump Decoration</t>
        </is>
      </c>
      <c r="H983" t="inlineStr">
        <is>
          <t>Solved: current place verified and archived 2026-10-16.</t>
        </is>
      </c>
      <c r="I983" t="inlineStr">
        <is>
          <t>Resources</t>
        </is>
      </c>
      <c r="M983" t="inlineStr">
        <is>
          <t>Purchase from Velimir (The Hex) for 5,000 Standing at Rank 5 (Pizza Party).</t>
        </is>
      </c>
      <c r="N983" t="inlineStr">
        <is>
          <t>Velimir</t>
        </is>
      </c>
      <c r="O983" t="inlineStr">
        <is>
          <t>Saved a concrete acquisition place from the official Warframe Wiki. Velimir page lists it in Offerings.</t>
        </is>
      </c>
    </row>
    <row r="984">
      <c r="A984" t="inlineStr">
        <is>
          <t>/Lotus/Types/Recipes/Weapons/WeaponParts/QuassusPrimeBlade</t>
        </is>
      </c>
      <c r="B984" t="inlineStr">
        <is>
          <t>Quassus Prime Blade</t>
        </is>
      </c>
      <c r="C984" t="inlineStr">
        <is>
          <t>https://wiki.warframe.com/w/Quassus_Prime | https://wiki.warframe.com/w/Lith_Q3 | https://wiki.warframe.com/w/Neo_Q1 | https://wiki.warframe.com/w/Lith_Q1 | https://wiki.warframe.com/w/Lith_Q2</t>
        </is>
      </c>
      <c r="D984" t="inlineStr">
        <is>
          <t>ExportResources</t>
        </is>
      </c>
      <c r="F984" t="inlineStr">
        <is>
          <t>Quassus Prime Blade</t>
        </is>
      </c>
      <c r="H984" t="inlineStr">
        <is>
          <t>Solved: current place verified and archived 2026-10-16.</t>
        </is>
      </c>
      <c r="I984" t="inlineStr">
        <is>
          <t>Resources</t>
        </is>
      </c>
      <c r="J984" t="inlineStr">
        <is>
          <t>Lith Q1 Relic (Rare) | Lith Q2 Relic (Rare) | Lith Q3 Relic (Rare) | Neo Q1 Relic (Rare)</t>
        </is>
      </c>
      <c r="K984" t="inlineStr">
        <is>
          <t>Void/data</t>
        </is>
      </c>
      <c r="L984" t="inlineStr">
        <is>
          <t>name</t>
        </is>
      </c>
      <c r="M984" t="inlineStr">
        <is>
          <t>Lith Q3, Neo Q1, Lith Q1 and Lith Q2 relic drops (vaulted; trade only).</t>
        </is>
      </c>
      <c r="N984" t="inlineStr">
        <is>
          <t>Lith Q3 | Neo Q1 | Lith Q1 | Lith Q2</t>
        </is>
      </c>
      <c r="O984" t="inlineStr">
        <is>
          <t>Saved a concrete acquisition place from the official Warframe Wiki. Relic pages list this part in their reward table.</t>
        </is>
      </c>
    </row>
    <row r="985">
      <c r="A985" t="inlineStr">
        <is>
          <t>/Lotus/Types/Recipes/Weapons/WeaponParts/QuassusPrimeHandle</t>
        </is>
      </c>
      <c r="B985" t="inlineStr">
        <is>
          <t>Quassus Prime Handle</t>
        </is>
      </c>
      <c r="C985" t="inlineStr">
        <is>
          <t>https://wiki.warframe.com/w/Neo_C8 | https://wiki.warframe.com/w/Axi_T13 | https://wiki.warframe.com/w/Axi_N13 | https://wiki.warframe.com/w/Meso_A8 | https://wiki.warframe.com/w/Meso_V12</t>
        </is>
      </c>
      <c r="D985" t="inlineStr">
        <is>
          <t>ExportResources</t>
        </is>
      </c>
      <c r="F985" t="inlineStr">
        <is>
          <t>Quassus Prime Handle</t>
        </is>
      </c>
      <c r="H985" t="inlineStr">
        <is>
          <t>Solved: current place verified and archived 2026-10-16.</t>
        </is>
      </c>
      <c r="I985" t="inlineStr">
        <is>
          <t>Resources</t>
        </is>
      </c>
      <c r="J985" t="inlineStr">
        <is>
          <t>Axi T13 Relic (Common) | Meso A8 Relic (Common) | Axi G14 Relic (Common) | Meso V12 Relic (Common) | Neo C8 Relic (Common) | Axi N13 Relic (Common) | Axi Y3 Relic (Common)</t>
        </is>
      </c>
      <c r="K985" t="inlineStr">
        <is>
          <t>Void/data</t>
        </is>
      </c>
      <c r="L985" t="inlineStr">
        <is>
          <t>name</t>
        </is>
      </c>
      <c r="M985" t="inlineStr">
        <is>
          <t>Neo C8, Axi T13, Axi N13, Meso A8 and Meso V12 relic drops (vaulted; trade only).</t>
        </is>
      </c>
      <c r="N985" t="inlineStr">
        <is>
          <t>Neo C8 | Axi T13 | Axi N13 | Meso A8 | Meso V12</t>
        </is>
      </c>
      <c r="O985" t="inlineStr">
        <is>
          <t>Saved a concrete acquisition place from the official Warframe Wiki. Relic pages list this part in their reward table.</t>
        </is>
      </c>
    </row>
    <row r="986">
      <c r="A986" t="inlineStr">
        <is>
          <t>/Lotus/Types/Items/ShipDecos/Plushies/PlushyQuincy</t>
        </is>
      </c>
      <c r="B986" t="inlineStr">
        <is>
          <t>Quincy Floof</t>
        </is>
      </c>
      <c r="C986" t="inlineStr">
        <is>
          <t>https://wiki.warframe.com/w/Update_38</t>
        </is>
      </c>
      <c r="D986" t="inlineStr">
        <is>
          <t>ExportResources</t>
        </is>
      </c>
      <c r="F986" t="inlineStr">
        <is>
          <t>Quincy Floof</t>
        </is>
      </c>
      <c r="H986" t="inlineStr">
        <is>
          <t>Solved: current place verified and archived 2026-10-16.</t>
        </is>
      </c>
      <c r="I986" t="inlineStr">
        <is>
          <t>Resources</t>
        </is>
      </c>
      <c r="M986" t="inlineStr">
        <is>
          <t>In-game Market (Hex Floof collection).</t>
        </is>
      </c>
      <c r="N986" t="inlineStr">
        <is>
          <t>Update 38</t>
        </is>
      </c>
      <c r="O986" t="inlineStr">
        <is>
          <t>Saved a concrete acquisition place from the official Warframe Wiki. Update 38 patch notes: the collection and all individual Floofs are available in the in-game Market.</t>
        </is>
      </c>
    </row>
    <row r="987">
      <c r="A987" t="inlineStr">
        <is>
          <t>/Lotus/Types/Items/ShipFeatureItems/RailjackKeyShipFeatureItem</t>
        </is>
      </c>
      <c r="B987" t="inlineStr">
        <is>
          <t>RELIQUARY KEY</t>
        </is>
      </c>
      <c r="C987" t="inlineStr">
        <is>
          <t>https://wiki.warframe.com/w/Call_of_the_Tempestarii | https://wiki.warframe.com/w/Rising_Tide/Transcript | https://wiki.warframe.com/w/The_Man_in_the_Wall | https://wiki.warframe.com/w/The_New_War</t>
        </is>
      </c>
      <c r="D987" t="inlineStr">
        <is>
          <t>ExportResources</t>
        </is>
      </c>
      <c r="F987" t="inlineStr">
        <is>
          <t>RELIQUARY KEY</t>
        </is>
      </c>
      <c r="H987" t="inlineStr">
        <is>
          <t>Solved: current place verified and archived 2026-10-16.</t>
        </is>
      </c>
      <c r="I987" t="inlineStr">
        <is>
          <t>Resources</t>
        </is>
      </c>
      <c r="M987" t="inlineStr">
        <is>
          <t>Found on Lua after building your Railjack during the Rising Tide quest.</t>
        </is>
      </c>
      <c r="N987" t="inlineStr">
        <is>
          <t>The Man in the Wall</t>
        </is>
      </c>
      <c r="O987" t="inlineStr">
        <is>
          <t>Saved a concrete acquisition place from the official Warframe Wiki. The Man in the Wall page, Rising Tide section.</t>
        </is>
      </c>
    </row>
    <row r="988">
      <c r="A988" t="inlineStr">
        <is>
          <t>/Lotus/Types/Items/ShipDecos/Venus/SUBookAOpen</t>
        </is>
      </c>
      <c r="B988" t="inlineStr">
        <is>
          <t>Rail Agent Manifest Decoration</t>
        </is>
      </c>
      <c r="C988" t="inlineStr">
        <is>
          <t>https://wiki.warframe.com/w/Ticker | https://wiki.warframe.com/w/Decorations/Orbiter_Decorations</t>
        </is>
      </c>
      <c r="D988" t="inlineStr">
        <is>
          <t>ExportResources</t>
        </is>
      </c>
      <c r="F988" t="inlineStr">
        <is>
          <t>Rail Agent Manifest Decoration</t>
        </is>
      </c>
      <c r="H988" t="inlineStr">
        <is>
          <t>Solved: current place verified and archived 2026-10-16.</t>
        </is>
      </c>
      <c r="I988" t="inlineStr">
        <is>
          <t>Resources</t>
        </is>
      </c>
      <c r="M988" t="inlineStr">
        <is>
          <t>Purchase from Ticker's Secondhand in Fortuna with Debt-Bonds; stock and price rotate daily (Cheap tier).</t>
        </is>
      </c>
      <c r="N988" t="inlineStr">
        <is>
          <t>Ticker</t>
        </is>
      </c>
      <c r="O988" t="inlineStr">
        <is>
          <t>Saved a concrete acquisition place from the official Warframe Wiki. Ticker page Secondhand section.</t>
        </is>
      </c>
    </row>
    <row r="989">
      <c r="A989" t="inlineStr">
        <is>
          <t>/Lotus/Types/Items/ShipFeatureItems/RailjackCephalonShipFeatureItem</t>
        </is>
      </c>
      <c r="B989" t="inlineStr">
        <is>
          <t>Railjack Cephalon</t>
        </is>
      </c>
      <c r="C989" t="inlineStr">
        <is>
          <t>https://wiki.warframe.com/w/Cephalon_Cy | https://wiki.warframe.com/w/Rising_Tide | https://wiki.warframe.com/w/Rising_Tide/Transcript</t>
        </is>
      </c>
      <c r="D989" t="inlineStr">
        <is>
          <t>ExportResources</t>
        </is>
      </c>
      <c r="F989" t="inlineStr">
        <is>
          <t>Railjack Cephalon</t>
        </is>
      </c>
      <c r="H989" t="inlineStr">
        <is>
          <t>Solved: current place verified and archived 2026-10-16.</t>
        </is>
      </c>
      <c r="I989" t="inlineStr">
        <is>
          <t>Resources</t>
        </is>
      </c>
      <c r="M989" t="inlineStr">
        <is>
          <t>Blueprint from the opening inbox message of the Rising Tide quest; build it in the Foundry.</t>
        </is>
      </c>
      <c r="N989" t="inlineStr">
        <is>
          <t>Rising Tide</t>
        </is>
      </c>
      <c r="O989" t="inlineStr">
        <is>
          <t>Saved a concrete acquisition place from the official Warframe Wiki. Rising Tide page.</t>
        </is>
      </c>
    </row>
    <row r="990">
      <c r="A990" t="inlineStr">
        <is>
          <t>/Lotus/Types/Recipes/Weapons/WeaponParts/ArchHammerHandle</t>
        </is>
      </c>
      <c r="B990" t="inlineStr">
        <is>
          <t>Rathbone Handle</t>
        </is>
      </c>
      <c r="C990" t="inlineStr">
        <is>
          <t>https://wiki.warframe.com/w/Red_Veil | https://wiki.warframe.com/w/Blueprints/Archwing_Melee</t>
        </is>
      </c>
      <c r="D990" t="inlineStr">
        <is>
          <t>ExportResources</t>
        </is>
      </c>
      <c r="F990" t="inlineStr">
        <is>
          <t>Rathbone Handle</t>
        </is>
      </c>
      <c r="H990" t="inlineStr">
        <is>
          <t>Solved: current place verified and archived 2026-10-16.</t>
        </is>
      </c>
      <c r="I990" t="inlineStr">
        <is>
          <t>Resources</t>
        </is>
      </c>
      <c r="M990" t="inlineStr">
        <is>
          <t>Purchase from Red Veil for 20,000 Standing at Rank 2 (Honored).</t>
        </is>
      </c>
      <c r="N990" t="inlineStr">
        <is>
          <t>Red Veil</t>
        </is>
      </c>
      <c r="O990" t="inlineStr">
        <is>
          <t>Saved a concrete acquisition place from the official Warframe Wiki. Red Veil page lists it in Offerings.</t>
        </is>
      </c>
    </row>
    <row r="991">
      <c r="A991" t="inlineStr">
        <is>
          <t>/Lotus/Types/Items/ShipDecos/LisetPropOstHaulingBalloonD</t>
        </is>
      </c>
      <c r="B991" t="inlineStr">
        <is>
          <t>Reclamator Balloon</t>
        </is>
      </c>
      <c r="C991" t="inlineStr">
        <is>
          <t>https://wiki.warframe.com/w/Decorations/Orbiter_Decorations</t>
        </is>
      </c>
      <c r="D991" t="inlineStr">
        <is>
          <t>ExportResources</t>
        </is>
      </c>
      <c r="F991" t="inlineStr">
        <is>
          <t>Reclamator Balloon</t>
        </is>
      </c>
      <c r="H991" t="inlineStr">
        <is>
          <t>Solved: current place verified and archived 2026-10-16.</t>
        </is>
      </c>
      <c r="I991" t="inlineStr">
        <is>
          <t>Resources</t>
        </is>
      </c>
      <c r="M991" t="inlineStr">
        <is>
          <t>In-game Market as part of the Reclamator Pack for 55 Platinum.</t>
        </is>
      </c>
      <c r="N991" t="inlineStr">
        <is>
          <t>Decorations/Orbiter Decorations</t>
        </is>
      </c>
      <c r="O991" t="inlineStr">
        <is>
          <t>We copied where it comes from off the wiki page. See place from wiki page.</t>
        </is>
      </c>
    </row>
    <row r="992">
      <c r="A992" t="inlineStr">
        <is>
          <t>/Lotus/Types/Items/ShipDecos/JS2MGarudaPoster</t>
        </is>
      </c>
      <c r="B992" t="inlineStr">
        <is>
          <t>Relationship Goals Poster</t>
        </is>
      </c>
      <c r="C992" t="inlineStr">
        <is>
          <t>https://wiki.warframe.com/w/Pontis_Tower | https://wiki.warframe.com/w/Crimson_Talent | https://wiki.warframe.com/w/Hunhow | https://wiki.warframe.com/w/Major_Neci_Rusalka | https://wiki.warframe.com/w/Vena</t>
        </is>
      </c>
      <c r="D992" t="inlineStr">
        <is>
          <t>ExportResources</t>
        </is>
      </c>
      <c r="F992" t="inlineStr">
        <is>
          <t>Relationship Goals Poster</t>
        </is>
      </c>
      <c r="H992" t="inlineStr">
        <is>
          <t>Solved: current place verified and archived 2026-10-16.</t>
        </is>
      </c>
      <c r="I992" t="inlineStr">
        <is>
          <t>Resources</t>
        </is>
      </c>
      <c r="M992" t="inlineStr">
        <is>
          <t>Purchase from Hunhow's Keepsakes in Pontis Tower for 20 Crimson Talents.</t>
        </is>
      </c>
      <c r="N992" t="inlineStr">
        <is>
          <t>Pontis Tower | Crimson Talent | Hunhow | Major Neci Rusalka | Vena</t>
        </is>
      </c>
      <c r="O992" t="inlineStr">
        <is>
          <t>We copied where it comes from off the wiki page. See place from wiki page.</t>
        </is>
      </c>
    </row>
    <row r="993">
      <c r="A993" t="inlineStr">
        <is>
          <t>/Lotus/Types/Items/ShipDecos/TarotCard/Emotions/TarotCardAngry</t>
        </is>
      </c>
      <c r="B993" t="inlineStr">
        <is>
          <t>Rell's Anger Emotile</t>
        </is>
      </c>
      <c r="C993" t="inlineStr">
        <is>
          <t>https://wiki.warframe.com/w/Riven_Sliver</t>
        </is>
      </c>
      <c r="D993" t="inlineStr">
        <is>
          <t>ExportResources</t>
        </is>
      </c>
      <c r="F993" t="inlineStr">
        <is>
          <t>Rell's Anger Emotile</t>
        </is>
      </c>
      <c r="H993" t="inlineStr">
        <is>
          <t>Solved: current place verified and archived 2026-10-16.</t>
        </is>
      </c>
      <c r="I993" t="inlineStr">
        <is>
          <t>Resources</t>
        </is>
      </c>
      <c r="M993" t="inlineStr">
        <is>
          <t>Purchase from Palladino in Iron Wake (Earth) for 5 Riven Slivers, after completing Chains of Harrow.</t>
        </is>
      </c>
      <c r="N993" t="inlineStr">
        <is>
          <t>Riven Sliver</t>
        </is>
      </c>
      <c r="O993" t="inlineStr">
        <is>
          <t>Saved a concrete acquisition place from the official Warframe Wiki. Riven Sliver page lists the Emotile for 5 Riven Sliver; Palladino page confirms seller.</t>
        </is>
      </c>
    </row>
    <row r="994">
      <c r="A994" t="inlineStr">
        <is>
          <t>/Lotus/Types/Items/ShipDecos/TarotCard/Emotions/TarotCardNervous</t>
        </is>
      </c>
      <c r="B994" t="inlineStr">
        <is>
          <t>Rell's Anxiety Emotile</t>
        </is>
      </c>
      <c r="C994" t="inlineStr">
        <is>
          <t>https://wiki.warframe.com/w/Riven_Sliver</t>
        </is>
      </c>
      <c r="D994" t="inlineStr">
        <is>
          <t>ExportResources</t>
        </is>
      </c>
      <c r="F994" t="inlineStr">
        <is>
          <t>Rell's Anxiety Emotile</t>
        </is>
      </c>
      <c r="H994" t="inlineStr">
        <is>
          <t>Solved: current place verified and archived 2026-10-16.</t>
        </is>
      </c>
      <c r="I994" t="inlineStr">
        <is>
          <t>Resources</t>
        </is>
      </c>
      <c r="M994" t="inlineStr">
        <is>
          <t>Purchase from Palladino in Iron Wake (Earth) for 5 Riven Slivers, after completing Chains of Harrow.</t>
        </is>
      </c>
      <c r="N994" t="inlineStr">
        <is>
          <t>Riven Sliver</t>
        </is>
      </c>
      <c r="O994" t="inlineStr">
        <is>
          <t>Saved a concrete acquisition place from the official Warframe Wiki. Riven Sliver page lists the Emotile for 5 Riven Sliver; Palladino page confirms seller.</t>
        </is>
      </c>
    </row>
    <row r="995">
      <c r="A995" t="inlineStr">
        <is>
          <t>/Lotus/Types/Items/ShipDecos/TarotCard/Emotions/TarotCardBored</t>
        </is>
      </c>
      <c r="B995" t="inlineStr">
        <is>
          <t>Rell's Boredom Emotile</t>
        </is>
      </c>
      <c r="C995" t="inlineStr">
        <is>
          <t>https://wiki.warframe.com/w/Riven_Sliver</t>
        </is>
      </c>
      <c r="D995" t="inlineStr">
        <is>
          <t>ExportResources</t>
        </is>
      </c>
      <c r="F995" t="inlineStr">
        <is>
          <t>Rell's Boredom Emotile</t>
        </is>
      </c>
      <c r="H995" t="inlineStr">
        <is>
          <t>Solved: current place verified and archived 2026-10-16.</t>
        </is>
      </c>
      <c r="I995" t="inlineStr">
        <is>
          <t>Resources</t>
        </is>
      </c>
      <c r="M995" t="inlineStr">
        <is>
          <t>Purchase from Palladino in Iron Wake (Earth) for 5 Riven Slivers, after completing Chains of Harrow.</t>
        </is>
      </c>
      <c r="N995" t="inlineStr">
        <is>
          <t>Riven Sliver</t>
        </is>
      </c>
      <c r="O995" t="inlineStr">
        <is>
          <t>Saved a concrete acquisition place from the official Warframe Wiki. Riven Sliver page lists the Emotile for 5 Riven Sliver; Palladino page confirms seller.</t>
        </is>
      </c>
    </row>
    <row r="996">
      <c r="A996" t="inlineStr">
        <is>
          <t>/Lotus/Types/Items/ShipDecos/TarotCard/Emotions/TarotCardConfused</t>
        </is>
      </c>
      <c r="B996" t="inlineStr">
        <is>
          <t>Rell's Confusion Emotile</t>
        </is>
      </c>
      <c r="C996" t="inlineStr">
        <is>
          <t>https://wiki.warframe.com/w/Riven_Sliver</t>
        </is>
      </c>
      <c r="D996" t="inlineStr">
        <is>
          <t>ExportResources</t>
        </is>
      </c>
      <c r="F996" t="inlineStr">
        <is>
          <t>Rell's Confusion Emotile</t>
        </is>
      </c>
      <c r="H996" t="inlineStr">
        <is>
          <t>Solved: current place verified and archived 2026-10-16.</t>
        </is>
      </c>
      <c r="I996" t="inlineStr">
        <is>
          <t>Resources</t>
        </is>
      </c>
      <c r="M996" t="inlineStr">
        <is>
          <t>Purchase from Palladino in Iron Wake (Earth) for 5 Riven Slivers, after completing Chains of Harrow.</t>
        </is>
      </c>
      <c r="N996" t="inlineStr">
        <is>
          <t>Riven Sliver</t>
        </is>
      </c>
      <c r="O996" t="inlineStr">
        <is>
          <t>Saved a concrete acquisition place from the official Warframe Wiki. Riven Sliver page lists the Emotile for 5 Riven Sliver; Palladino page confirms seller.</t>
        </is>
      </c>
    </row>
    <row r="997">
      <c r="A997" t="inlineStr">
        <is>
          <t>/Lotus/Types/Items/ShipDecos/TarotCard/Emotions/TarotCardDisgusted</t>
        </is>
      </c>
      <c r="B997" t="inlineStr">
        <is>
          <t>Rell's Disgust Emotile</t>
        </is>
      </c>
      <c r="C997" t="inlineStr">
        <is>
          <t>https://wiki.warframe.com/w/Riven_Sliver</t>
        </is>
      </c>
      <c r="D997" t="inlineStr">
        <is>
          <t>ExportResources</t>
        </is>
      </c>
      <c r="F997" t="inlineStr">
        <is>
          <t>Rell's Disgust Emotile</t>
        </is>
      </c>
      <c r="H997" t="inlineStr">
        <is>
          <t>Solved: current place verified and archived 2026-10-16.</t>
        </is>
      </c>
      <c r="I997" t="inlineStr">
        <is>
          <t>Resources</t>
        </is>
      </c>
      <c r="M997" t="inlineStr">
        <is>
          <t>Purchase from Palladino in Iron Wake (Earth) for 5 Riven Slivers, after completing Chains of Harrow.</t>
        </is>
      </c>
      <c r="N997" t="inlineStr">
        <is>
          <t>Riven Sliver</t>
        </is>
      </c>
      <c r="O997" t="inlineStr">
        <is>
          <t>Saved a concrete acquisition place from the official Warframe Wiki. Riven Sliver page lists the Emotile for 5 Riven Sliver; Palladino page confirms seller.</t>
        </is>
      </c>
    </row>
    <row r="998">
      <c r="A998" t="inlineStr">
        <is>
          <t>/Lotus/Types/Items/ShipDecos/HarrowQuestKeyOrnament</t>
        </is>
      </c>
      <c r="B998" t="inlineStr">
        <is>
          <t>Rell's Donda</t>
        </is>
      </c>
      <c r="C998" t="inlineStr">
        <is>
          <t>https://wiki.warframe.com/w/Rell's_Donda</t>
        </is>
      </c>
      <c r="D998" t="inlineStr">
        <is>
          <t>ExportResources</t>
        </is>
      </c>
      <c r="F998" t="inlineStr">
        <is>
          <t>Rell's Donda</t>
        </is>
      </c>
      <c r="G998" t="inlineStr">
        <is>
          <t>Rell's Donda</t>
        </is>
      </c>
      <c r="H998" t="inlineStr">
        <is>
          <t>Solved: current place verified and archived 2026-10-16.</t>
        </is>
      </c>
      <c r="I998" t="inlineStr">
        <is>
          <t>Resources</t>
        </is>
      </c>
      <c r="M998" t="inlineStr">
        <is>
          <t>Purchase from Palladino in Iron Wake for 25 Ducats, after completing Chains of Harrow.</t>
        </is>
      </c>
      <c r="N998" t="inlineStr">
        <is>
          <t>Rell's Donda</t>
        </is>
      </c>
      <c r="O998" t="inlineStr">
        <is>
          <t>Saved a concrete acquisition place from the official Warframe Wiki.</t>
        </is>
      </c>
    </row>
    <row r="999">
      <c r="A999" t="inlineStr">
        <is>
          <t>/Lotus/Types/Items/ShipDecos/TarotCard/Emotions/TarotCardEmbarrassed</t>
        </is>
      </c>
      <c r="B999" t="inlineStr">
        <is>
          <t>Rell's Embarrassment Emotile</t>
        </is>
      </c>
      <c r="C999" t="inlineStr">
        <is>
          <t>https://wiki.warframe.com/w/Riven_Sliver</t>
        </is>
      </c>
      <c r="D999" t="inlineStr">
        <is>
          <t>ExportResources</t>
        </is>
      </c>
      <c r="F999" t="inlineStr">
        <is>
          <t>Rell's Embarrassment Emotile</t>
        </is>
      </c>
      <c r="H999" t="inlineStr">
        <is>
          <t>Solved: current place verified and archived 2026-10-16.</t>
        </is>
      </c>
      <c r="I999" t="inlineStr">
        <is>
          <t>Resources</t>
        </is>
      </c>
      <c r="M999" t="inlineStr">
        <is>
          <t>Purchase from Palladino in Iron Wake (Earth) for 5 Riven Slivers, after completing Chains of Harrow.</t>
        </is>
      </c>
      <c r="N999" t="inlineStr">
        <is>
          <t>Riven Sliver</t>
        </is>
      </c>
      <c r="O999" t="inlineStr">
        <is>
          <t>Saved a concrete acquisition place from the official Warframe Wiki. Riven Sliver page lists the Emotile for 5 Riven Sliver; Palladino page confirms seller.</t>
        </is>
      </c>
    </row>
    <row r="1000">
      <c r="A1000" t="inlineStr">
        <is>
          <t>/Lotus/Types/Items/ShipDecos/TarotCard/Emotions/TarotCardExcited</t>
        </is>
      </c>
      <c r="B1000" t="inlineStr">
        <is>
          <t>Rell's Excitement Emotile</t>
        </is>
      </c>
      <c r="C1000" t="inlineStr">
        <is>
          <t>https://wiki.warframe.com/w/Riven_Sliver</t>
        </is>
      </c>
      <c r="D1000" t="inlineStr">
        <is>
          <t>ExportResources</t>
        </is>
      </c>
      <c r="F1000" t="inlineStr">
        <is>
          <t>Rell's Excitement Emotile</t>
        </is>
      </c>
      <c r="H1000" t="inlineStr">
        <is>
          <t>Solved: current place verified and archived 2026-10-16.</t>
        </is>
      </c>
      <c r="I1000" t="inlineStr">
        <is>
          <t>Resources</t>
        </is>
      </c>
      <c r="M1000" t="inlineStr">
        <is>
          <t>Purchase from Palladino in Iron Wake (Earth) for 5 Riven Slivers, after completing Chains of Harrow.</t>
        </is>
      </c>
      <c r="N1000" t="inlineStr">
        <is>
          <t>Riven Sliver</t>
        </is>
      </c>
      <c r="O1000" t="inlineStr">
        <is>
          <t>Saved a concrete acquisition place from the official Warframe Wiki. Riven Sliver page lists the Emotile for 5 Riven Sliver; Palladino page confirms seller.</t>
        </is>
      </c>
    </row>
    <row r="1001">
      <c r="A1001" t="inlineStr">
        <is>
          <t>/Lotus/Types/Items/ShipDecos/TarotCard/Emotions/TarotCardTired</t>
        </is>
      </c>
      <c r="B1001" t="inlineStr">
        <is>
          <t>Rell's Fatigue Emotile</t>
        </is>
      </c>
      <c r="C1001" t="inlineStr">
        <is>
          <t>https://wiki.warframe.com/w/Riven_Sliver</t>
        </is>
      </c>
      <c r="D1001" t="inlineStr">
        <is>
          <t>ExportResources</t>
        </is>
      </c>
      <c r="F1001" t="inlineStr">
        <is>
          <t>Rell's Fatigue Emotile</t>
        </is>
      </c>
      <c r="H1001" t="inlineStr">
        <is>
          <t>Solved: current place verified and archived 2026-10-16.</t>
        </is>
      </c>
      <c r="I1001" t="inlineStr">
        <is>
          <t>Resources</t>
        </is>
      </c>
      <c r="M1001" t="inlineStr">
        <is>
          <t>Purchase from Palladino in Iron Wake (Earth) for 5 Riven Slivers, after completing Chains of Harrow.</t>
        </is>
      </c>
      <c r="N1001" t="inlineStr">
        <is>
          <t>Riven Sliver</t>
        </is>
      </c>
      <c r="O1001" t="inlineStr">
        <is>
          <t>Saved a concrete acquisition place from the official Warframe Wiki. Riven Sliver page lists the Emotile for 5 Riven Sliver; Palladino page confirms seller.</t>
        </is>
      </c>
    </row>
    <row r="1002">
      <c r="A1002" t="inlineStr">
        <is>
          <t>/Lotus/Types/Items/ShipDecos/TarotCard/Emotions/TarotCardScared</t>
        </is>
      </c>
      <c r="B1002" t="inlineStr">
        <is>
          <t>Rell's Fear Emotile</t>
        </is>
      </c>
      <c r="C1002" t="inlineStr">
        <is>
          <t>https://wiki.warframe.com/w/Riven_Sliver</t>
        </is>
      </c>
      <c r="D1002" t="inlineStr">
        <is>
          <t>ExportResources</t>
        </is>
      </c>
      <c r="F1002" t="inlineStr">
        <is>
          <t>Rell's Fear Emotile</t>
        </is>
      </c>
      <c r="H1002" t="inlineStr">
        <is>
          <t>Solved: current place verified and archived 2026-10-16.</t>
        </is>
      </c>
      <c r="I1002" t="inlineStr">
        <is>
          <t>Resources</t>
        </is>
      </c>
      <c r="M1002" t="inlineStr">
        <is>
          <t>Purchase from Palladino in Iron Wake (Earth) for 5 Riven Slivers, after completing Chains of Harrow.</t>
        </is>
      </c>
      <c r="N1002" t="inlineStr">
        <is>
          <t>Riven Sliver</t>
        </is>
      </c>
      <c r="O1002" t="inlineStr">
        <is>
          <t>Saved a concrete acquisition place from the official Warframe Wiki. Riven Sliver page lists the Emotile for 5 Riven Sliver; Palladino page confirms seller.</t>
        </is>
      </c>
    </row>
    <row r="1003">
      <c r="A1003" t="inlineStr">
        <is>
          <t>/Lotus/Types/Items/ShipDecos/TarotCard/Emotions/TarotCardHappy</t>
        </is>
      </c>
      <c r="B1003" t="inlineStr">
        <is>
          <t>Rell's Happiness Emotile</t>
        </is>
      </c>
      <c r="C1003" t="inlineStr">
        <is>
          <t>https://wiki.warframe.com/w/Riven_Sliver</t>
        </is>
      </c>
      <c r="D1003" t="inlineStr">
        <is>
          <t>ExportResources</t>
        </is>
      </c>
      <c r="F1003" t="inlineStr">
        <is>
          <t>Rell's Happiness Emotile</t>
        </is>
      </c>
      <c r="H1003" t="inlineStr">
        <is>
          <t>Solved: current place verified and archived 2026-10-16.</t>
        </is>
      </c>
      <c r="I1003" t="inlineStr">
        <is>
          <t>Resources</t>
        </is>
      </c>
      <c r="M1003" t="inlineStr">
        <is>
          <t>Purchase from Palladino in Iron Wake (Earth) for 5 Riven Slivers, after completing Chains of Harrow.</t>
        </is>
      </c>
      <c r="N1003" t="inlineStr">
        <is>
          <t>Riven Sliver</t>
        </is>
      </c>
      <c r="O1003" t="inlineStr">
        <is>
          <t>Saved a concrete acquisition place from the official Warframe Wiki. Riven Sliver page lists the Emotile for 5 Riven Sliver; Palladino page confirms seller.</t>
        </is>
      </c>
    </row>
    <row r="1004">
      <c r="A1004" t="inlineStr">
        <is>
          <t>/Lotus/Types/Items/ShipDecos/TarotCard/Emotions/TarotCardHungry</t>
        </is>
      </c>
      <c r="B1004" t="inlineStr">
        <is>
          <t>Rell's Hunger Emotile</t>
        </is>
      </c>
      <c r="C1004" t="inlineStr">
        <is>
          <t>https://wiki.warframe.com/w/Riven_Sliver</t>
        </is>
      </c>
      <c r="D1004" t="inlineStr">
        <is>
          <t>ExportResources</t>
        </is>
      </c>
      <c r="F1004" t="inlineStr">
        <is>
          <t>Rell's Hunger Emotile</t>
        </is>
      </c>
      <c r="H1004" t="inlineStr">
        <is>
          <t>Solved: current place verified and archived 2026-10-16.</t>
        </is>
      </c>
      <c r="I1004" t="inlineStr">
        <is>
          <t>Resources</t>
        </is>
      </c>
      <c r="M1004" t="inlineStr">
        <is>
          <t>Purchase from Palladino in Iron Wake (Earth) for 5 Riven Slivers, after completing Chains of Harrow.</t>
        </is>
      </c>
      <c r="N1004" t="inlineStr">
        <is>
          <t>Riven Sliver</t>
        </is>
      </c>
      <c r="O1004" t="inlineStr">
        <is>
          <t>Saved a concrete acquisition place from the official Warframe Wiki. Riven Sliver page lists the Emotile for 5 Riven Sliver; Palladino page confirms seller.</t>
        </is>
      </c>
    </row>
    <row r="1005">
      <c r="A1005" t="inlineStr">
        <is>
          <t>/Lotus/Types/Items/ShipDecos/TarotCard/Emotions/TarotCardGrumpy</t>
        </is>
      </c>
      <c r="B1005" t="inlineStr">
        <is>
          <t>Rell's Petulance Emotile</t>
        </is>
      </c>
      <c r="C1005" t="inlineStr">
        <is>
          <t>https://wiki.warframe.com/w/Riven_Sliver</t>
        </is>
      </c>
      <c r="D1005" t="inlineStr">
        <is>
          <t>ExportResources</t>
        </is>
      </c>
      <c r="F1005" t="inlineStr">
        <is>
          <t>Rell's Petulance Emotile</t>
        </is>
      </c>
      <c r="H1005" t="inlineStr">
        <is>
          <t>Solved: current place verified and archived 2026-10-16.</t>
        </is>
      </c>
      <c r="I1005" t="inlineStr">
        <is>
          <t>Resources</t>
        </is>
      </c>
      <c r="M1005" t="inlineStr">
        <is>
          <t>Purchase from Palladino in Iron Wake (Earth) for 5 Riven Slivers, after completing Chains of Harrow.</t>
        </is>
      </c>
      <c r="N1005" t="inlineStr">
        <is>
          <t>Riven Sliver</t>
        </is>
      </c>
      <c r="O1005" t="inlineStr">
        <is>
          <t>Saved a concrete acquisition place from the official Warframe Wiki. Riven Sliver page lists the Emotile for 5 Riven Sliver; Palladino page confirms seller.</t>
        </is>
      </c>
    </row>
    <row r="1006">
      <c r="A1006" t="inlineStr">
        <is>
          <t>/Lotus/Types/Items/ShipDecos/TarotCard/Emotions/TarotCardProud</t>
        </is>
      </c>
      <c r="B1006" t="inlineStr">
        <is>
          <t>Rell's Pride Emotile</t>
        </is>
      </c>
      <c r="C1006" t="inlineStr">
        <is>
          <t>https://wiki.warframe.com/w/Riven_Sliver</t>
        </is>
      </c>
      <c r="D1006" t="inlineStr">
        <is>
          <t>ExportResources</t>
        </is>
      </c>
      <c r="F1006" t="inlineStr">
        <is>
          <t>Rell's Pride Emotile</t>
        </is>
      </c>
      <c r="H1006" t="inlineStr">
        <is>
          <t>Solved: current place verified and archived 2026-10-16.</t>
        </is>
      </c>
      <c r="I1006" t="inlineStr">
        <is>
          <t>Resources</t>
        </is>
      </c>
      <c r="M1006" t="inlineStr">
        <is>
          <t>Purchase from Palladino in Iron Wake (Earth) for 5 Riven Slivers, after completing Chains of Harrow.</t>
        </is>
      </c>
      <c r="N1006" t="inlineStr">
        <is>
          <t>Riven Sliver</t>
        </is>
      </c>
      <c r="O1006" t="inlineStr">
        <is>
          <t>Saved a concrete acquisition place from the official Warframe Wiki. Riven Sliver page lists the Emotile for 5 Riven Sliver; Palladino page confirms seller.</t>
        </is>
      </c>
    </row>
    <row r="1007">
      <c r="A1007" t="inlineStr">
        <is>
          <t>/Lotus/Types/Items/ShipDecos/TarotCard/Emotions/TarotCardSad</t>
        </is>
      </c>
      <c r="B1007" t="inlineStr">
        <is>
          <t>Rell's Sadness Emotile</t>
        </is>
      </c>
      <c r="C1007" t="inlineStr">
        <is>
          <t>https://wiki.warframe.com/w/Riven_Sliver</t>
        </is>
      </c>
      <c r="D1007" t="inlineStr">
        <is>
          <t>ExportResources</t>
        </is>
      </c>
      <c r="F1007" t="inlineStr">
        <is>
          <t>Rell's Sadness Emotile</t>
        </is>
      </c>
      <c r="H1007" t="inlineStr">
        <is>
          <t>Solved: current place verified and archived 2026-10-16.</t>
        </is>
      </c>
      <c r="I1007" t="inlineStr">
        <is>
          <t>Resources</t>
        </is>
      </c>
      <c r="M1007" t="inlineStr">
        <is>
          <t>Purchase from Palladino in Iron Wake (Earth) for 5 Riven Slivers, after completing Chains of Harrow.</t>
        </is>
      </c>
      <c r="N1007" t="inlineStr">
        <is>
          <t>Riven Sliver</t>
        </is>
      </c>
      <c r="O1007" t="inlineStr">
        <is>
          <t>Saved a concrete acquisition place from the official Warframe Wiki. Riven Sliver page lists the Emotile for 5 Riven Sliver; Palladino page confirms seller.</t>
        </is>
      </c>
    </row>
    <row r="1008">
      <c r="A1008" t="inlineStr">
        <is>
          <t>/Lotus/Types/Items/ShipDecos/TarotCard/Emotions/TarotCardShy</t>
        </is>
      </c>
      <c r="B1008" t="inlineStr">
        <is>
          <t>Rell's Shyness Emotile</t>
        </is>
      </c>
      <c r="C1008" t="inlineStr">
        <is>
          <t>https://wiki.warframe.com/w/Riven_Sliver</t>
        </is>
      </c>
      <c r="D1008" t="inlineStr">
        <is>
          <t>ExportResources</t>
        </is>
      </c>
      <c r="F1008" t="inlineStr">
        <is>
          <t>Rell's Shyness Emotile</t>
        </is>
      </c>
      <c r="H1008" t="inlineStr">
        <is>
          <t>Solved: current place verified and archived 2026-10-16.</t>
        </is>
      </c>
      <c r="I1008" t="inlineStr">
        <is>
          <t>Resources</t>
        </is>
      </c>
      <c r="M1008" t="inlineStr">
        <is>
          <t>Purchase from Palladino in Iron Wake (Earth) for 5 Riven Slivers, after completing Chains of Harrow.</t>
        </is>
      </c>
      <c r="N1008" t="inlineStr">
        <is>
          <t>Riven Sliver</t>
        </is>
      </c>
      <c r="O1008" t="inlineStr">
        <is>
          <t>Saved a concrete acquisition place from the official Warframe Wiki. Riven Sliver page lists the Emotile for 5 Riven Sliver; Palladino page confirms seller.</t>
        </is>
      </c>
    </row>
    <row r="1009">
      <c r="A1009" t="inlineStr">
        <is>
          <t>/Lotus/Types/Items/ShipDecos/TarotCard/Emotions/TarotCardSurprised</t>
        </is>
      </c>
      <c r="B1009" t="inlineStr">
        <is>
          <t>Rell's Surprise Emotile</t>
        </is>
      </c>
      <c r="C1009" t="inlineStr">
        <is>
          <t>https://wiki.warframe.com/w/Riven_Sliver</t>
        </is>
      </c>
      <c r="D1009" t="inlineStr">
        <is>
          <t>ExportResources</t>
        </is>
      </c>
      <c r="F1009" t="inlineStr">
        <is>
          <t>Rell's Surprise Emotile</t>
        </is>
      </c>
      <c r="H1009" t="inlineStr">
        <is>
          <t>Solved: current place verified and archived 2026-10-16.</t>
        </is>
      </c>
      <c r="I1009" t="inlineStr">
        <is>
          <t>Resources</t>
        </is>
      </c>
      <c r="M1009" t="inlineStr">
        <is>
          <t>Purchase from Palladino in Iron Wake (Earth) for 5 Riven Slivers, after completing Chains of Harrow.</t>
        </is>
      </c>
      <c r="N1009" t="inlineStr">
        <is>
          <t>Riven Sliver</t>
        </is>
      </c>
      <c r="O1009" t="inlineStr">
        <is>
          <t>Saved a concrete acquisition place from the official Warframe Wiki. Riven Sliver page lists the Emotile for 5 Riven Sliver; Palladino page confirms seller.</t>
        </is>
      </c>
    </row>
    <row r="1010">
      <c r="A1010" t="inlineStr">
        <is>
          <t>/Lotus/Types/Game/Projections/T5VoidProjectionImmortal</t>
        </is>
      </c>
      <c r="B1010" t="inlineStr">
        <is>
          <t>Requiem Relic</t>
        </is>
      </c>
      <c r="C1010" t="inlineStr">
        <is>
          <t>https://wiki.warframe.com/w/Void_Relic | https://wiki.warframe.com/w/Kuva_Lich_Hunter_Collection | https://wiki.warframe.com/w/Requiem_Mods | https://wiki.warframe.com/w/Devstream_192</t>
        </is>
      </c>
      <c r="D1010" t="inlineStr">
        <is>
          <t>ExportResources</t>
        </is>
      </c>
      <c r="F1010" t="inlineStr">
        <is>
          <t>Requiem Relic</t>
        </is>
      </c>
      <c r="H1010" t="inlineStr">
        <is>
          <t>Solved: current place verified and archived 2026-10-16.</t>
        </is>
      </c>
      <c r="I1010" t="inlineStr">
        <is>
          <t>Resources</t>
        </is>
      </c>
      <c r="M1010" t="inlineStr">
        <is>
          <t>Original Requiem Relics: Palladino, 10 Riven Slivers each. Requiem Eterna relics: Kuva Siphons (50%), Kuva Floods, Lich Thralls or Sister Hounds (5%), or the Requiem Eterna Relic Pack (Market, 85 Platinum).</t>
        </is>
      </c>
      <c r="N1010" t="inlineStr">
        <is>
          <t>Void Relic</t>
        </is>
      </c>
      <c r="O1010" t="inlineStr">
        <is>
          <t>Saved a concrete acquisition place from the official Warframe Wiki. Void Relic page, Requiem Relics acquisition.</t>
        </is>
      </c>
    </row>
    <row r="1011">
      <c r="A1011" t="inlineStr">
        <is>
          <t>/Lotus/Types/Items/ShipDecos/TarotCardRhinoHeirloom</t>
        </is>
      </c>
      <c r="B1011" t="inlineStr">
        <is>
          <t>Rhino Heirloom Prex</t>
        </is>
      </c>
      <c r="C1011" t="inlineStr">
        <is>
          <t>https://wiki.warframe.com/w/Rhino_Heirloom_Iron_Collection | https://wiki.warframe.com/w/Heirloom_Skins</t>
        </is>
      </c>
      <c r="D1011" t="inlineStr">
        <is>
          <t>ExportResources</t>
        </is>
      </c>
      <c r="F1011" t="inlineStr">
        <is>
          <t>Rhino Heirloom Prex</t>
        </is>
      </c>
      <c r="H1011" t="inlineStr">
        <is>
          <t>Solved: current place verified and archived 2026-10-16.</t>
        </is>
      </c>
      <c r="I1011" t="inlineStr">
        <is>
          <t>Resources</t>
        </is>
      </c>
      <c r="M1011" t="inlineStr">
        <is>
          <t>In-game Market for 35 Platinum.</t>
        </is>
      </c>
      <c r="N1011" t="inlineStr">
        <is>
          <t>Rhino Heirloom Iron Collection | Heirloom Skins | Update 38</t>
        </is>
      </c>
      <c r="O1011" t="inlineStr">
        <is>
          <t>We copied where it comes from off the wiki page. See place from wiki page.</t>
        </is>
      </c>
    </row>
    <row r="1012">
      <c r="A1012" t="inlineStr">
        <is>
          <t>/Lotus/Types/Items/ShipDecos/YareliComicCoverPoster</t>
        </is>
      </c>
      <c r="B1012" t="inlineStr">
        <is>
          <t>Ride The Wave Poster</t>
        </is>
      </c>
      <c r="C1012" t="inlineStr">
        <is>
          <t>https://wiki.warframe.com/w/Dog_Days | https://wiki.warframe.com/w/Nightwave/Nora's_Choice | https://wiki.warframe.com/w/Decorations/Orbiter_Decorations</t>
        </is>
      </c>
      <c r="D1012" t="inlineStr">
        <is>
          <t>ExportResources</t>
        </is>
      </c>
      <c r="F1012" t="inlineStr">
        <is>
          <t>Ride The Wave Poster</t>
        </is>
      </c>
      <c r="H1012" t="inlineStr">
        <is>
          <t>Solved: current place verified and archived 2026-10-16.</t>
        </is>
      </c>
      <c r="I1012" t="inlineStr">
        <is>
          <t>Resources</t>
        </is>
      </c>
      <c r="M1012" t="inlineStr">
        <is>
          <t>Purchase from the Dog Days event store for 175 Nakak Pearls.</t>
        </is>
      </c>
      <c r="N1012" t="inlineStr">
        <is>
          <t>Dog Days | Nightwave/Nora's Choice | Decorations/Orbiter Decorations | Update 36</t>
        </is>
      </c>
      <c r="O1012" t="inlineStr">
        <is>
          <t>We copied where it comes from off the wiki page. See place from wiki page.</t>
        </is>
      </c>
    </row>
    <row r="1013">
      <c r="A1013" t="inlineStr">
        <is>
          <t>/Lotus/Types/Items/ShipDecos/Plushies/PlushyRoathe</t>
        </is>
      </c>
      <c r="B1013" t="inlineStr">
        <is>
          <t>Roathe Floof</t>
        </is>
      </c>
      <c r="C1013" t="inlineStr">
        <is>
          <t>https://wiki.warframe.com/w/Update_41:_The_Old_Peace</t>
        </is>
      </c>
      <c r="D1013" t="inlineStr">
        <is>
          <t>ExportResources</t>
        </is>
      </c>
      <c r="F1013" t="inlineStr">
        <is>
          <t>Roathe Floof</t>
        </is>
      </c>
      <c r="H1013" t="inlineStr">
        <is>
          <t>Solved: current place verified and archived 2026-10-16.</t>
        </is>
      </c>
      <c r="I1013" t="inlineStr">
        <is>
          <t>Resources</t>
        </is>
      </c>
      <c r="M1013" t="inlineStr">
        <is>
          <t>In-game Market; also in the Floof collection.</t>
        </is>
      </c>
      <c r="N1013" t="inlineStr">
        <is>
          <t>Update 41: The Old Peace</t>
        </is>
      </c>
      <c r="O1013" t="inlineStr">
        <is>
          <t>Saved a concrete acquisition place from the official Warframe Wiki. Update 41 patch notes.</t>
        </is>
      </c>
    </row>
    <row r="1014">
      <c r="A1014" t="inlineStr">
        <is>
          <t>/Lotus/Types/Items/ShipDecos/CommunityRoatheDisplay</t>
        </is>
      </c>
      <c r="B1014" t="inlineStr">
        <is>
          <t>Roathe and Uriel Community Display</t>
        </is>
      </c>
      <c r="C1014" t="inlineStr">
        <is>
          <t>https://wiki.warframe.com/w/The_Devil's_Triad_Community_Bundle | https://wiki.warframe.com/w/Clan_Dojo | https://wiki.warframe.com/w/Decorations/Orbiter_Decorations</t>
        </is>
      </c>
      <c r="D1014" t="inlineStr">
        <is>
          <t>ExportResources</t>
        </is>
      </c>
      <c r="F1014" t="inlineStr">
        <is>
          <t>Roathe and Uriel Community Display</t>
        </is>
      </c>
      <c r="H1014" t="inlineStr">
        <is>
          <t>Solved: current place verified and archived 2026-10-16.</t>
        </is>
      </c>
      <c r="I1014" t="inlineStr">
        <is>
          <t>Resources</t>
        </is>
      </c>
      <c r="M1014" t="inlineStr">
        <is>
          <t>In-game Market for 20 Platinum.</t>
        </is>
      </c>
      <c r="N1014" t="inlineStr">
        <is>
          <t>The Devil's Triad Community Bundle | Clan Dojo | Decorations/Orbiter Decorations | Update 41: The Old Peace</t>
        </is>
      </c>
      <c r="O1014" t="inlineStr">
        <is>
          <t>We copied where it comes from off the wiki page. See place from wiki page.</t>
        </is>
      </c>
    </row>
    <row r="1015">
      <c r="A1015" t="inlineStr">
        <is>
          <t>/Lotus/Types/Items/MiscItems/PhotoboothTileDateRoatheDuviriThroneRoom</t>
        </is>
      </c>
      <c r="B1015" t="inlineStr">
        <is>
          <t>Roathe's Duviri Throneroom Date</t>
        </is>
      </c>
      <c r="C1015" t="inlineStr">
        <is>
          <t>https://wiki.warframe.com/w/Captura | https://wiki.warframe.com/w/Kinemantik_Instant_Messenger</t>
        </is>
      </c>
      <c r="D1015" t="inlineStr">
        <is>
          <t>ExportResources</t>
        </is>
      </c>
      <c r="F1015" t="inlineStr">
        <is>
          <t>Roathe's Duviri Throneroom Date</t>
        </is>
      </c>
      <c r="H1015" t="inlineStr">
        <is>
          <t>Solved: current place verified and archived 2026-10-16.</t>
        </is>
      </c>
      <c r="I1015" t="inlineStr">
        <is>
          <t>Resources</t>
        </is>
      </c>
      <c r="M1015" t="inlineStr">
        <is>
          <t>Rewarded weekly by inbox after romancing Roathe.</t>
        </is>
      </c>
      <c r="N1015" t="inlineStr">
        <is>
          <t>Captura</t>
        </is>
      </c>
      <c r="O1015" t="inlineStr">
        <is>
          <t>Saved a concrete acquisition place from the official Warframe Wiki. Captura scene table lists this scene with its acquisition note.</t>
        </is>
      </c>
    </row>
    <row r="1016">
      <c r="A1016" t="inlineStr">
        <is>
          <t>/Lotus/Types/Items/MiscItems/PhotoboothTileDateRoatheUmbraChamber</t>
        </is>
      </c>
      <c r="B1016" t="inlineStr">
        <is>
          <t>Roathe's Lua Containment Date</t>
        </is>
      </c>
      <c r="C1016" t="inlineStr">
        <is>
          <t>https://wiki.warframe.com/w/Captura | https://wiki.warframe.com/w/Kinemantik_Instant_Messenger</t>
        </is>
      </c>
      <c r="D1016" t="inlineStr">
        <is>
          <t>ExportResources</t>
        </is>
      </c>
      <c r="F1016" t="inlineStr">
        <is>
          <t>Roathe's Lua Containment Date</t>
        </is>
      </c>
      <c r="H1016" t="inlineStr">
        <is>
          <t>Solved: current place verified and archived 2026-10-16.</t>
        </is>
      </c>
      <c r="I1016" t="inlineStr">
        <is>
          <t>Resources</t>
        </is>
      </c>
      <c r="M1016" t="inlineStr">
        <is>
          <t>Rewarded weekly by inbox after romancing Roathe.</t>
        </is>
      </c>
      <c r="N1016" t="inlineStr">
        <is>
          <t>Captura</t>
        </is>
      </c>
      <c r="O1016" t="inlineStr">
        <is>
          <t>Saved a concrete acquisition place from the official Warframe Wiki. Captura scene table lists this scene with its acquisition note.</t>
        </is>
      </c>
    </row>
    <row r="1017">
      <c r="A1017" t="inlineStr">
        <is>
          <t>/Lotus/Types/Items/MiscItems/PhotoboothTileDateRoatheSentientConTallJunctionOne</t>
        </is>
      </c>
      <c r="B1017" t="inlineStr">
        <is>
          <t>Roathe's Murex Date</t>
        </is>
      </c>
      <c r="C1017" t="inlineStr">
        <is>
          <t>https://wiki.warframe.com/w/Captura | https://wiki.warframe.com/w/Kinemantik_Instant_Messenger</t>
        </is>
      </c>
      <c r="D1017" t="inlineStr">
        <is>
          <t>ExportResources</t>
        </is>
      </c>
      <c r="F1017" t="inlineStr">
        <is>
          <t>Roathe's Murex Date</t>
        </is>
      </c>
      <c r="H1017" t="inlineStr">
        <is>
          <t>Solved: current place verified and archived 2026-10-16.</t>
        </is>
      </c>
      <c r="I1017" t="inlineStr">
        <is>
          <t>Resources</t>
        </is>
      </c>
      <c r="M1017" t="inlineStr">
        <is>
          <t>Rewarded weekly by inbox after romancing Roathe.</t>
        </is>
      </c>
      <c r="N1017" t="inlineStr">
        <is>
          <t>Captura</t>
        </is>
      </c>
      <c r="O1017" t="inlineStr">
        <is>
          <t>Saved a concrete acquisition place from the official Warframe Wiki. Captura scene table lists this scene with its acquisition note.</t>
        </is>
      </c>
    </row>
    <row r="1018">
      <c r="A1018" t="inlineStr">
        <is>
          <t>/Lotus/Types/Items/DangerRoom/DangerRoomTileDevilTowerUrielArena</t>
        </is>
      </c>
      <c r="B1018" t="inlineStr">
        <is>
          <t>Roathe's Oblivion Arena</t>
        </is>
      </c>
      <c r="C1018" t="inlineStr">
        <is>
          <t>https://wiki.warframe.com/w/Simulacrum | https://wiki.warframe.com/w/Maphica | https://wiki.warframe.com/w/Roathe</t>
        </is>
      </c>
      <c r="D1018" t="inlineStr">
        <is>
          <t>ExportResources</t>
        </is>
      </c>
      <c r="F1018" t="inlineStr">
        <is>
          <t>Roathe's Oblivion Arena</t>
        </is>
      </c>
      <c r="H1018" t="inlineStr">
        <is>
          <t>Solved: current place verified and archived 2026-10-16.</t>
        </is>
      </c>
      <c r="I1018" t="inlineStr">
        <is>
          <t>Resources</t>
        </is>
      </c>
      <c r="M1018" t="inlineStr">
        <is>
          <t>Purchase from Roathe's Browse Surplus for 150 Maphica.</t>
        </is>
      </c>
      <c r="N1018" t="inlineStr">
        <is>
          <t>Roathe</t>
        </is>
      </c>
      <c r="O1018" t="inlineStr">
        <is>
          <t>Saved a concrete acquisition place from the official Warframe Wiki. Roathe page lists it in Offerings &gt; Browse Surplus.</t>
        </is>
      </c>
    </row>
    <row r="1019">
      <c r="A1019" t="inlineStr">
        <is>
          <t>/Lotus/Types/Items/MiscItems/PhotoboothTileDateRoatheDerelictHub</t>
        </is>
      </c>
      <c r="B1019" t="inlineStr">
        <is>
          <t>Roathe's Orokin Ruins Date</t>
        </is>
      </c>
      <c r="C1019" t="inlineStr">
        <is>
          <t>https://wiki.warframe.com/w/Captura | https://wiki.warframe.com/w/Kinemantik_Instant_Messenger</t>
        </is>
      </c>
      <c r="D1019" t="inlineStr">
        <is>
          <t>ExportResources</t>
        </is>
      </c>
      <c r="F1019" t="inlineStr">
        <is>
          <t>Roathe's Orokin Ruins Date</t>
        </is>
      </c>
      <c r="H1019" t="inlineStr">
        <is>
          <t>Solved: current place verified and archived 2026-10-16.</t>
        </is>
      </c>
      <c r="I1019" t="inlineStr">
        <is>
          <t>Resources</t>
        </is>
      </c>
      <c r="M1019" t="inlineStr">
        <is>
          <t>Rewarded weekly by inbox after romancing Roathe.</t>
        </is>
      </c>
      <c r="N1019" t="inlineStr">
        <is>
          <t>Captura</t>
        </is>
      </c>
      <c r="O1019" t="inlineStr">
        <is>
          <t>Saved a concrete acquisition place from the official Warframe Wiki. Captura scene table lists this scene with its acquisition note.</t>
        </is>
      </c>
    </row>
    <row r="1020">
      <c r="A1020" t="inlineStr">
        <is>
          <t>/Lotus/Types/Items/MiscItems/PhotoboothTileDateRoatheZarParkA</t>
        </is>
      </c>
      <c r="B1020" t="inlineStr">
        <is>
          <t>Roathe's Zariman Park Date</t>
        </is>
      </c>
      <c r="C1020" t="inlineStr">
        <is>
          <t>https://wiki.warframe.com/w/Captura | https://wiki.warframe.com/w/Kinemantik_Instant_Messenger</t>
        </is>
      </c>
      <c r="D1020" t="inlineStr">
        <is>
          <t>ExportResources</t>
        </is>
      </c>
      <c r="F1020" t="inlineStr">
        <is>
          <t>Roathe's Zariman Park Date</t>
        </is>
      </c>
      <c r="H1020" t="inlineStr">
        <is>
          <t>Solved: current place verified and archived 2026-10-16.</t>
        </is>
      </c>
      <c r="I1020" t="inlineStr">
        <is>
          <t>Resources</t>
        </is>
      </c>
      <c r="M1020" t="inlineStr">
        <is>
          <t>Rewarded weekly by inbox after romancing Roathe.</t>
        </is>
      </c>
      <c r="N1020" t="inlineStr">
        <is>
          <t>Captura</t>
        </is>
      </c>
      <c r="O1020" t="inlineStr">
        <is>
          <t>Saved a concrete acquisition place from the official Warframe Wiki. Captura scene table lists this scene with its acquisition note.</t>
        </is>
      </c>
    </row>
    <row r="1021">
      <c r="A1021" t="inlineStr">
        <is>
          <t>/Lotus/Types/Items/ShipDecos/ContainerDecoItemRoboticsLockbox</t>
        </is>
      </c>
      <c r="B1021" t="inlineStr">
        <is>
          <t>Robotics Lockbox Decoration</t>
        </is>
      </c>
      <c r="C1021" t="inlineStr">
        <is>
          <t>https://wiki.warframe.com/w/Market/Equipment</t>
        </is>
      </c>
      <c r="D1021" t="inlineStr">
        <is>
          <t>ExportResources</t>
        </is>
      </c>
      <c r="F1021" t="inlineStr">
        <is>
          <t>Robotics Lockbox Decoration</t>
        </is>
      </c>
      <c r="H1021" t="inlineStr">
        <is>
          <t>Solved: current place verified and archived 2026-10-16.</t>
        </is>
      </c>
      <c r="I1021" t="inlineStr">
        <is>
          <t>Resources</t>
        </is>
      </c>
      <c r="M1021" t="inlineStr">
        <is>
          <t>In-game Market for 20 Platinum.</t>
        </is>
      </c>
      <c r="N1021" t="inlineStr">
        <is>
          <t>Market/Equipment</t>
        </is>
      </c>
      <c r="O1021" t="inlineStr">
        <is>
          <t>Saved a concrete acquisition place from the official Warframe Wiki. Market/Equipment lists it with a Platinum price.</t>
        </is>
      </c>
    </row>
    <row r="1022">
      <c r="A1022" t="inlineStr">
        <is>
          <t>/Lotus/Types/Items/ShipDecos/NokkoMushroomScrawlPosterE</t>
        </is>
      </c>
      <c r="B1022" t="inlineStr">
        <is>
          <t>Root Maze Cave Art</t>
        </is>
      </c>
      <c r="C1022" t="inlineStr">
        <is>
          <t>https://wiki.warframe.com/w/Deepmines | https://wiki.warframe.com/w/Gamma_Berry | https://wiki.warframe.com/w/Muck_Bonnet | https://wiki.warframe.com/w/Vomval_Trumpet | https://wiki.warframe.com/w/Decorations/Orbiter_Decorations</t>
        </is>
      </c>
      <c r="D1022" t="inlineStr">
        <is>
          <t>ExportResources</t>
        </is>
      </c>
      <c r="F1022" t="inlineStr">
        <is>
          <t>Root Maze Cave Art</t>
        </is>
      </c>
      <c r="H1022" t="inlineStr">
        <is>
          <t>Solved: current place verified and archived 2026-10-16.</t>
        </is>
      </c>
      <c r="I1022" t="inlineStr">
        <is>
          <t>Resources</t>
        </is>
      </c>
      <c r="M1022" t="inlineStr">
        <is>
          <t>Interact with the Sprodling in the hidden cave in the Deepmines Forward Base tile (Orb Vallis) to get the blueprint.</t>
        </is>
      </c>
      <c r="N1022" t="inlineStr">
        <is>
          <t>Deepmines</t>
        </is>
      </c>
      <c r="O1022" t="inlineStr">
        <is>
          <t>Saved a concrete acquisition place from the official Warframe Wiki. Deepmines page Cave Art and Somachords table gives the location and Foundry cost.</t>
        </is>
      </c>
    </row>
    <row r="1023">
      <c r="A1023" t="inlineStr">
        <is>
          <t>/Lotus/Types/Items/ShipDecos/TennoPlanterB</t>
        </is>
      </c>
      <c r="B1023" t="inlineStr">
        <is>
          <t>Ropaka Planter</t>
        </is>
      </c>
      <c r="C1023" t="inlineStr">
        <is>
          <t>https://wiki.warframe.com/w/Decorations/Orbiter_Decorations</t>
        </is>
      </c>
      <c r="D1023" t="inlineStr">
        <is>
          <t>ExportResources</t>
        </is>
      </c>
      <c r="F1023" t="inlineStr">
        <is>
          <t>Ropaka Planter</t>
        </is>
      </c>
      <c r="H1023" t="inlineStr">
        <is>
          <t>Solved: current place verified and archived 2026-10-16.</t>
        </is>
      </c>
      <c r="I1023" t="inlineStr">
        <is>
          <t>Resources</t>
        </is>
      </c>
      <c r="M1023" t="inlineStr">
        <is>
          <t>In-game Market for 20 Platinum.</t>
        </is>
      </c>
      <c r="N1023" t="inlineStr">
        <is>
          <t>Decorations/Orbiter Decorations</t>
        </is>
      </c>
      <c r="O1023" t="inlineStr">
        <is>
          <t>Saved a concrete acquisition place from the official Warframe Wiki. Orbiter Decorations Market section: planters cost 20 Platinum (Lua Planter 50).</t>
        </is>
      </c>
    </row>
    <row r="1024">
      <c r="A1024" t="inlineStr">
        <is>
          <t>/Lotus/Types/Items/ShipDecos/ResourceDecoItemRubedo</t>
        </is>
      </c>
      <c r="B1024" t="inlineStr">
        <is>
          <t>Rubedo Decoration</t>
        </is>
      </c>
      <c r="C1024" t="inlineStr">
        <is>
          <t>https://wiki.warframe.com/w/Market/Equipment</t>
        </is>
      </c>
      <c r="D1024" t="inlineStr">
        <is>
          <t>ExportResources</t>
        </is>
      </c>
      <c r="F1024" t="inlineStr">
        <is>
          <t>Rubedo Decoration</t>
        </is>
      </c>
      <c r="H1024" t="inlineStr">
        <is>
          <t>Solved: current place verified and archived 2026-10-16.</t>
        </is>
      </c>
      <c r="I1024" t="inlineStr">
        <is>
          <t>Resources</t>
        </is>
      </c>
      <c r="M1024" t="inlineStr">
        <is>
          <t>In-game Market for 5 Platinum.</t>
        </is>
      </c>
      <c r="N1024" t="inlineStr">
        <is>
          <t>Market/Equipment</t>
        </is>
      </c>
      <c r="O1024" t="inlineStr">
        <is>
          <t>Saved a concrete acquisition place from the official Warframe Wiki. Market/Equipment lists it with a Platinum price.</t>
        </is>
      </c>
    </row>
    <row r="1025">
      <c r="A1025" t="inlineStr">
        <is>
          <t>/Lotus/Types/Items/ShipDecos/ContainerDecoItemRubedoFormation</t>
        </is>
      </c>
      <c r="B1025" t="inlineStr">
        <is>
          <t>Rubedo Formation Decoration</t>
        </is>
      </c>
      <c r="C1025" t="inlineStr">
        <is>
          <t>https://wiki.warframe.com/w/Market/Equipment</t>
        </is>
      </c>
      <c r="D1025" t="inlineStr">
        <is>
          <t>ExportResources</t>
        </is>
      </c>
      <c r="F1025" t="inlineStr">
        <is>
          <t>Rubedo Formation Decoration</t>
        </is>
      </c>
      <c r="H1025" t="inlineStr">
        <is>
          <t>Solved: current place verified and archived 2026-10-16.</t>
        </is>
      </c>
      <c r="I1025" t="inlineStr">
        <is>
          <t>Resources</t>
        </is>
      </c>
      <c r="M1025" t="inlineStr">
        <is>
          <t>In-game Market for 20 Platinum.</t>
        </is>
      </c>
      <c r="N1025" t="inlineStr">
        <is>
          <t>Market/Equipment</t>
        </is>
      </c>
      <c r="O1025" t="inlineStr">
        <is>
          <t>Saved a concrete acquisition place from the official Warframe Wiki. Market/Equipment lists it with a Platinum price.</t>
        </is>
      </c>
    </row>
    <row r="1026">
      <c r="A1026" t="inlineStr">
        <is>
          <t>/Lotus/Types/Items/ShipDecos/Plushies/PlushyRucksackKubrow</t>
        </is>
      </c>
      <c r="B1026" t="inlineStr">
        <is>
          <t>Rucksack Kubrow Floof</t>
        </is>
      </c>
      <c r="C1026" t="inlineStr">
        <is>
          <t>https://wiki.warframe.com/w/Dog_Days | https://wiki.warframe.com/w/Decorations/Orbiter_Decorations | https://wiki.warframe.com/w/Tactical_Alert/Archive</t>
        </is>
      </c>
      <c r="D1026" t="inlineStr">
        <is>
          <t>ExportResources</t>
        </is>
      </c>
      <c r="F1026" t="inlineStr">
        <is>
          <t>Rucksack Kubrow Floof</t>
        </is>
      </c>
      <c r="H1026" t="inlineStr">
        <is>
          <t>Solved: current place verified and archived 2026-10-16.</t>
        </is>
      </c>
      <c r="I1026" t="inlineStr">
        <is>
          <t>Resources</t>
        </is>
      </c>
      <c r="M1026" t="inlineStr">
        <is>
          <t>Purchase from the Dog Days event store for 195 Nakak Pearls.</t>
        </is>
      </c>
      <c r="N1026" t="inlineStr">
        <is>
          <t>Dog Days | Decorations/Orbiter Decorations | Tactical Alert/Archive</t>
        </is>
      </c>
      <c r="O1026" t="inlineStr">
        <is>
          <t>We copied where it comes from off the wiki page. See place from wiki page.</t>
        </is>
      </c>
    </row>
    <row r="1027">
      <c r="A1027" t="inlineStr">
        <is>
          <t>/Lotus/Types/Items/ShipDecos/Plants/Nokko/LisetPropGftPlantRuksClawMature</t>
        </is>
      </c>
      <c r="B1027" t="inlineStr">
        <is>
          <t>Ruk's Claw Decoration</t>
        </is>
      </c>
      <c r="C1027" t="inlineStr">
        <is>
          <t>https://wiki.warframe.com/w/Nightcap</t>
        </is>
      </c>
      <c r="D1027" t="inlineStr">
        <is>
          <t>ExportResources</t>
        </is>
      </c>
      <c r="F1027" t="inlineStr">
        <is>
          <t>Ruk's Claw Decoration</t>
        </is>
      </c>
      <c r="H1027" t="inlineStr">
        <is>
          <t>Solved: current place verified and archived 2026-10-16.</t>
        </is>
      </c>
      <c r="I1027" t="inlineStr">
        <is>
          <t>Resources</t>
        </is>
      </c>
      <c r="M1027" t="inlineStr">
        <is>
          <t>Purchase from Nightcap's Nursery for 10 Fergolyte.</t>
        </is>
      </c>
      <c r="N1027" t="inlineStr">
        <is>
          <t>Nightcap</t>
        </is>
      </c>
      <c r="O1027" t="inlineStr">
        <is>
          <t>Saved a concrete acquisition place from the official Warframe Wiki. Nightcap page lists it in Offerings &gt; Nursery.</t>
        </is>
      </c>
    </row>
    <row r="1028">
      <c r="A1028" t="inlineStr">
        <is>
          <t>/Lotus/Types/Items/Deimos/AnimalTagInfestedNexiferaRare</t>
        </is>
      </c>
      <c r="B1028" t="inlineStr">
        <is>
          <t>SCARLET NEXIFERA TAG</t>
        </is>
      </c>
      <c r="C1028" t="inlineStr">
        <is>
          <t>https://wiki.warframe.com/w/Conservation</t>
        </is>
      </c>
      <c r="D1028" t="inlineStr">
        <is>
          <t>ExportResources</t>
        </is>
      </c>
      <c r="G1028" t="inlineStr">
        <is>
          <t>Conservation#Nexifera</t>
        </is>
      </c>
      <c r="H1028" t="inlineStr">
        <is>
          <t>Solved: current place verified and archived 2026-10-16.</t>
        </is>
      </c>
      <c r="I1028" t="inlineStr">
        <is>
          <t>Resources</t>
        </is>
      </c>
      <c r="J1028" t="inlineStr">
        <is>
          <t>Resources_data</t>
        </is>
      </c>
      <c r="K1028" t="inlineStr">
        <is>
          <t>Resources/data</t>
        </is>
      </c>
      <c r="L1028" t="inlineStr">
        <is>
          <t>listed, no place</t>
        </is>
      </c>
      <c r="M1028" t="inlineStr">
        <is>
          <t>Capture a Scarlet Nexifera through Conservation in the Cambion Drift.</t>
        </is>
      </c>
      <c r="N1028" t="inlineStr">
        <is>
          <t>Conservation</t>
        </is>
      </c>
      <c r="O1028" t="inlineStr">
        <is>
          <t>Saved a concrete acquisition place from the official Warframe Wiki.</t>
        </is>
      </c>
    </row>
    <row r="1029">
      <c r="A1029" t="inlineStr">
        <is>
          <t>/Lotus/Types/Recipes/WarframeRecipes/ChromaBeaconAComponent</t>
        </is>
      </c>
      <c r="B1029" t="inlineStr">
        <is>
          <t>SCORCHED BEACON</t>
        </is>
      </c>
      <c r="C1029" t="inlineStr">
        <is>
          <t>https://wiki.warframe.com/w/The_New_Strange</t>
        </is>
      </c>
      <c r="D1029" t="inlineStr">
        <is>
          <t>ExportResources</t>
        </is>
      </c>
      <c r="G1029" t="inlineStr">
        <is>
          <t>The New Strange/Scorched Beacon</t>
        </is>
      </c>
      <c r="H1029" t="inlineStr">
        <is>
          <t>Solved: current place verified and archived 2026-10-16.</t>
        </is>
      </c>
      <c r="I1029" t="inlineStr">
        <is>
          <t>Resources</t>
        </is>
      </c>
      <c r="J1029" t="inlineStr">
        <is>
          <t>Resources_data</t>
        </is>
      </c>
      <c r="K1029" t="inlineStr">
        <is>
          <t>Resources/data</t>
        </is>
      </c>
      <c r="L1029" t="inlineStr">
        <is>
          <t>listed, no place</t>
        </is>
      </c>
      <c r="M1029" t="inlineStr">
        <is>
          <t>Blueprint from Cephalon Simaris after synthesizing the three targets in The New Strange quest.</t>
        </is>
      </c>
      <c r="N1029" t="inlineStr">
        <is>
          <t>The New Strange</t>
        </is>
      </c>
      <c r="O1029" t="inlineStr">
        <is>
          <t>Saved a concrete acquisition place from the official Warframe Wiki.</t>
        </is>
      </c>
    </row>
    <row r="1030">
      <c r="A1030" t="inlineStr">
        <is>
          <t>/Lotus/Types/Items/ShipFeatureItems/Railjack/RailjackNacelleRightFeatureItem</t>
        </is>
      </c>
      <c r="B1030" t="inlineStr">
        <is>
          <t>STARBOARD NACELLE</t>
        </is>
      </c>
      <c r="C1030" t="inlineStr">
        <is>
          <t>https://wiki.warframe.com/w/Rising_Tide/Transcript | https://wiki.warframe.com/w/Rising_Tide | https://wiki.warframe.com/w/Control_Module</t>
        </is>
      </c>
      <c r="D1030" t="inlineStr">
        <is>
          <t>ExportResources</t>
        </is>
      </c>
      <c r="F1030" t="inlineStr">
        <is>
          <t>STARBOARD NACELLE</t>
        </is>
      </c>
      <c r="H1030" t="inlineStr">
        <is>
          <t>Solved: current place verified and archived 2026-10-16.</t>
        </is>
      </c>
      <c r="I1030" t="inlineStr">
        <is>
          <t>Resources</t>
        </is>
      </c>
      <c r="M1030" t="inlineStr">
        <is>
          <t>Recover it on Tessera, Venus during the Rising Tide quest, then repair it in the Dry Dock.</t>
        </is>
      </c>
      <c r="N1030" t="inlineStr">
        <is>
          <t>Rising Tide</t>
        </is>
      </c>
      <c r="O1030" t="inlineStr">
        <is>
          <t>Saved a concrete acquisition place from the official Warframe Wiki. Rising Tide page lists the recovery mission and Dry Dock repair.</t>
        </is>
      </c>
    </row>
    <row r="1031">
      <c r="A1031" t="inlineStr">
        <is>
          <t>/Lotus/Types/Items/ShipDecos/MummyQuestVessel</t>
        </is>
      </c>
      <c r="B1031" t="inlineStr">
        <is>
          <t>Sacred Vessel</t>
        </is>
      </c>
      <c r="C1031" t="inlineStr">
        <is>
          <t>https://wiki.warframe.com/w/Sands_of_Inaros | https://wiki.warframe.com/w/Sands_of_Inaros/Transcript | https://wiki.warframe.com/w/Our_Disease | https://wiki.warframe.com/w/Tomb_Protector | https://wiki.warframe.com/w/Tomb_Guardian</t>
        </is>
      </c>
      <c r="D1031" t="inlineStr">
        <is>
          <t>ExportResources</t>
        </is>
      </c>
      <c r="F1031" t="inlineStr">
        <is>
          <t>Sacred Vessel</t>
        </is>
      </c>
      <c r="H1031" t="inlineStr">
        <is>
          <t>Solved: current place verified and archived 2026-10-16.</t>
        </is>
      </c>
      <c r="I1031" t="inlineStr">
        <is>
          <t>Resources</t>
        </is>
      </c>
      <c r="M1031" t="inlineStr">
        <is>
          <t>Reward for completing the Sands of Inaros quest.</t>
        </is>
      </c>
      <c r="N1031" t="inlineStr">
        <is>
          <t>Decorations/Orbiter Decorations</t>
        </is>
      </c>
      <c r="O1031" t="inlineStr">
        <is>
          <t>Saved a concrete acquisition place from the official Warframe Wiki. Orbiter Decorations Miscellaneous section.</t>
        </is>
      </c>
    </row>
    <row r="1032">
      <c r="A1032" t="inlineStr">
        <is>
          <t>/Lotus/Types/Items/ShipDecos/ResourceDecoItemSalvage</t>
        </is>
      </c>
      <c r="B1032" t="inlineStr">
        <is>
          <t>Salvage Decoration</t>
        </is>
      </c>
      <c r="C1032" t="inlineStr">
        <is>
          <t>https://wiki.warframe.com/w/Market/Equipment</t>
        </is>
      </c>
      <c r="D1032" t="inlineStr">
        <is>
          <t>ExportResources</t>
        </is>
      </c>
      <c r="F1032" t="inlineStr">
        <is>
          <t>Salvage Decoration</t>
        </is>
      </c>
      <c r="H1032" t="inlineStr">
        <is>
          <t>Solved: current place verified and archived 2026-10-16.</t>
        </is>
      </c>
      <c r="I1032" t="inlineStr">
        <is>
          <t>Resources</t>
        </is>
      </c>
      <c r="M1032" t="inlineStr">
        <is>
          <t>In-game Market for 5 Platinum.</t>
        </is>
      </c>
      <c r="N1032" t="inlineStr">
        <is>
          <t>Market/Equipment</t>
        </is>
      </c>
      <c r="O1032" t="inlineStr">
        <is>
          <t>Saved a concrete acquisition place from the official Warframe Wiki. Market/Equipment lists it with a Platinum price.</t>
        </is>
      </c>
    </row>
    <row r="1033">
      <c r="A1033" t="inlineStr">
        <is>
          <t>/Lotus/Types/Items/ShipDecos/LoidPortrait</t>
        </is>
      </c>
      <c r="B1033" t="inlineStr">
        <is>
          <t>Sanctum Loid Display</t>
        </is>
      </c>
      <c r="C1033" t="inlineStr">
        <is>
          <t>https://wiki.warframe.com/w/Decorations/Orbiter_Decorations</t>
        </is>
      </c>
      <c r="D1033" t="inlineStr">
        <is>
          <t>ExportResources</t>
        </is>
      </c>
      <c r="F1033" t="inlineStr">
        <is>
          <t>Sanctum Loid Display</t>
        </is>
      </c>
      <c r="H1033" t="inlineStr">
        <is>
          <t>Solved: current place verified and archived 2026-10-16.</t>
        </is>
      </c>
      <c r="I1033" t="inlineStr">
        <is>
          <t>Resources</t>
        </is>
      </c>
      <c r="M1033" t="inlineStr">
        <is>
          <t>Obtained from the Whispers In The Walls page on the Warframe website.</t>
        </is>
      </c>
      <c r="N1033" t="inlineStr">
        <is>
          <t>Decorations/Orbiter Decorations</t>
        </is>
      </c>
      <c r="O1033" t="inlineStr">
        <is>
          <t>Saved a concrete acquisition place from the official Warframe Wiki. Displays section.</t>
        </is>
      </c>
    </row>
    <row r="1034">
      <c r="A1034" t="inlineStr">
        <is>
          <t>/Lotus/Types/Items/ShipDecos/Nightwave1999EleanorCharacterSheetPoster</t>
        </is>
      </c>
      <c r="B1034" t="inlineStr">
        <is>
          <t>Sanguina Kallisti Character Sheet Poster</t>
        </is>
      </c>
      <c r="C1034" t="inlineStr">
        <is>
          <t>https://wiki.warframe.com/w/Fables_%26_Frontiers | https://wiki.warframe.com/w/Amir</t>
        </is>
      </c>
      <c r="D1034" t="inlineStr">
        <is>
          <t>ExportResources</t>
        </is>
      </c>
      <c r="F1034" t="inlineStr">
        <is>
          <t>Sanguina Kallisti Character Sheet Poster</t>
        </is>
      </c>
      <c r="H1034" t="inlineStr">
        <is>
          <t>Solved: current place verified and archived 2026-10-16.</t>
        </is>
      </c>
      <c r="I1034" t="inlineStr">
        <is>
          <t>Resources</t>
        </is>
      </c>
      <c r="M1034" t="inlineStr">
        <is>
          <t>Purchase from Amir for 5,000 Standing.</t>
        </is>
      </c>
      <c r="N1034" t="inlineStr">
        <is>
          <t>Fables &amp; Frontiers | Amir</t>
        </is>
      </c>
      <c r="O1034" t="inlineStr">
        <is>
          <t>We copied where it comes from off the wiki page. See place from wiki page.</t>
        </is>
      </c>
    </row>
    <row r="1035">
      <c r="A1035" t="inlineStr">
        <is>
          <t>/Lotus/Types/Items/ShipDecos/Nightwave1999FFEleanorPoster</t>
        </is>
      </c>
      <c r="B1035" t="inlineStr">
        <is>
          <t>Sanguina Kallisti Poster</t>
        </is>
      </c>
      <c r="C1035" t="inlineStr">
        <is>
          <t>https://wiki.warframe.com/w/Fables_%26_Frontiers | https://wiki.warframe.com/w/Amir</t>
        </is>
      </c>
      <c r="D1035" t="inlineStr">
        <is>
          <t>ExportResources</t>
        </is>
      </c>
      <c r="F1035" t="inlineStr">
        <is>
          <t>Sanguina Kallisti Poster</t>
        </is>
      </c>
      <c r="H1035" t="inlineStr">
        <is>
          <t>Solved: current place verified and archived 2026-10-16.</t>
        </is>
      </c>
      <c r="I1035" t="inlineStr">
        <is>
          <t>Resources</t>
        </is>
      </c>
      <c r="M1035" t="inlineStr">
        <is>
          <t>Purchase from Amir for 5,000 Standing.</t>
        </is>
      </c>
      <c r="N1035" t="inlineStr">
        <is>
          <t>Fables &amp; Frontiers | Amir</t>
        </is>
      </c>
      <c r="O1035" t="inlineStr">
        <is>
          <t>We copied where it comes from off the wiki page. See place from wiki page.</t>
        </is>
      </c>
    </row>
    <row r="1036">
      <c r="A1036" t="inlineStr">
        <is>
          <t>/Lotus/Types/Recipes/Weapons/WeaponParts/SarofangPrimeBlade</t>
        </is>
      </c>
      <c r="B1036" t="inlineStr">
        <is>
          <t>Sarofang Prime Blade</t>
        </is>
      </c>
      <c r="C1036" t="inlineStr">
        <is>
          <t>https://wiki.warframe.com/w/Lith_S19 | https://wiki.warframe.com/w/Axi_S20 | https://wiki.warframe.com/w/Void_Relic/ByRarity | https://wiki.warframe.com/w/Void_Relic/ByRelic | https://wiki.warframe.com/w/Void_Relic/ByRarity/Lith</t>
        </is>
      </c>
      <c r="D1036" t="inlineStr">
        <is>
          <t>ExportResources</t>
        </is>
      </c>
      <c r="F1036" t="inlineStr">
        <is>
          <t>Sarofang Prime Blade</t>
        </is>
      </c>
      <c r="H1036" t="inlineStr">
        <is>
          <t>Solved: current place verified and archived 2026-10-16.</t>
        </is>
      </c>
      <c r="I1036" t="inlineStr">
        <is>
          <t>Resources</t>
        </is>
      </c>
      <c r="J1036" t="inlineStr">
        <is>
          <t>Axi S20 Relic (Rare) | Lith S19 Relic (Rare)</t>
        </is>
      </c>
      <c r="K1036" t="inlineStr">
        <is>
          <t>Void/data</t>
        </is>
      </c>
      <c r="L1036" t="inlineStr">
        <is>
          <t>name</t>
        </is>
      </c>
      <c r="M1036" t="inlineStr">
        <is>
          <t>Lith S19 relic drop.</t>
        </is>
      </c>
      <c r="N1036" t="inlineStr">
        <is>
          <t>Lith S19 | Axi S20</t>
        </is>
      </c>
      <c r="O1036" t="inlineStr">
        <is>
          <t>Saved a concrete acquisition place from the official Warframe Wiki. Relic pages list this part in their reward table.</t>
        </is>
      </c>
    </row>
    <row r="1037">
      <c r="A1037" t="inlineStr">
        <is>
          <t>/Lotus/Types/Recipes/Weapons/WeaponParts/SarofangPrimeHandle</t>
        </is>
      </c>
      <c r="B1037" t="inlineStr">
        <is>
          <t>Sarofang Prime Handle</t>
        </is>
      </c>
      <c r="C1037" t="inlineStr">
        <is>
          <t>https://wiki.warframe.com/w/Neo_V13 | https://wiki.warframe.com/w/Meso_A12 | https://wiki.warframe.com/w/Neo_S20 | https://wiki.warframe.com/w/Void_Relic/ByRelic | https://wiki.warframe.com/w/Void_Relic/ByRarity</t>
        </is>
      </c>
      <c r="D1037" t="inlineStr">
        <is>
          <t>ExportResources</t>
        </is>
      </c>
      <c r="F1037" t="inlineStr">
        <is>
          <t>Sarofang Prime Handle</t>
        </is>
      </c>
      <c r="H1037" t="inlineStr">
        <is>
          <t>Solved: current place verified and archived 2026-10-16.</t>
        </is>
      </c>
      <c r="I1037" t="inlineStr">
        <is>
          <t>Resources</t>
        </is>
      </c>
      <c r="J1037" t="inlineStr">
        <is>
          <t>Meso A12 Relic (Common) | Neo S20 Relic (Common) | Neo V13 Relic (Common)</t>
        </is>
      </c>
      <c r="K1037" t="inlineStr">
        <is>
          <t>Void/data</t>
        </is>
      </c>
      <c r="L1037" t="inlineStr">
        <is>
          <t>name</t>
        </is>
      </c>
      <c r="M1037" t="inlineStr">
        <is>
          <t>Neo V13 and Meso A12 relic drops.</t>
        </is>
      </c>
      <c r="N1037" t="inlineStr">
        <is>
          <t>Neo V13 | Meso A12 | Neo S20</t>
        </is>
      </c>
      <c r="O1037" t="inlineStr">
        <is>
          <t>Saved a concrete acquisition place from the official Warframe Wiki. Relic pages list this part in their reward table.</t>
        </is>
      </c>
    </row>
    <row r="1038">
      <c r="A1038" t="inlineStr">
        <is>
          <t>/Lotus/Types/Items/ShipDecos/NoraWolfOrnament</t>
        </is>
      </c>
      <c r="B1038" t="inlineStr">
        <is>
          <t>Saturn Six Ornament</t>
        </is>
      </c>
      <c r="C1038" t="inlineStr">
        <is>
          <t>https://wiki.warframe.com/w/Nightwave/Offerings</t>
        </is>
      </c>
      <c r="D1038" t="inlineStr">
        <is>
          <t>ExportResources</t>
        </is>
      </c>
      <c r="F1038" t="inlineStr">
        <is>
          <t>Saturn Six Ornament</t>
        </is>
      </c>
      <c r="H1038" t="inlineStr">
        <is>
          <t>Solved: current place verified and archived 2026-10-16.</t>
        </is>
      </c>
      <c r="I1038" t="inlineStr">
        <is>
          <t>Resources</t>
        </is>
      </c>
      <c r="M1038" t="inlineStr">
        <is>
          <t>Purchase from Nightwave Offerings for 40 Nightwave Creds.</t>
        </is>
      </c>
      <c r="N1038" t="inlineStr">
        <is>
          <t>Nightwave/Offerings</t>
        </is>
      </c>
      <c r="O1038" t="inlineStr">
        <is>
          <t>We copied where it comes from off the wiki page. See place from wiki page.</t>
        </is>
      </c>
    </row>
    <row r="1039">
      <c r="A1039" t="inlineStr">
        <is>
          <t>/Lotus/Types/Items/MiscItems/PhotoboothTileWolfSixPrison</t>
        </is>
      </c>
      <c r="B1039" t="inlineStr">
        <is>
          <t>Saturn Six Scene</t>
        </is>
      </c>
      <c r="C1039" t="inlineStr">
        <is>
          <t>https://wiki.warframe.com/w/Nightwave/Offerings | https://wiki.warframe.com/w/Nightwave/Nora's_Choice</t>
        </is>
      </c>
      <c r="D1039" t="inlineStr">
        <is>
          <t>ExportResources</t>
        </is>
      </c>
      <c r="F1039" t="inlineStr">
        <is>
          <t>Saturn Six Scene</t>
        </is>
      </c>
      <c r="H1039" t="inlineStr">
        <is>
          <t>Solved: current place verified and archived 2026-10-16.</t>
        </is>
      </c>
      <c r="I1039" t="inlineStr">
        <is>
          <t>Resources</t>
        </is>
      </c>
      <c r="M1039" t="inlineStr">
        <is>
          <t>Purchase from Nightwave Offerings for 45 Nightwave Creds.</t>
        </is>
      </c>
      <c r="N1039" t="inlineStr">
        <is>
          <t>Nightwave/Offerings | Nightwave/Nora's Choice</t>
        </is>
      </c>
      <c r="O1039" t="inlineStr">
        <is>
          <t>We copied where it comes from off the wiki page. See place from wiki page.</t>
        </is>
      </c>
    </row>
    <row r="1040">
      <c r="A1040" t="inlineStr">
        <is>
          <t>/Lotus/Types/Items/Events/OperationsCredits</t>
        </is>
      </c>
      <c r="B1040" t="inlineStr">
        <is>
          <t>Scarlet Credits</t>
        </is>
      </c>
      <c r="C1040" t="inlineStr">
        <is>
          <t>https://wiki.warframe.com/w/Operation:_Scarlet_Spear</t>
        </is>
      </c>
      <c r="D1040" t="inlineStr">
        <is>
          <t>ExportResources</t>
        </is>
      </c>
      <c r="G1040" t="inlineStr">
        <is>
          <t>Operation: Scarlet Spear</t>
        </is>
      </c>
      <c r="H1040" t="inlineStr">
        <is>
          <t>Solved: current place verified and archived 2026-10-16.</t>
        </is>
      </c>
      <c r="I1040" t="inlineStr">
        <is>
          <t>Resources</t>
        </is>
      </c>
      <c r="J1040" t="inlineStr">
        <is>
          <t>DropTables_data, Enemies_data, Enemies_data_pre-U36, Enemies_data_pre_U36, Enemies_data_sentient, Missions_data, Resources_data, Vendors_data, Version_data, drop_reverse_index_v2</t>
        </is>
      </c>
      <c r="K1040" t="inlineStr">
        <is>
          <t>Resources/data</t>
        </is>
      </c>
      <c r="L1040" t="inlineStr">
        <is>
          <t>listed, no place</t>
        </is>
      </c>
      <c r="M1040" t="inlineStr">
        <is>
          <t>Not currently obtainable.</t>
        </is>
      </c>
      <c r="N1040" t="inlineStr">
        <is>
          <t>Operation: Scarlet Spear</t>
        </is>
      </c>
      <c r="O1040" t="inlineStr">
        <is>
          <t>Saved a concrete acquisition place from the official Warframe Wiki.</t>
        </is>
      </c>
    </row>
    <row r="1041">
      <c r="A1041" t="inlineStr">
        <is>
          <t>/Lotus/Types/Items/MiscItems/PhotoboothTileDuviriScholarsLandingMITW</t>
        </is>
      </c>
      <c r="B1041" t="inlineStr">
        <is>
          <t>Scholar's Landing Scene</t>
        </is>
      </c>
      <c r="C1041" t="inlineStr">
        <is>
          <t>https://wiki.warframe.com/w/Scuttler_Husk | https://wiki.warframe.com/w/Acrithis | https://wiki.warframe.com/w/Captura</t>
        </is>
      </c>
      <c r="D1041" t="inlineStr">
        <is>
          <t>ExportResources</t>
        </is>
      </c>
      <c r="F1041" t="inlineStr">
        <is>
          <t>Scholar's Landing Scene</t>
        </is>
      </c>
      <c r="H1041" t="inlineStr">
        <is>
          <t>Solved: current place verified and archived 2026-10-16.</t>
        </is>
      </c>
      <c r="I1041" t="inlineStr">
        <is>
          <t>Resources</t>
        </is>
      </c>
      <c r="M1041" t="inlineStr">
        <is>
          <t>Purchase from Acrithis for 25 Scuttler Husks.</t>
        </is>
      </c>
      <c r="N1041" t="inlineStr">
        <is>
          <t>Scuttler Husk | Acrithis | Captura</t>
        </is>
      </c>
      <c r="O1041" t="inlineStr">
        <is>
          <t>We copied where it comes from off the wiki page. See place from wiki page.</t>
        </is>
      </c>
    </row>
    <row r="1042">
      <c r="A1042" t="inlineStr">
        <is>
          <t>/Lotus/Types/Recipes/LandingCraftRecipes/BlueSky/BlueSkyAvionicsComponent</t>
        </is>
      </c>
      <c r="B1042" t="inlineStr">
        <is>
          <t>Scimitar Avionics</t>
        </is>
      </c>
      <c r="C1042" t="inlineStr">
        <is>
          <t>https://wiki.warframe.com/w/Zanuka_Hunter | https://wiki.warframe.com/w/Control_Module | https://wiki.warframe.com/w/Nano_Spores | https://wiki.warframe.com/w/Plastids</t>
        </is>
      </c>
      <c r="D1042" t="inlineStr">
        <is>
          <t>ExportResources</t>
        </is>
      </c>
      <c r="F1042" t="inlineStr">
        <is>
          <t>Scimitar Avionics</t>
        </is>
      </c>
      <c r="H1042" t="inlineStr">
        <is>
          <t>Solved: current place verified and archived 2026-10-16.</t>
        </is>
      </c>
      <c r="I1042" t="inlineStr">
        <is>
          <t>Resources</t>
        </is>
      </c>
      <c r="L1042" t="inlineStr">
        <is>
          <t>DropTables_JSON_slim, DropTables_data, drop_reverse_index_v2</t>
        </is>
      </c>
      <c r="M1042" t="inlineStr">
        <is>
          <t>Blueprint drops from Zanuka Hunter.</t>
        </is>
      </c>
      <c r="N1042" t="inlineStr">
        <is>
          <t>Scimitar</t>
        </is>
      </c>
      <c r="O1042" t="inlineStr">
        <is>
          <t>Saved a concrete acquisition place from the official Warframe Wiki. Scimitar page Acquisition.</t>
        </is>
      </c>
    </row>
    <row r="1043">
      <c r="A1043" t="inlineStr">
        <is>
          <t>/Lotus/Types/Recipes/LandingCraftRecipes/BlueSky/BlueSkyEnginesComponent</t>
        </is>
      </c>
      <c r="B1043" t="inlineStr">
        <is>
          <t>Scimitar Engines</t>
        </is>
      </c>
      <c r="C1043" t="inlineStr">
        <is>
          <t>https://wiki.warframe.com/w/Scimitar | https://wiki.warframe.com/w/Shadow_Stalker | https://wiki.warframe.com/w/Stalker | https://wiki.warframe.com/w/Rubedo</t>
        </is>
      </c>
      <c r="D1043" t="inlineStr">
        <is>
          <t>ExportResources</t>
        </is>
      </c>
      <c r="F1043" t="inlineStr">
        <is>
          <t>Scimitar Engines</t>
        </is>
      </c>
      <c r="H1043" t="inlineStr">
        <is>
          <t>Solved: current place verified and archived 2026-10-16.</t>
        </is>
      </c>
      <c r="I1043" t="inlineStr">
        <is>
          <t>Resources</t>
        </is>
      </c>
      <c r="L1043" t="inlineStr">
        <is>
          <t>DropTables_JSON_slim, DropTables_data, drop_reverse_index_v2</t>
        </is>
      </c>
      <c r="M1043" t="inlineStr">
        <is>
          <t>Blueprint drops from Stalker and Shadow Stalker.</t>
        </is>
      </c>
      <c r="N1043" t="inlineStr">
        <is>
          <t>Scimitar</t>
        </is>
      </c>
      <c r="O1043" t="inlineStr">
        <is>
          <t>Saved a concrete acquisition place from the official Warframe Wiki. Scimitar page Acquisition.</t>
        </is>
      </c>
    </row>
    <row r="1044">
      <c r="A1044" t="inlineStr">
        <is>
          <t>/Lotus/Types/Recipes/LandingCraftRecipes/BlueSky/BlueSkyFuselageComponent</t>
        </is>
      </c>
      <c r="B1044" t="inlineStr">
        <is>
          <t>Scimitar Fuselage</t>
        </is>
      </c>
      <c r="C1044" t="inlineStr">
        <is>
          <t>https://wiki.warframe.com/w/Circuits | https://wiki.warframe.com/w/Cryotic | https://wiki.warframe.com/w/Ferrite</t>
        </is>
      </c>
      <c r="D1044" t="inlineStr">
        <is>
          <t>ExportResources</t>
        </is>
      </c>
      <c r="F1044" t="inlineStr">
        <is>
          <t>Scimitar Fuselage</t>
        </is>
      </c>
      <c r="H1044" t="inlineStr">
        <is>
          <t>Solved: current place verified and archived 2026-10-16.</t>
        </is>
      </c>
      <c r="I1044" t="inlineStr">
        <is>
          <t>Resources</t>
        </is>
      </c>
      <c r="L1044" t="inlineStr">
        <is>
          <t>DropTables_JSON_slim, DropTables_data, drop_reverse_index_v2</t>
        </is>
      </c>
      <c r="M1044" t="inlineStr">
        <is>
          <t>Blueprint drops from the Grustrag Three.</t>
        </is>
      </c>
      <c r="N1044" t="inlineStr">
        <is>
          <t>Scimitar</t>
        </is>
      </c>
      <c r="O1044" t="inlineStr">
        <is>
          <t>Saved a concrete acquisition place from the official Warframe Wiki. Scimitar page Acquisition.</t>
        </is>
      </c>
    </row>
    <row r="1045">
      <c r="A1045" t="inlineStr">
        <is>
          <t>/Lotus/Types/Items/PhotoBooth/JadeShadows/PhotoboothTileJS2AshShipInterior</t>
        </is>
      </c>
      <c r="B1045" t="inlineStr">
        <is>
          <t>Scoria's Angel Scene</t>
        </is>
      </c>
      <c r="C1045" t="inlineStr">
        <is>
          <t>https://wiki.warframe.com/w/Pontis_Tower | https://wiki.warframe.com/w/Emerald_Talent | https://wiki.warframe.com/w/Hunhow</t>
        </is>
      </c>
      <c r="D1045" t="inlineStr">
        <is>
          <t>ExportResources</t>
        </is>
      </c>
      <c r="F1045" t="inlineStr">
        <is>
          <t>Scoria's Angel Scene</t>
        </is>
      </c>
      <c r="H1045" t="inlineStr">
        <is>
          <t>Solved: current place verified and archived 2026-10-16.</t>
        </is>
      </c>
      <c r="I1045" t="inlineStr">
        <is>
          <t>Resources</t>
        </is>
      </c>
      <c r="M1045" t="inlineStr">
        <is>
          <t>Purchase from Hunhow's Keepsakes in Pontis Tower for 50 Emerald Talents.</t>
        </is>
      </c>
      <c r="N1045" t="inlineStr">
        <is>
          <t>Pontis Tower | Emerald Talent | Hunhow</t>
        </is>
      </c>
      <c r="O1045" t="inlineStr">
        <is>
          <t>We copied where it comes from off the wiki page. See place from wiki page.</t>
        </is>
      </c>
    </row>
    <row r="1046">
      <c r="A1046" t="inlineStr">
        <is>
          <t>/Lotus/Types/Items/ShipDecos/LisetPropCleaningDroneOraxiaSpider</t>
        </is>
      </c>
      <c r="B1046" t="inlineStr">
        <is>
          <t>Scuttler</t>
        </is>
      </c>
      <c r="C1046" t="inlineStr">
        <is>
          <t>https://wiki.warframe.com/w/Isleweaver | https://wiki.warframe.com/w/Scuttler_Husk | https://wiki.warframe.com/w/Operation:_Eight_Claw</t>
        </is>
      </c>
      <c r="D1046" t="inlineStr">
        <is>
          <t>ExportResources</t>
        </is>
      </c>
      <c r="F1046" t="inlineStr">
        <is>
          <t>Scuttler</t>
        </is>
      </c>
      <c r="H1046" t="inlineStr">
        <is>
          <t>Solved: current place verified and archived 2026-10-16.</t>
        </is>
      </c>
      <c r="I1046" t="inlineStr">
        <is>
          <t>Resources</t>
        </is>
      </c>
      <c r="J1046" t="inlineStr">
        <is>
          <t>Enemies_data, Enemies_data_themurmur</t>
        </is>
      </c>
      <c r="K1046" t="inlineStr">
        <is>
          <t>name or path</t>
        </is>
      </c>
      <c r="M1046" t="inlineStr">
        <is>
          <t>Earned for defeating The Fragmented at the end of the Isleweaver Spiral.</t>
        </is>
      </c>
      <c r="N1046" t="inlineStr">
        <is>
          <t>Isleweaver | Scuttler Husk | Operation: Eight Claw | Update 39</t>
        </is>
      </c>
      <c r="O1046" t="inlineStr">
        <is>
          <t>We copied where it comes from off the wiki page. See place from wiki page.</t>
        </is>
      </c>
    </row>
    <row r="1047">
      <c r="A1047" t="inlineStr">
        <is>
          <t>/Lotus/Types/Items/PhotoBooth/PhotoboothTileSentientIntReverence</t>
        </is>
      </c>
      <c r="B1047" t="inlineStr">
        <is>
          <t>Sentient Altar Scene</t>
        </is>
      </c>
      <c r="C1047" t="inlineStr">
        <is>
          <t>https://wiki.warframe.com/w/Little_Duck | https://wiki.warframe.com/w/Anomaly_Shard | https://wiki.warframe.com/w/Captura</t>
        </is>
      </c>
      <c r="D1047" t="inlineStr">
        <is>
          <t>ExportResources</t>
        </is>
      </c>
      <c r="F1047" t="inlineStr">
        <is>
          <t>Sentient Altar Scene</t>
        </is>
      </c>
      <c r="H1047" t="inlineStr">
        <is>
          <t>Solved: current place verified and archived 2026-10-16.</t>
        </is>
      </c>
      <c r="I1047" t="inlineStr">
        <is>
          <t>Resources</t>
        </is>
      </c>
      <c r="M1047" t="inlineStr">
        <is>
          <t>Purchase from Little Duck's Exotic Goods in Fortuna for 10 Anomaly Shards (requires The War Within and Rising Tide).</t>
        </is>
      </c>
      <c r="N1047" t="inlineStr">
        <is>
          <t>Little Duck | Anomaly Shard | Captura</t>
        </is>
      </c>
      <c r="O1047" t="inlineStr">
        <is>
          <t>We copied where it comes from off the wiki page. See place from wiki page.</t>
        </is>
      </c>
    </row>
    <row r="1048">
      <c r="A1048" t="inlineStr">
        <is>
          <t>/Lotus/Types/Items/PhotoBooth/PhotoboothTileSentientConTallJunctionOne</t>
        </is>
      </c>
      <c r="B1048" t="inlineStr">
        <is>
          <t>Sentient Balcony Scene</t>
        </is>
      </c>
      <c r="C1048" t="inlineStr">
        <is>
          <t>https://wiki.warframe.com/w/Little_Duck | https://wiki.warframe.com/w/Anomaly_Shard | https://wiki.warframe.com/w/Captura</t>
        </is>
      </c>
      <c r="D1048" t="inlineStr">
        <is>
          <t>ExportResources</t>
        </is>
      </c>
      <c r="F1048" t="inlineStr">
        <is>
          <t>Sentient Balcony Scene</t>
        </is>
      </c>
      <c r="H1048" t="inlineStr">
        <is>
          <t>Solved: current place verified and archived 2026-10-16.</t>
        </is>
      </c>
      <c r="I1048" t="inlineStr">
        <is>
          <t>Resources</t>
        </is>
      </c>
      <c r="M1048" t="inlineStr">
        <is>
          <t>Purchase from Little Duck's Exotic Goods in Fortuna for 10 Anomaly Shards (requires The War Within and Rising Tide).</t>
        </is>
      </c>
      <c r="N1048" t="inlineStr">
        <is>
          <t>Little Duck | Anomaly Shard | Captura</t>
        </is>
      </c>
      <c r="O1048" t="inlineStr">
        <is>
          <t>We copied where it comes from off the wiki page. See place from wiki page.</t>
        </is>
      </c>
    </row>
    <row r="1049">
      <c r="A1049" t="inlineStr">
        <is>
          <t>/Lotus/Types/Items/PhotoBooth/PhotoboothTileSentientIntCaveDescent</t>
        </is>
      </c>
      <c r="B1049" t="inlineStr">
        <is>
          <t>Sentient Basin Scene</t>
        </is>
      </c>
      <c r="C1049" t="inlineStr">
        <is>
          <t>https://wiki.warframe.com/w/Little_Duck | https://wiki.warframe.com/w/Anomaly_Shard | https://wiki.warframe.com/w/Captura</t>
        </is>
      </c>
      <c r="D1049" t="inlineStr">
        <is>
          <t>ExportResources</t>
        </is>
      </c>
      <c r="F1049" t="inlineStr">
        <is>
          <t>Sentient Basin Scene</t>
        </is>
      </c>
      <c r="H1049" t="inlineStr">
        <is>
          <t>Solved: current place verified and archived 2026-10-16.</t>
        </is>
      </c>
      <c r="I1049" t="inlineStr">
        <is>
          <t>Resources</t>
        </is>
      </c>
      <c r="M1049" t="inlineStr">
        <is>
          <t>Purchase from Little Duck's Exotic Goods in Fortuna for 10 Anomaly Shards (requires The War Within and Rising Tide).</t>
        </is>
      </c>
      <c r="N1049" t="inlineStr">
        <is>
          <t>Little Duck | Anomaly Shard | Captura</t>
        </is>
      </c>
      <c r="O1049" t="inlineStr">
        <is>
          <t>We copied where it comes from off the wiki page. See place from wiki page.</t>
        </is>
      </c>
    </row>
    <row r="1050">
      <c r="A1050" t="inlineStr">
        <is>
          <t>/Lotus/Types/Items/ShipDecos/Tau/LisetPropSTMxSntTrooperEffigyB</t>
        </is>
      </c>
      <c r="B1050" t="inlineStr">
        <is>
          <t>Sentient Bone Effigy (Large)</t>
        </is>
      </c>
      <c r="C1050" t="inlineStr">
        <is>
          <t>https://wiki.warframe.com/w/Lyon</t>
        </is>
      </c>
      <c r="D1050" t="inlineStr">
        <is>
          <t>ExportResources</t>
        </is>
      </c>
      <c r="F1050" t="inlineStr">
        <is>
          <t>Sentient Bone Effigy (Large)</t>
        </is>
      </c>
      <c r="H1050" t="inlineStr">
        <is>
          <t>Solved: current place verified and archived 2026-10-16.</t>
        </is>
      </c>
      <c r="I1050" t="inlineStr">
        <is>
          <t>Resources</t>
        </is>
      </c>
      <c r="M1050" t="inlineStr">
        <is>
          <t>Purchase from Lyon's daily offerings (5 random decorations); costs 300-450 Agnovidisc, 120-360 Laudavi or 50-150 Servoris.</t>
        </is>
      </c>
      <c r="N1050" t="inlineStr">
        <is>
          <t>Lyon</t>
        </is>
      </c>
      <c r="O1050" t="inlineStr">
        <is>
          <t>Saved a concrete acquisition place from the official Warframe Wiki. Lyon page lists it in Offerings.</t>
        </is>
      </c>
    </row>
    <row r="1051">
      <c r="A1051" t="inlineStr">
        <is>
          <t>/Lotus/Types/Items/ShipDecos/Tau/LisetPropSTMxSntTrooperEffigyA</t>
        </is>
      </c>
      <c r="B1051" t="inlineStr">
        <is>
          <t>Sentient Bone Effigy (Medium)</t>
        </is>
      </c>
      <c r="C1051" t="inlineStr">
        <is>
          <t>https://wiki.warframe.com/w/Lyon</t>
        </is>
      </c>
      <c r="D1051" t="inlineStr">
        <is>
          <t>ExportResources</t>
        </is>
      </c>
      <c r="F1051" t="inlineStr">
        <is>
          <t>Sentient Bone Effigy (Medium)</t>
        </is>
      </c>
      <c r="H1051" t="inlineStr">
        <is>
          <t>Solved: current place verified and archived 2026-10-16.</t>
        </is>
      </c>
      <c r="I1051" t="inlineStr">
        <is>
          <t>Resources</t>
        </is>
      </c>
      <c r="M1051" t="inlineStr">
        <is>
          <t>Purchase from Lyon's daily offerings (5 random decorations); costs 300-450 Agnovidisc, 120-360 Laudavi or 50-150 Servoris.</t>
        </is>
      </c>
      <c r="N1051" t="inlineStr">
        <is>
          <t>Lyon</t>
        </is>
      </c>
      <c r="O1051" t="inlineStr">
        <is>
          <t>Saved a concrete acquisition place from the official Warframe Wiki. Lyon page lists it in Offerings.</t>
        </is>
      </c>
    </row>
    <row r="1052">
      <c r="A1052" t="inlineStr">
        <is>
          <t>/Lotus/Types/Items/PhotoBooth/PhotoboothTileSentientIntDescent</t>
        </is>
      </c>
      <c r="B1052" t="inlineStr">
        <is>
          <t>Sentient Concourse Scene</t>
        </is>
      </c>
      <c r="C1052" t="inlineStr">
        <is>
          <t>https://wiki.warframe.com/w/Little_Duck | https://wiki.warframe.com/w/Anomaly_Shard | https://wiki.warframe.com/w/Captura</t>
        </is>
      </c>
      <c r="D1052" t="inlineStr">
        <is>
          <t>ExportResources</t>
        </is>
      </c>
      <c r="F1052" t="inlineStr">
        <is>
          <t>Sentient Concourse Scene</t>
        </is>
      </c>
      <c r="H1052" t="inlineStr">
        <is>
          <t>Solved: current place verified and archived 2026-10-16.</t>
        </is>
      </c>
      <c r="I1052" t="inlineStr">
        <is>
          <t>Resources</t>
        </is>
      </c>
      <c r="M1052" t="inlineStr">
        <is>
          <t>Purchase from Little Duck's Exotic Goods in Fortuna for 10 Anomaly Shards (requires The War Within and Rising Tide).</t>
        </is>
      </c>
      <c r="N1052" t="inlineStr">
        <is>
          <t>Little Duck | Anomaly Shard | Captura</t>
        </is>
      </c>
      <c r="O1052" t="inlineStr">
        <is>
          <t>We copied where it comes from off the wiki page. See place from wiki page.</t>
        </is>
      </c>
    </row>
    <row r="1053">
      <c r="A1053" t="inlineStr">
        <is>
          <t>/Lotus/Types/Items/PhotoBooth/PhotoboothTileSentientConTransitionPlusOne</t>
        </is>
      </c>
      <c r="B1053" t="inlineStr">
        <is>
          <t>Sentient Fountain Scene</t>
        </is>
      </c>
      <c r="C1053" t="inlineStr">
        <is>
          <t>https://wiki.warframe.com/w/Little_Duck | https://wiki.warframe.com/w/Anomaly_Shard | https://wiki.warframe.com/w/Captura</t>
        </is>
      </c>
      <c r="D1053" t="inlineStr">
        <is>
          <t>ExportResources</t>
        </is>
      </c>
      <c r="F1053" t="inlineStr">
        <is>
          <t>Sentient Fountain Scene</t>
        </is>
      </c>
      <c r="H1053" t="inlineStr">
        <is>
          <t>Solved: current place verified and archived 2026-10-16.</t>
        </is>
      </c>
      <c r="I1053" t="inlineStr">
        <is>
          <t>Resources</t>
        </is>
      </c>
      <c r="M1053" t="inlineStr">
        <is>
          <t>Purchase from Little Duck's Exotic Goods in Fortuna for 10 Anomaly Shards (requires The War Within and Rising Tide).</t>
        </is>
      </c>
      <c r="N1053" t="inlineStr">
        <is>
          <t>Little Duck | Anomaly Shard | Captura</t>
        </is>
      </c>
      <c r="O1053" t="inlineStr">
        <is>
          <t>We copied where it comes from off the wiki page. See place from wiki page.</t>
        </is>
      </c>
    </row>
    <row r="1054">
      <c r="A1054" t="inlineStr">
        <is>
          <t>/Lotus/Types/Items/Deimos/AnimalTagInfestedMaggotUncommon</t>
        </is>
      </c>
      <c r="B1054" t="inlineStr">
        <is>
          <t>Septic Cryptilex Tag</t>
        </is>
      </c>
      <c r="C1054" t="inlineStr">
        <is>
          <t>https://wiki.warframe.com/w/Conservation</t>
        </is>
      </c>
      <c r="D1054" t="inlineStr">
        <is>
          <t>ExportResources</t>
        </is>
      </c>
      <c r="G1054" t="inlineStr">
        <is>
          <t>Conservation#Cryptilex</t>
        </is>
      </c>
      <c r="H1054" t="inlineStr">
        <is>
          <t>Solved: current place verified and archived 2026-10-16.</t>
        </is>
      </c>
      <c r="I1054" t="inlineStr">
        <is>
          <t>Resources</t>
        </is>
      </c>
      <c r="J1054" t="inlineStr">
        <is>
          <t>Resources_data</t>
        </is>
      </c>
      <c r="K1054" t="inlineStr">
        <is>
          <t>Resources/data</t>
        </is>
      </c>
      <c r="L1054" t="inlineStr">
        <is>
          <t>listed, no place</t>
        </is>
      </c>
      <c r="M1054" t="inlineStr">
        <is>
          <t>Capture a Septic Cryptilex through Conservation in the Cambion Drift.</t>
        </is>
      </c>
      <c r="N1054" t="inlineStr">
        <is>
          <t>Conservation</t>
        </is>
      </c>
      <c r="O1054" t="inlineStr">
        <is>
          <t>Saved a concrete acquisition place from the official Warframe Wiki.</t>
        </is>
      </c>
    </row>
    <row r="1055">
      <c r="A1055" t="inlineStr">
        <is>
          <t>/Lotus/Types/Items/SongItems/SevagothDeluxeSongItem</t>
        </is>
      </c>
      <c r="B1055" t="inlineStr">
        <is>
          <t>Sevagoth's Lullaby</t>
        </is>
      </c>
      <c r="C1055" t="inlineStr">
        <is>
          <t>https://wiki.warframe.com/w/Sevagoth_Glaukus_Collection | https://wiki.warframe.com/w/Sevagoth_Glaukus_Skin | https://wiki.warframe.com/w/Sleeping_In_The_Cold_Below</t>
        </is>
      </c>
      <c r="D1055" t="inlineStr">
        <is>
          <t>ExportResources</t>
        </is>
      </c>
      <c r="F1055" t="inlineStr">
        <is>
          <t>Sevagoth's Lullaby</t>
        </is>
      </c>
      <c r="H1055" t="inlineStr">
        <is>
          <t>Solved: current place verified and archived 2026-10-16.</t>
        </is>
      </c>
      <c r="I1055" t="inlineStr">
        <is>
          <t>Resources</t>
        </is>
      </c>
      <c r="L1055" t="inlineStr">
        <is>
          <t>Cosmetics_data, Cosmetics_data_warframeskin, ExportCustoms_ground_truth</t>
        </is>
      </c>
      <c r="M1055" t="inlineStr">
        <is>
          <t>Included in the Sevagoth Glaukus Collection (bundle only).</t>
        </is>
      </c>
      <c r="N1055" t="inlineStr">
        <is>
          <t>Sevagoth Glaukus Collection | Sevagoth Glaukus Skin | Sleeping In The Cold Below</t>
        </is>
      </c>
      <c r="O1055" t="inlineStr">
        <is>
          <t>We found more than one answer for where it comes from. Look at place from wiki page — the answers are separated by | — and pick the right one.</t>
        </is>
      </c>
    </row>
    <row r="1056">
      <c r="A1056" t="inlineStr">
        <is>
          <t>/Lotus/Types/Items/ShipDecos/NokkoCPoster</t>
        </is>
      </c>
      <c r="B1056" t="inlineStr">
        <is>
          <t>Shooms Poster</t>
        </is>
      </c>
      <c r="C1056" t="inlineStr">
        <is>
          <t>https://wiki.warframe.com/w/Nightcap | https://wiki.warframe.com/w/Decorations/Orbiter_Decorations</t>
        </is>
      </c>
      <c r="D1056" t="inlineStr">
        <is>
          <t>ExportResources</t>
        </is>
      </c>
      <c r="F1056" t="inlineStr">
        <is>
          <t>Shooms Poster</t>
        </is>
      </c>
      <c r="H1056" t="inlineStr">
        <is>
          <t>Solved: current place verified and archived 2026-10-16.</t>
        </is>
      </c>
      <c r="I1056" t="inlineStr">
        <is>
          <t>Resources</t>
        </is>
      </c>
      <c r="M1056" t="inlineStr">
        <is>
          <t>Purchase from Nightcap for 25 Fergolyte.</t>
        </is>
      </c>
      <c r="N1056" t="inlineStr">
        <is>
          <t>Nightcap | Decorations/Orbiter Decorations</t>
        </is>
      </c>
      <c r="O1056" t="inlineStr">
        <is>
          <t>We copied where it comes from off the wiki page. See place from wiki page.</t>
        </is>
      </c>
    </row>
    <row r="1057">
      <c r="A1057" t="inlineStr">
        <is>
          <t>/Lotus/Types/Items/ShipDecos/Duviri/DUVxPlanterPotA</t>
        </is>
      </c>
      <c r="B1057" t="inlineStr">
        <is>
          <t>Short Green Artisan Pot</t>
        </is>
      </c>
      <c r="C1057" t="inlineStr">
        <is>
          <t>https://wiki.warframe.com/w/Acrithis</t>
        </is>
      </c>
      <c r="D1057" t="inlineStr">
        <is>
          <t>ExportResources</t>
        </is>
      </c>
      <c r="F1057" t="inlineStr">
        <is>
          <t>Short Green Artisan Pot</t>
        </is>
      </c>
      <c r="H1057" t="inlineStr">
        <is>
          <t>Solved: current place verified and archived 2026-10-16.</t>
        </is>
      </c>
      <c r="I1057" t="inlineStr">
        <is>
          <t>Resources</t>
        </is>
      </c>
      <c r="M1057" t="inlineStr">
        <is>
          <t>Purchase from Acrithis in Duviri; decorations rotate every few hours.</t>
        </is>
      </c>
      <c r="N1057" t="inlineStr">
        <is>
          <t>Acrithis</t>
        </is>
      </c>
      <c r="O1057" t="inlineStr">
        <is>
          <t>Saved a concrete acquisition place from the official Warframe Wiki. Acrithis page Wares section lists it among the decorations.</t>
        </is>
      </c>
    </row>
    <row r="1058">
      <c r="A1058" t="inlineStr">
        <is>
          <t>/Lotus/Types/Items/ShipDecos/Plants/Nokko/LisetPropDuvxDuviriPlantSeedE</t>
        </is>
      </c>
      <c r="B1058" t="inlineStr">
        <is>
          <t>Silphsela Seed Pod</t>
        </is>
      </c>
      <c r="C1058" t="inlineStr">
        <is>
          <t>https://wiki.warframe.com/w/Acrithis | https://wiki.warframe.com/w/Decorations</t>
        </is>
      </c>
      <c r="D1058" t="inlineStr">
        <is>
          <t>ExportResources</t>
        </is>
      </c>
      <c r="F1058" t="inlineStr">
        <is>
          <t>Silphsela Seed Pod</t>
        </is>
      </c>
      <c r="H1058" t="inlineStr">
        <is>
          <t>Solved: current place verified and archived 2026-10-16.</t>
        </is>
      </c>
      <c r="I1058" t="inlineStr">
        <is>
          <t>Resources</t>
        </is>
      </c>
      <c r="M1058" t="inlineStr">
        <is>
          <t>Purchase from Acrithis in Duviri; decorations rotate every few hours.</t>
        </is>
      </c>
      <c r="N1058" t="inlineStr">
        <is>
          <t>Acrithis</t>
        </is>
      </c>
      <c r="O1058" t="inlineStr">
        <is>
          <t>Saved a concrete acquisition place from the official Warframe Wiki. Acrithis page Wares section lists it among the decorations.</t>
        </is>
      </c>
    </row>
    <row r="1059">
      <c r="A1059" t="inlineStr">
        <is>
          <t>/Lotus/Types/Items/ShipDecos/Plants/Nokko/LisetPropGftSilverLadyFernA</t>
        </is>
      </c>
      <c r="B1059" t="inlineStr">
        <is>
          <t>Silver Lady Fern</t>
        </is>
      </c>
      <c r="C1059" t="inlineStr">
        <is>
          <t>https://wiki.warframe.com/w/Nightcap</t>
        </is>
      </c>
      <c r="D1059" t="inlineStr">
        <is>
          <t>ExportResources</t>
        </is>
      </c>
      <c r="F1059" t="inlineStr">
        <is>
          <t>Silver Lady Fern</t>
        </is>
      </c>
      <c r="H1059" t="inlineStr">
        <is>
          <t>Solved: current place verified and archived 2026-10-16.</t>
        </is>
      </c>
      <c r="I1059" t="inlineStr">
        <is>
          <t>Resources</t>
        </is>
      </c>
      <c r="M1059" t="inlineStr">
        <is>
          <t>Purchase from Nightcap's Nursery for 10 Fergolyte.</t>
        </is>
      </c>
      <c r="N1059" t="inlineStr">
        <is>
          <t>Nightcap</t>
        </is>
      </c>
      <c r="O1059" t="inlineStr">
        <is>
          <t>Saved a concrete acquisition place from the official Warframe Wiki. Nightcap page lists it in Offerings &gt; Nursery.</t>
        </is>
      </c>
    </row>
    <row r="1060">
      <c r="A1060" t="inlineStr">
        <is>
          <t>/Lotus/Types/Items/MiscItems/DangerRoomKey</t>
        </is>
      </c>
      <c r="B1060" t="inlineStr">
        <is>
          <t>Simulacrum Access Key</t>
        </is>
      </c>
      <c r="C1060" t="inlineStr">
        <is>
          <t>https://wiki.warframe.com/w/Simulacrum</t>
        </is>
      </c>
      <c r="D1060" t="inlineStr">
        <is>
          <t>ExportResources</t>
        </is>
      </c>
      <c r="G1060" t="inlineStr">
        <is>
          <t>Simulacrum</t>
        </is>
      </c>
      <c r="H1060" t="inlineStr">
        <is>
          <t>Solved: current place verified and archived 2026-10-16.</t>
        </is>
      </c>
      <c r="I1060" t="inlineStr">
        <is>
          <t>Resources</t>
        </is>
      </c>
      <c r="J1060" t="inlineStr">
        <is>
          <t>Sold by Cephalon Simaris (50,000 Standing)</t>
        </is>
      </c>
      <c r="K1060" t="inlineStr">
        <is>
          <t>Vendors/data</t>
        </is>
      </c>
      <c r="L1060" t="inlineStr">
        <is>
          <t>name</t>
        </is>
      </c>
      <c r="M1060" t="inlineStr">
        <is>
          <t>Purchase from Cephalon Simaris in the Sanctuary for 50,000 Standing.</t>
        </is>
      </c>
      <c r="N1060" t="inlineStr">
        <is>
          <t>Simulacrum</t>
        </is>
      </c>
      <c r="O1060" t="inlineStr">
        <is>
          <t>Saved a concrete acquisition place from the official Warframe Wiki.</t>
        </is>
      </c>
    </row>
    <row r="1061">
      <c r="A1061" t="inlineStr">
        <is>
          <t>/Lotus/Types/Items/ShipDecos/TarotCardSiriusOrion</t>
        </is>
      </c>
      <c r="B1061" t="inlineStr">
        <is>
          <t>Sirius &amp; Orion Prex</t>
        </is>
      </c>
      <c r="C1061" t="inlineStr">
        <is>
          <t>https://wiki.warframe.com/w/Sirius_%26_Orion/Media</t>
        </is>
      </c>
      <c r="D1061" t="inlineStr">
        <is>
          <t>ExportResources</t>
        </is>
      </c>
      <c r="F1061" t="inlineStr">
        <is>
          <t>Sirius &amp; Orion Prex</t>
        </is>
      </c>
      <c r="H1061" t="inlineStr">
        <is>
          <t>Solved: current place verified and archived 2026-10-16.</t>
        </is>
      </c>
      <c r="I1061" t="inlineStr">
        <is>
          <t>Resources</t>
        </is>
      </c>
      <c r="M1061" t="inlineStr">
        <is>
          <t>Hidden pickup in Pontis Tower: in Ryoku's section, above the void portal leading to his Dry Dock.</t>
        </is>
      </c>
      <c r="N1061" t="inlineStr">
        <is>
          <t>Decorations/Orbiter Decorations</t>
        </is>
      </c>
      <c r="O1061" t="inlineStr">
        <is>
          <t>Saved a concrete acquisition place from the official Warframe Wiki. Orbiter Decorations Prex table and Prex Locations list.</t>
        </is>
      </c>
    </row>
    <row r="1062">
      <c r="A1062" t="inlineStr">
        <is>
          <t>/Lotus/Types/Items/ShipDecos/JadeShadows2SiriusPoster</t>
        </is>
      </c>
      <c r="B1062" t="inlineStr">
        <is>
          <t>Sirius Alone Display</t>
        </is>
      </c>
      <c r="C1062" t="inlineStr">
        <is>
          <t>https://wiki.warframe.com/w/Jade_Shadows:_Constellations | https://wiki.warframe.com/w/Sirius_%26_Orion/Media | https://wiki.warframe.com/w/Decorations/Orbiter_Decorations</t>
        </is>
      </c>
      <c r="D1062" t="inlineStr">
        <is>
          <t>ExportResources</t>
        </is>
      </c>
      <c r="F1062" t="inlineStr">
        <is>
          <t>Sirius Alone Display</t>
        </is>
      </c>
      <c r="H1062" t="inlineStr">
        <is>
          <t>Solved: current place verified and archived 2026-10-16.</t>
        </is>
      </c>
      <c r="I1062" t="inlineStr">
        <is>
          <t>Resources</t>
        </is>
      </c>
      <c r="M1062" t="inlineStr">
        <is>
          <t>Inbox reward for completing Jade Shadows: Constellations.</t>
        </is>
      </c>
      <c r="N1062" t="inlineStr">
        <is>
          <t>Decorations/Orbiter Decorations</t>
        </is>
      </c>
      <c r="O1062" t="inlineStr">
        <is>
          <t>Saved a concrete acquisition place from the official Warframe Wiki. Orbiter Decorations Posters/Misc section.</t>
        </is>
      </c>
    </row>
    <row r="1063">
      <c r="A1063" t="inlineStr">
        <is>
          <t>/Lotus/Types/Items/ShipDecos/Halloween2026SiriusOrionPoster</t>
        </is>
      </c>
      <c r="B1063" t="inlineStr">
        <is>
          <t>Sirius vs. Orion Poster</t>
        </is>
      </c>
      <c r="C1063" t="inlineStr">
        <is>
          <t>https://wiki.warframe.com/w/Decorations/Orbiter_Decorations</t>
        </is>
      </c>
      <c r="D1063" t="inlineStr">
        <is>
          <t>ExportResources</t>
        </is>
      </c>
      <c r="F1063" t="inlineStr">
        <is>
          <t>Sirius vs. Orion Poster</t>
        </is>
      </c>
      <c r="H1063" t="inlineStr">
        <is>
          <t>Solved: current place verified and archived 2026-10-16.</t>
        </is>
      </c>
      <c r="I1063" t="inlineStr">
        <is>
          <t>Resources</t>
        </is>
      </c>
      <c r="M1063" t="inlineStr">
        <is>
          <t>Purchase from Daughter for 25 Mother Tokens during Nights of Naberus.</t>
        </is>
      </c>
      <c r="N1063" t="inlineStr">
        <is>
          <t>Decorations/Orbiter Decorations</t>
        </is>
      </c>
      <c r="O1063" t="inlineStr">
        <is>
          <t>We copied where it comes from off the wiki page. See place from wiki page.</t>
        </is>
      </c>
    </row>
    <row r="1064">
      <c r="A1064" t="inlineStr">
        <is>
          <t>/Lotus/Types/Items/Deimos/AnimalTagInfestedCritterCommon</t>
        </is>
      </c>
      <c r="B1064" t="inlineStr">
        <is>
          <t>Sly Vulpaphyla Tag</t>
        </is>
      </c>
      <c r="C1064" t="inlineStr">
        <is>
          <t>https://wiki.warframe.com/w/Conservation</t>
        </is>
      </c>
      <c r="D1064" t="inlineStr">
        <is>
          <t>ExportResources</t>
        </is>
      </c>
      <c r="G1064" t="inlineStr">
        <is>
          <t>Vulpaphyla</t>
        </is>
      </c>
      <c r="H1064" t="inlineStr">
        <is>
          <t>Solved: current place verified and archived 2026-10-16.</t>
        </is>
      </c>
      <c r="I1064" t="inlineStr">
        <is>
          <t>Resources</t>
        </is>
      </c>
      <c r="J1064" t="inlineStr">
        <is>
          <t>Companions_data, Conservation_data, Cosmetics_data, Mods_data, Resources_data</t>
        </is>
      </c>
      <c r="K1064" t="inlineStr">
        <is>
          <t>Resources/data</t>
        </is>
      </c>
      <c r="L1064" t="inlineStr">
        <is>
          <t>listed, no place</t>
        </is>
      </c>
      <c r="M1064" t="inlineStr">
        <is>
          <t>Capture a Sly Vulpaphyla through Conservation in the Cambion Drift.</t>
        </is>
      </c>
      <c r="N1064" t="inlineStr">
        <is>
          <t>Conservation</t>
        </is>
      </c>
      <c r="O1064" t="inlineStr">
        <is>
          <t>Saved a concrete acquisition place from the official Warframe Wiki.</t>
        </is>
      </c>
    </row>
    <row r="1065">
      <c r="A1065" t="inlineStr">
        <is>
          <t>/Lotus/Types/Items/ShipDecos/Venus/SUContainerCrate</t>
        </is>
      </c>
      <c r="B1065" t="inlineStr">
        <is>
          <t>Solaris Cargo Crate Decoration</t>
        </is>
      </c>
      <c r="C1065" t="inlineStr">
        <is>
          <t>https://wiki.warframe.com/w/Ticker | https://wiki.warframe.com/w/Decorations/Orbiter_Decorations</t>
        </is>
      </c>
      <c r="D1065" t="inlineStr">
        <is>
          <t>ExportResources</t>
        </is>
      </c>
      <c r="F1065" t="inlineStr">
        <is>
          <t>Solaris Cargo Crate Decoration</t>
        </is>
      </c>
      <c r="H1065" t="inlineStr">
        <is>
          <t>Solved: current place verified and archived 2026-10-16.</t>
        </is>
      </c>
      <c r="I1065" t="inlineStr">
        <is>
          <t>Resources</t>
        </is>
      </c>
      <c r="M1065" t="inlineStr">
        <is>
          <t>Purchase from Ticker's Secondhand in Fortuna with Debt-Bonds; stock and price rotate daily (Cheap tier).</t>
        </is>
      </c>
      <c r="N1065" t="inlineStr">
        <is>
          <t>Ticker</t>
        </is>
      </c>
      <c r="O1065" t="inlineStr">
        <is>
          <t>Saved a concrete acquisition place from the official Warframe Wiki. Ticker page Secondhand section.</t>
        </is>
      </c>
    </row>
    <row r="1066">
      <c r="A1066" t="inlineStr">
        <is>
          <t>/Lotus/Types/Items/ShipDecos/Venus/SUTechToolC</t>
        </is>
      </c>
      <c r="B1066" t="inlineStr">
        <is>
          <t>Solaris Diagnostic Tool Decoration</t>
        </is>
      </c>
      <c r="C1066" t="inlineStr">
        <is>
          <t>https://wiki.warframe.com/w/Pride_(Event) | https://wiki.warframe.com/w/Ticker | https://wiki.warframe.com/w/Decorations/Orbiter_Decorations</t>
        </is>
      </c>
      <c r="D1066" t="inlineStr">
        <is>
          <t>ExportResources</t>
        </is>
      </c>
      <c r="F1066" t="inlineStr">
        <is>
          <t>Solaris Diagnostic Tool Decoration</t>
        </is>
      </c>
      <c r="H1066" t="inlineStr">
        <is>
          <t>Solved: current place verified and archived 2026-10-16.</t>
        </is>
      </c>
      <c r="I1066" t="inlineStr">
        <is>
          <t>Resources</t>
        </is>
      </c>
      <c r="M1066" t="inlineStr">
        <is>
          <t>Twitch drop during a Pride creator stream; Pride is held each June.</t>
        </is>
      </c>
      <c r="N1066" t="inlineStr">
        <is>
          <t>Pride (Event)</t>
        </is>
      </c>
      <c r="O1066" t="inlineStr">
        <is>
          <t>Saved a concrete acquisition place from the official Warframe Wiki. Pride event page lists it under Featured Creator Streams and Drops.</t>
        </is>
      </c>
    </row>
    <row r="1067">
      <c r="A1067" t="inlineStr">
        <is>
          <t>/Lotus/Types/Items/ShipDecos/Venus/SUFoodBox</t>
        </is>
      </c>
      <c r="B1067" t="inlineStr">
        <is>
          <t>Solaris Food Box Decoration</t>
        </is>
      </c>
      <c r="C1067" t="inlineStr">
        <is>
          <t>https://wiki.warframe.com/w/Ticker | https://wiki.warframe.com/w/Decorations/Orbiter_Decorations</t>
        </is>
      </c>
      <c r="D1067" t="inlineStr">
        <is>
          <t>ExportResources</t>
        </is>
      </c>
      <c r="F1067" t="inlineStr">
        <is>
          <t>Solaris Food Box Decoration</t>
        </is>
      </c>
      <c r="H1067" t="inlineStr">
        <is>
          <t>Solved: current place verified and archived 2026-10-16.</t>
        </is>
      </c>
      <c r="I1067" t="inlineStr">
        <is>
          <t>Resources</t>
        </is>
      </c>
      <c r="M1067" t="inlineStr">
        <is>
          <t>Purchase from Ticker's Secondhand in Fortuna with Debt-Bonds; stock and price rotate daily (Cheap tier).</t>
        </is>
      </c>
      <c r="N1067" t="inlineStr">
        <is>
          <t>Ticker</t>
        </is>
      </c>
      <c r="O1067" t="inlineStr">
        <is>
          <t>Saved a concrete acquisition place from the official Warframe Wiki. Ticker page Secondhand section.</t>
        </is>
      </c>
    </row>
    <row r="1068">
      <c r="A1068" t="inlineStr">
        <is>
          <t>/Lotus/Types/Items/ShipDecos/Venus/SUFoodCans</t>
        </is>
      </c>
      <c r="B1068" t="inlineStr">
        <is>
          <t>Solaris Food Can Decoration</t>
        </is>
      </c>
      <c r="C1068" t="inlineStr">
        <is>
          <t>https://wiki.warframe.com/w/Pride_(Event) | https://wiki.warframe.com/w/Ticker | https://wiki.warframe.com/w/Decorations/Orbiter_Decorations</t>
        </is>
      </c>
      <c r="D1068" t="inlineStr">
        <is>
          <t>ExportResources</t>
        </is>
      </c>
      <c r="F1068" t="inlineStr">
        <is>
          <t>Solaris Food Can Decoration</t>
        </is>
      </c>
      <c r="H1068" t="inlineStr">
        <is>
          <t>Solved: current place verified and archived 2026-10-16.</t>
        </is>
      </c>
      <c r="I1068" t="inlineStr">
        <is>
          <t>Resources</t>
        </is>
      </c>
      <c r="M1068" t="inlineStr">
        <is>
          <t>Twitch drop during a Pride creator stream; Pride is held each June.</t>
        </is>
      </c>
      <c r="N1068" t="inlineStr">
        <is>
          <t>Pride (Event)</t>
        </is>
      </c>
      <c r="O1068" t="inlineStr">
        <is>
          <t>Saved a concrete acquisition place from the official Warframe Wiki. Pride event page lists it under Featured Creator Streams and Drops.</t>
        </is>
      </c>
    </row>
    <row r="1069">
      <c r="A1069" t="inlineStr">
        <is>
          <t>/Lotus/Types/Items/ShipDecos/Venus/SUTechToolB</t>
        </is>
      </c>
      <c r="B1069" t="inlineStr">
        <is>
          <t>Solaris Motherwrench Decoration</t>
        </is>
      </c>
      <c r="C1069" t="inlineStr">
        <is>
          <t>https://wiki.warframe.com/w/Pride_(Event) | https://wiki.warframe.com/w/Ticker | https://wiki.warframe.com/w/Decorations/Orbiter_Decorations</t>
        </is>
      </c>
      <c r="D1069" t="inlineStr">
        <is>
          <t>ExportResources</t>
        </is>
      </c>
      <c r="F1069" t="inlineStr">
        <is>
          <t>Solaris Motherwrench Decoration</t>
        </is>
      </c>
      <c r="H1069" t="inlineStr">
        <is>
          <t>Solved: current place verified and archived 2026-10-16.</t>
        </is>
      </c>
      <c r="I1069" t="inlineStr">
        <is>
          <t>Resources</t>
        </is>
      </c>
      <c r="M1069" t="inlineStr">
        <is>
          <t>Twitch drop during a Pride creator stream; Pride is held each June.</t>
        </is>
      </c>
      <c r="N1069" t="inlineStr">
        <is>
          <t>Pride (Event)</t>
        </is>
      </c>
      <c r="O1069" t="inlineStr">
        <is>
          <t>Saved a concrete acquisition place from the official Warframe Wiki. Pride event page lists it under Featured Creator Streams and Drops.</t>
        </is>
      </c>
    </row>
    <row r="1070">
      <c r="A1070" t="inlineStr">
        <is>
          <t>/Lotus/Types/Items/ShipDecos/Venus/SUTechToolD</t>
        </is>
      </c>
      <c r="B1070" t="inlineStr">
        <is>
          <t>Solaris Sampler Decoration</t>
        </is>
      </c>
      <c r="C1070" t="inlineStr">
        <is>
          <t>https://wiki.warframe.com/w/Ticker | https://wiki.warframe.com/w/Decorations/Orbiter_Decorations</t>
        </is>
      </c>
      <c r="D1070" t="inlineStr">
        <is>
          <t>ExportResources</t>
        </is>
      </c>
      <c r="F1070" t="inlineStr">
        <is>
          <t>Solaris Sampler Decoration</t>
        </is>
      </c>
      <c r="H1070" t="inlineStr">
        <is>
          <t>Solved: current place verified and archived 2026-10-16.</t>
        </is>
      </c>
      <c r="I1070" t="inlineStr">
        <is>
          <t>Resources</t>
        </is>
      </c>
      <c r="M1070" t="inlineStr">
        <is>
          <t>Purchase from Ticker's Secondhand in Fortuna with Debt-Bonds; stock and price rotate daily (Mid-range tier).</t>
        </is>
      </c>
      <c r="N1070" t="inlineStr">
        <is>
          <t>Ticker</t>
        </is>
      </c>
      <c r="O1070" t="inlineStr">
        <is>
          <t>Saved a concrete acquisition place from the official Warframe Wiki. Ticker page Secondhand section.</t>
        </is>
      </c>
    </row>
    <row r="1071">
      <c r="A1071" t="inlineStr">
        <is>
          <t>/Lotus/Types/Items/ShipDecos/Venus/SUTechToolA</t>
        </is>
      </c>
      <c r="B1071" t="inlineStr">
        <is>
          <t>Solaris Sawchain Decoration</t>
        </is>
      </c>
      <c r="C1071" t="inlineStr">
        <is>
          <t>https://wiki.warframe.com/w/Ticker | https://wiki.warframe.com/w/Decorations/Orbiter_Decorations</t>
        </is>
      </c>
      <c r="D1071" t="inlineStr">
        <is>
          <t>ExportResources</t>
        </is>
      </c>
      <c r="F1071" t="inlineStr">
        <is>
          <t>Solaris Sawchain Decoration</t>
        </is>
      </c>
      <c r="H1071" t="inlineStr">
        <is>
          <t>Solved: current place verified and archived 2026-10-16.</t>
        </is>
      </c>
      <c r="I1071" t="inlineStr">
        <is>
          <t>Resources</t>
        </is>
      </c>
      <c r="M1071" t="inlineStr">
        <is>
          <t>Purchase from Ticker's Secondhand in Fortuna with Debt-Bonds; stock and price rotate daily (Mid-range tier).</t>
        </is>
      </c>
      <c r="N1071" t="inlineStr">
        <is>
          <t>Ticker</t>
        </is>
      </c>
      <c r="O1071" t="inlineStr">
        <is>
          <t>Saved a concrete acquisition place from the official Warframe Wiki. Ticker page Secondhand section.</t>
        </is>
      </c>
    </row>
    <row r="1072">
      <c r="A1072" t="inlineStr">
        <is>
          <t>/Lotus/Types/Items/ShipDecos/Venus/SUToolBoxLarge</t>
        </is>
      </c>
      <c r="B1072" t="inlineStr">
        <is>
          <t>Solaris Supplies Decoration</t>
        </is>
      </c>
      <c r="C1072" t="inlineStr">
        <is>
          <t>https://wiki.warframe.com/w/Ticker | https://wiki.warframe.com/w/Decorations/Orbiter_Decorations</t>
        </is>
      </c>
      <c r="D1072" t="inlineStr">
        <is>
          <t>ExportResources</t>
        </is>
      </c>
      <c r="F1072" t="inlineStr">
        <is>
          <t>Solaris Supplies Decoration</t>
        </is>
      </c>
      <c r="H1072" t="inlineStr">
        <is>
          <t>Solved: current place verified and archived 2026-10-16.</t>
        </is>
      </c>
      <c r="I1072" t="inlineStr">
        <is>
          <t>Resources</t>
        </is>
      </c>
      <c r="M1072" t="inlineStr">
        <is>
          <t>Purchase from Ticker's Secondhand in Fortuna with Debt-Bonds; stock and price rotate daily (Mid-range tier).</t>
        </is>
      </c>
      <c r="N1072" t="inlineStr">
        <is>
          <t>Ticker</t>
        </is>
      </c>
      <c r="O1072" t="inlineStr">
        <is>
          <t>Saved a concrete acquisition place from the official Warframe Wiki. Ticker page Secondhand section.</t>
        </is>
      </c>
    </row>
    <row r="1073">
      <c r="A1073" t="inlineStr">
        <is>
          <t>/Lotus/Types/Items/ShipDecos/Venus/SUSupplyCartA</t>
        </is>
      </c>
      <c r="B1073" t="inlineStr">
        <is>
          <t>Solaris Supply Cart Decoration</t>
        </is>
      </c>
      <c r="C1073" t="inlineStr">
        <is>
          <t>https://wiki.warframe.com/w/Ticker | https://wiki.warframe.com/w/Decorations/Orbiter_Decorations</t>
        </is>
      </c>
      <c r="D1073" t="inlineStr">
        <is>
          <t>ExportResources</t>
        </is>
      </c>
      <c r="F1073" t="inlineStr">
        <is>
          <t>Solaris Supply Cart Decoration</t>
        </is>
      </c>
      <c r="H1073" t="inlineStr">
        <is>
          <t>Solved: current place verified and archived 2026-10-16.</t>
        </is>
      </c>
      <c r="I1073" t="inlineStr">
        <is>
          <t>Resources</t>
        </is>
      </c>
      <c r="M1073" t="inlineStr">
        <is>
          <t>Purchase from Ticker's Secondhand in Fortuna with Debt-Bonds; stock and price rotate daily (Cheap tier).</t>
        </is>
      </c>
      <c r="N1073" t="inlineStr">
        <is>
          <t>Ticker</t>
        </is>
      </c>
      <c r="O1073" t="inlineStr">
        <is>
          <t>Saved a concrete acquisition place from the official Warframe Wiki. Ticker page Secondhand section.</t>
        </is>
      </c>
    </row>
    <row r="1074">
      <c r="A1074" t="inlineStr">
        <is>
          <t>/Lotus/Types/Items/ShipDecos/Venus/SUSupplyRack</t>
        </is>
      </c>
      <c r="B1074" t="inlineStr">
        <is>
          <t>Solaris Supply Rack Decoration</t>
        </is>
      </c>
      <c r="C1074" t="inlineStr">
        <is>
          <t>https://wiki.warframe.com/w/Ticker | https://wiki.warframe.com/w/Decorations/Orbiter_Decorations</t>
        </is>
      </c>
      <c r="D1074" t="inlineStr">
        <is>
          <t>ExportResources</t>
        </is>
      </c>
      <c r="F1074" t="inlineStr">
        <is>
          <t>Solaris Supply Rack Decoration</t>
        </is>
      </c>
      <c r="H1074" t="inlineStr">
        <is>
          <t>Solved: current place verified and archived 2026-10-16.</t>
        </is>
      </c>
      <c r="I1074" t="inlineStr">
        <is>
          <t>Resources</t>
        </is>
      </c>
      <c r="M1074" t="inlineStr">
        <is>
          <t>Purchase from Ticker's Secondhand in Fortuna with Debt-Bonds; stock and price rotate daily (Mid-range tier).</t>
        </is>
      </c>
      <c r="N1074" t="inlineStr">
        <is>
          <t>Ticker</t>
        </is>
      </c>
      <c r="O1074" t="inlineStr">
        <is>
          <t>Saved a concrete acquisition place from the official Warframe Wiki. Ticker page Secondhand section.</t>
        </is>
      </c>
    </row>
    <row r="1075">
      <c r="A1075" t="inlineStr">
        <is>
          <t>/Lotus/Types/Items/ShipDecos/Venus/SUToolBox</t>
        </is>
      </c>
      <c r="B1075" t="inlineStr">
        <is>
          <t>Solaris Toolbox Decoration</t>
        </is>
      </c>
      <c r="C1075" t="inlineStr">
        <is>
          <t>https://wiki.warframe.com/w/Ticker | https://wiki.warframe.com/w/Break_Narmer | https://wiki.warframe.com/w/Decorations/Orbiter_Decorations</t>
        </is>
      </c>
      <c r="D1075" t="inlineStr">
        <is>
          <t>ExportResources</t>
        </is>
      </c>
      <c r="F1075" t="inlineStr">
        <is>
          <t>Solaris Toolbox Decoration</t>
        </is>
      </c>
      <c r="H1075" t="inlineStr">
        <is>
          <t>Solved: current place verified and archived 2026-10-16.</t>
        </is>
      </c>
      <c r="I1075" t="inlineStr">
        <is>
          <t>Resources</t>
        </is>
      </c>
      <c r="M1075" t="inlineStr">
        <is>
          <t>Purchase from Ticker's Secondhand in Fortuna with Debt-Bonds; stock and price rotate daily (Cheap tier).</t>
        </is>
      </c>
      <c r="N1075" t="inlineStr">
        <is>
          <t>Ticker</t>
        </is>
      </c>
      <c r="O1075" t="inlineStr">
        <is>
          <t>Saved a concrete acquisition place from the official Warframe Wiki. Ticker page Secondhand section.</t>
        </is>
      </c>
    </row>
    <row r="1076">
      <c r="A1076" t="inlineStr">
        <is>
          <t>/Lotus/Types/Items/PhotoBooth/Vania/PhotoboothTileVaniaObjTempleDefense</t>
        </is>
      </c>
      <c r="B1076" t="inlineStr">
        <is>
          <t xml:space="preserve">Solstice Square Stage Scene
</t>
        </is>
      </c>
      <c r="C1076" t="inlineStr">
        <is>
          <t>https://wiki.warframe.com/w/Beating_Heartstrings | https://wiki.warframe.com/w/Flare | https://wiki.warframe.com/w/The_Hex_(Syndicate) | https://wiki.warframe.com/w/Captura</t>
        </is>
      </c>
      <c r="D1076" t="inlineStr">
        <is>
          <t>ExportResources</t>
        </is>
      </c>
      <c r="F1076" t="inlineStr">
        <is>
          <t xml:space="preserve">Solstice Square Stage Scene
</t>
        </is>
      </c>
      <c r="H1076" t="inlineStr">
        <is>
          <t>Solved: current place verified and archived 2026-10-16.</t>
        </is>
      </c>
      <c r="I1076" t="inlineStr">
        <is>
          <t>Resources</t>
        </is>
      </c>
      <c r="M1076" t="inlineStr">
        <is>
          <t>Purchase from Flare's Memorabilia for 100 Beating Heartstrings.</t>
        </is>
      </c>
      <c r="N1076" t="inlineStr">
        <is>
          <t>Captura</t>
        </is>
      </c>
      <c r="O1076" t="inlineStr">
        <is>
          <t>Saved a concrete acquisition place from the official Warframe Wiki. Captura scene table lists this scene with its acquisition note.</t>
        </is>
      </c>
    </row>
    <row r="1077">
      <c r="A1077" t="inlineStr">
        <is>
          <t>/Lotus/Types/Items/ShipDecos/Tau/LisetPropSomaticBearerFlowerPostQuestItem</t>
        </is>
      </c>
      <c r="B1077" t="inlineStr">
        <is>
          <t>Somatic Bearer Memorial</t>
        </is>
      </c>
      <c r="C1077" t="inlineStr">
        <is>
          <t>https://wiki.warframe.com/w/The_Old_Peace | https://wiki.warframe.com/w/The_Old_Peace/Transcript | https://wiki.warframe.com/w/Xenoflora | https://wiki.warframe.com/w/Redtext</t>
        </is>
      </c>
      <c r="D1077" t="inlineStr">
        <is>
          <t>ExportResources</t>
        </is>
      </c>
      <c r="F1077" t="inlineStr">
        <is>
          <t>Somatic Bearer Memorial</t>
        </is>
      </c>
      <c r="H1077" t="inlineStr">
        <is>
          <t>Solved: current place verified and archived 2026-10-16.</t>
        </is>
      </c>
      <c r="I1077" t="inlineStr">
        <is>
          <t>Resources</t>
        </is>
      </c>
      <c r="M1077" t="inlineStr">
        <is>
          <t>Inbox reward after completing The Old Peace quest.</t>
        </is>
      </c>
      <c r="N1077" t="inlineStr">
        <is>
          <t>The Old Peace</t>
        </is>
      </c>
      <c r="O1077" t="inlineStr">
        <is>
          <t>Saved a concrete acquisition place from the official Warframe Wiki. The Old Peace page.</t>
        </is>
      </c>
    </row>
    <row r="1078">
      <c r="A1078" t="inlineStr">
        <is>
          <t>/Lotus/Types/Items/Deimos/AnimalTagInfestedMergooUncommon</t>
        </is>
      </c>
      <c r="B1078" t="inlineStr">
        <is>
          <t>Sporule Avichaea Tag</t>
        </is>
      </c>
      <c r="C1078" t="inlineStr">
        <is>
          <t>https://wiki.warframe.com/w/Conservation</t>
        </is>
      </c>
      <c r="D1078" t="inlineStr">
        <is>
          <t>ExportResources</t>
        </is>
      </c>
      <c r="G1078" t="inlineStr">
        <is>
          <t>Conservation#Avichaea</t>
        </is>
      </c>
      <c r="H1078" t="inlineStr">
        <is>
          <t>Solved: current place verified and archived 2026-10-16.</t>
        </is>
      </c>
      <c r="I1078" t="inlineStr">
        <is>
          <t>Resources</t>
        </is>
      </c>
      <c r="J1078" t="inlineStr">
        <is>
          <t>Resources_data</t>
        </is>
      </c>
      <c r="K1078" t="inlineStr">
        <is>
          <t>Resources/data</t>
        </is>
      </c>
      <c r="L1078" t="inlineStr">
        <is>
          <t>listed, no place</t>
        </is>
      </c>
      <c r="M1078" t="inlineStr">
        <is>
          <t>Capture a Sporule Avichaea through Conservation in the Cambion Drift.</t>
        </is>
      </c>
      <c r="N1078" t="inlineStr">
        <is>
          <t>Conservation</t>
        </is>
      </c>
      <c r="O1078" t="inlineStr">
        <is>
          <t>Saved a concrete acquisition place from the official Warframe Wiki.</t>
        </is>
      </c>
    </row>
    <row r="1079">
      <c r="A1079" t="inlineStr">
        <is>
          <t>/Lotus/Types/Items/ShipDecos/LisetPropOroSpotlight</t>
        </is>
      </c>
      <c r="B1079" t="inlineStr">
        <is>
          <t>Spotlight (Ostron)</t>
        </is>
      </c>
      <c r="C1079" t="inlineStr">
        <is>
          <t>https://wiki.warframe.com/w/Decorations | https://wiki.warframe.com/w/Decorations/Orbiter_Decorations</t>
        </is>
      </c>
      <c r="D1079" t="inlineStr">
        <is>
          <t>ExportResources</t>
        </is>
      </c>
      <c r="F1079" t="inlineStr">
        <is>
          <t>Spotlight (Ostron)</t>
        </is>
      </c>
      <c r="H1079" t="inlineStr">
        <is>
          <t>Solved: current place verified and archived 2026-10-16.</t>
        </is>
      </c>
      <c r="I1079" t="inlineStr">
        <is>
          <t>Resources</t>
        </is>
      </c>
      <c r="M1079" t="inlineStr">
        <is>
          <t>In-game Market for 35 Platinum.</t>
        </is>
      </c>
      <c r="N1079" t="inlineStr">
        <is>
          <t>Decorations | Decorations/Orbiter Decorations | Update 31</t>
        </is>
      </c>
      <c r="O1079" t="inlineStr">
        <is>
          <t>We copied where it comes from off the wiki page. See place from wiki page.</t>
        </is>
      </c>
    </row>
    <row r="1080">
      <c r="A1080" t="inlineStr">
        <is>
          <t>/Lotus/Types/Items/ShipLayerCNY</t>
        </is>
      </c>
      <c r="B1080" t="inlineStr">
        <is>
          <t>Spring Festival Interior Decorations</t>
        </is>
      </c>
      <c r="C1080" t="inlineStr">
        <is>
          <t>https://wiki.warframe.com/w/Lunar_Renewal | https://wiki.warframe.com/w/Orbiter | https://wiki.warframe.com/w/Decorations/Orbiter_Decorations</t>
        </is>
      </c>
      <c r="D1080" t="inlineStr">
        <is>
          <t>ExportResources</t>
        </is>
      </c>
      <c r="F1080" t="inlineStr">
        <is>
          <t>Spring Festival Interior Decorations</t>
        </is>
      </c>
      <c r="H1080" t="inlineStr">
        <is>
          <t>Solved: current place verified and archived 2026-10-16.</t>
        </is>
      </c>
      <c r="I1080" t="inlineStr">
        <is>
          <t>Resources</t>
        </is>
      </c>
      <c r="M1080" t="inlineStr">
        <is>
          <t>In-game Market for 1 Credit during Lunar New Year.</t>
        </is>
      </c>
      <c r="N1080" t="inlineStr">
        <is>
          <t>Lunar Renewal | Orbiter | Decorations/Orbiter Decorations</t>
        </is>
      </c>
      <c r="O1080" t="inlineStr">
        <is>
          <t>We copied where it comes from off the wiki page. See place from wiki page.</t>
        </is>
      </c>
    </row>
    <row r="1081">
      <c r="A1081" t="inlineStr">
        <is>
          <t>/Lotus/Types/Items/ShipDecos/LisetPropNokkoBabyDrone</t>
        </is>
      </c>
      <c r="B1081" t="inlineStr">
        <is>
          <t>Sprodling</t>
        </is>
      </c>
      <c r="C1081" t="inlineStr">
        <is>
          <t>https://wiki.warframe.com/w/Decorations/Orbiter_Decorations | https://wiki.warframe.com/w/Nokko_Bundle</t>
        </is>
      </c>
      <c r="D1081" t="inlineStr">
        <is>
          <t>ExportResources</t>
        </is>
      </c>
      <c r="F1081" t="inlineStr">
        <is>
          <t>Sprodling</t>
        </is>
      </c>
      <c r="G1081" t="inlineStr">
        <is>
          <t>Sprodling</t>
        </is>
      </c>
      <c r="H1081" t="inlineStr">
        <is>
          <t>Solved: current place verified and archived 2026-10-16.</t>
        </is>
      </c>
      <c r="I1081" t="inlineStr">
        <is>
          <t>Resources</t>
        </is>
      </c>
      <c r="J1081" t="inlineStr">
        <is>
          <t>Tooltips_data_Warframes, Warframes_data</t>
        </is>
      </c>
      <c r="K1081" t="inlineStr">
        <is>
          <t>name or path</t>
        </is>
      </c>
      <c r="M1081" t="inlineStr">
        <is>
          <t>In-game Market for 100 Platinum, or in the Nokko Bundle.</t>
        </is>
      </c>
      <c r="N1081" t="inlineStr">
        <is>
          <t>Decorations/Orbiter Decorations | Nokko Bundle</t>
        </is>
      </c>
      <c r="O1081" t="inlineStr">
        <is>
          <t>Saved a concrete acquisition place from the official Warframe Wiki.</t>
        </is>
      </c>
    </row>
    <row r="1082">
      <c r="A1082" t="inlineStr">
        <is>
          <t>/Lotus/Types/Items/MiscItems/StableCorruptorResource</t>
        </is>
      </c>
      <c r="B1082" t="inlineStr">
        <is>
          <t>Stable Corruptor</t>
        </is>
      </c>
      <c r="C1082" t="inlineStr">
        <is>
          <t>https://wiki.warframe.com/w/Operation_Sling-Stone | https://wiki.warframe.com/w/Corruptor</t>
        </is>
      </c>
      <c r="D1082" t="inlineStr">
        <is>
          <t>ExportResources</t>
        </is>
      </c>
      <c r="F1082" t="inlineStr">
        <is>
          <t>Stable Corruptor</t>
        </is>
      </c>
      <c r="H1082" t="inlineStr">
        <is>
          <t>Solved: current place verified and archived 2026-10-16.</t>
        </is>
      </c>
      <c r="I1082" t="inlineStr">
        <is>
          <t>Resources</t>
        </is>
      </c>
      <c r="J1082" t="inlineStr">
        <is>
          <t>Resources_data</t>
        </is>
      </c>
      <c r="K1082" t="inlineStr">
        <is>
          <t>Resources/data</t>
        </is>
      </c>
      <c r="L1082" t="inlineStr">
        <is>
          <t>listed, no place</t>
        </is>
      </c>
      <c r="M1082" t="inlineStr">
        <is>
          <t>Dropped by Infested during Operation Sling-Stone; used at the terminal of the Fomorian defense mission.</t>
        </is>
      </c>
      <c r="N1082" t="inlineStr">
        <is>
          <t>Operation Sling-Stone | Corruptor</t>
        </is>
      </c>
      <c r="O1082" t="inlineStr">
        <is>
          <t>Saved a concrete acquisition place from the official Warframe Wiki. Operation Sling-Stone: Corruptors are gained by killing Infested and are consumable.</t>
        </is>
      </c>
    </row>
    <row r="1083">
      <c r="A1083" t="inlineStr">
        <is>
          <t>/Lotus/Types/Items/SongItems/StainedVespersSongItem</t>
        </is>
      </c>
      <c r="B1083" t="inlineStr">
        <is>
          <t>Stained Vespers</t>
        </is>
      </c>
      <c r="C1083" t="inlineStr">
        <is>
          <t>https://wiki.warframe.com/w/Dreadnaught | https://wiki.warframe.com/w/Drip | https://wiki.warframe.com/w/Stained_Vespers</t>
        </is>
      </c>
      <c r="D1083" t="inlineStr">
        <is>
          <t>ExportResources</t>
        </is>
      </c>
      <c r="F1083" t="inlineStr">
        <is>
          <t>Stained Vespers</t>
        </is>
      </c>
      <c r="G1083" t="inlineStr">
        <is>
          <t>Stained Vespers</t>
        </is>
      </c>
      <c r="H1083" t="inlineStr">
        <is>
          <t>Solved: current place verified and archived 2026-10-16.</t>
        </is>
      </c>
      <c r="I1083" t="inlineStr">
        <is>
          <t>Resources</t>
        </is>
      </c>
      <c r="M1083" t="inlineStr">
        <is>
          <t>Somachord Tone from Aspirant Zorba for 200 Atramentum.</t>
        </is>
      </c>
      <c r="N1083" t="inlineStr">
        <is>
          <t>Dreadnaught | Drip | Stained Vespers</t>
        </is>
      </c>
      <c r="O1083" t="inlineStr">
        <is>
          <t>Saved a concrete acquisition place from the official Warframe Wiki.</t>
        </is>
      </c>
    </row>
    <row r="1084">
      <c r="A1084" t="inlineStr">
        <is>
          <t>/Lotus/Types/Items/ShipDecos/Props/Seasonal/StarDays2026CirclePictureFrame</t>
        </is>
      </c>
      <c r="B1084" t="inlineStr">
        <is>
          <t>Star Days Circle Frame Display</t>
        </is>
      </c>
      <c r="C1084" t="inlineStr">
        <is>
          <t>https://wiki.warframe.com/w/Star_Days | https://wiki.warframe.com/w/Decorations/Orbiter_Decorations</t>
        </is>
      </c>
      <c r="D1084" t="inlineStr">
        <is>
          <t>ExportResources</t>
        </is>
      </c>
      <c r="F1084" t="inlineStr">
        <is>
          <t>Star Days Circle Frame Display</t>
        </is>
      </c>
      <c r="H1084" t="inlineStr">
        <is>
          <t>Solved: current place verified and archived 2026-10-16.</t>
        </is>
      </c>
      <c r="I1084" t="inlineStr">
        <is>
          <t>Resources</t>
        </is>
      </c>
      <c r="M1084" t="inlineStr">
        <is>
          <t>Purchase from Ticker for 10 Shelter Debt-Bonds during Star Days.</t>
        </is>
      </c>
      <c r="N1084" t="inlineStr">
        <is>
          <t>Star Days | Decorations/Orbiter Decorations</t>
        </is>
      </c>
      <c r="O1084" t="inlineStr">
        <is>
          <t>We copied where it comes from off the wiki page. See place from wiki page.</t>
        </is>
      </c>
    </row>
    <row r="1085">
      <c r="A1085" t="inlineStr">
        <is>
          <t>/Lotus/Types/Items/ShipDecos/Props/Seasonal/StarDays2026HeartPictureFrame</t>
        </is>
      </c>
      <c r="B1085" t="inlineStr">
        <is>
          <t>Star Days Heart Frame Display</t>
        </is>
      </c>
      <c r="C1085" t="inlineStr">
        <is>
          <t>https://wiki.warframe.com/w/Star_Days | https://wiki.warframe.com/w/Decorations/Orbiter_Decorations</t>
        </is>
      </c>
      <c r="D1085" t="inlineStr">
        <is>
          <t>ExportResources</t>
        </is>
      </c>
      <c r="F1085" t="inlineStr">
        <is>
          <t>Star Days Heart Frame Display</t>
        </is>
      </c>
      <c r="H1085" t="inlineStr">
        <is>
          <t>Solved: current place verified and archived 2026-10-16.</t>
        </is>
      </c>
      <c r="I1085" t="inlineStr">
        <is>
          <t>Resources</t>
        </is>
      </c>
      <c r="M1085" t="inlineStr">
        <is>
          <t>Star Days reward, delivered February 27 to March 2.</t>
        </is>
      </c>
      <c r="N1085" t="inlineStr">
        <is>
          <t>Star Days | Decorations/Orbiter Decorations</t>
        </is>
      </c>
      <c r="O1085" t="inlineStr">
        <is>
          <t>We found more than one answer for where it comes from. Look at place from wiki page — the answers are separated by | — and pick the right one.</t>
        </is>
      </c>
    </row>
    <row r="1086">
      <c r="A1086" t="inlineStr">
        <is>
          <t>/Lotus/Types/Items/ShipDecos/Props/Seasonal/StarDays2026SquarePictureFrame</t>
        </is>
      </c>
      <c r="B1086" t="inlineStr">
        <is>
          <t>Star Days Square Frame Display</t>
        </is>
      </c>
      <c r="C1086" t="inlineStr">
        <is>
          <t>https://wiki.warframe.com/w/Star_Days | https://wiki.warframe.com/w/Decorations/Orbiter_Decorations</t>
        </is>
      </c>
      <c r="D1086" t="inlineStr">
        <is>
          <t>ExportResources</t>
        </is>
      </c>
      <c r="F1086" t="inlineStr">
        <is>
          <t>Star Days Square Frame Display</t>
        </is>
      </c>
      <c r="H1086" t="inlineStr">
        <is>
          <t>Solved: current place verified and archived 2026-10-16.</t>
        </is>
      </c>
      <c r="I1086" t="inlineStr">
        <is>
          <t>Resources</t>
        </is>
      </c>
      <c r="M1086" t="inlineStr">
        <is>
          <t>Purchase from Ticker for 10 Shelter Debt-Bonds during Star Days.</t>
        </is>
      </c>
      <c r="N1086" t="inlineStr">
        <is>
          <t>Star Days | Decorations/Orbiter Decorations</t>
        </is>
      </c>
      <c r="O1086" t="inlineStr">
        <is>
          <t>We copied where it comes from off the wiki page. See place from wiki page.</t>
        </is>
      </c>
    </row>
    <row r="1087">
      <c r="A1087" t="inlineStr">
        <is>
          <t>/Lotus/Types/Items/ShipDecos/JadeShadows2FightPoster</t>
        </is>
      </c>
      <c r="B1087" t="inlineStr">
        <is>
          <t>Stay Together Display</t>
        </is>
      </c>
      <c r="C1087" t="inlineStr">
        <is>
          <t>https://wiki.warframe.com/w/Jade_Shadows:_Constellations | https://wiki.warframe.com/w/Sirius_%26_Orion/Media | https://wiki.warframe.com/w/Decorations/Orbiter_Decorations</t>
        </is>
      </c>
      <c r="D1087" t="inlineStr">
        <is>
          <t>ExportResources</t>
        </is>
      </c>
      <c r="F1087" t="inlineStr">
        <is>
          <t>Stay Together Display</t>
        </is>
      </c>
      <c r="H1087" t="inlineStr">
        <is>
          <t>Solved: current place verified and archived 2026-10-16.</t>
        </is>
      </c>
      <c r="I1087" t="inlineStr">
        <is>
          <t>Resources</t>
        </is>
      </c>
      <c r="M1087" t="inlineStr">
        <is>
          <t>Inbox reward for completing Jade Shadows: Constellations.</t>
        </is>
      </c>
      <c r="N1087" t="inlineStr">
        <is>
          <t>Decorations/Orbiter Decorations</t>
        </is>
      </c>
      <c r="O1087" t="inlineStr">
        <is>
          <t>Saved a concrete acquisition place from the official Warframe Wiki. Orbiter Decorations Posters/Misc section.</t>
        </is>
      </c>
    </row>
    <row r="1088">
      <c r="A1088" t="inlineStr">
        <is>
          <t>/Lotus/Types/Items/ShipDecos/LisetPropWolfHeadStatueCDeco</t>
        </is>
      </c>
      <c r="B1088" t="inlineStr">
        <is>
          <t>Steadfast Dynar Bust</t>
        </is>
      </c>
      <c r="C1088" t="inlineStr">
        <is>
          <t>https://wiki.warframe.com/w/Promo_Codes | https://wiki.warframe.com/w/Decorations/Orbiter_Decorations</t>
        </is>
      </c>
      <c r="D1088" t="inlineStr">
        <is>
          <t>ExportResources</t>
        </is>
      </c>
      <c r="F1088" t="inlineStr">
        <is>
          <t>Steadfast Dynar Bust</t>
        </is>
      </c>
      <c r="H1088" t="inlineStr">
        <is>
          <t>Solved: current place verified and archived 2026-10-16.</t>
        </is>
      </c>
      <c r="I1088" t="inlineStr">
        <is>
          <t>Resources</t>
        </is>
      </c>
      <c r="M1088" t="inlineStr">
        <is>
          <t>In-game Market for 35 Platinum.</t>
        </is>
      </c>
      <c r="N1088" t="inlineStr">
        <is>
          <t>Promo Codes | Decorations/Orbiter Decorations | Update 32</t>
        </is>
      </c>
      <c r="O1088" t="inlineStr">
        <is>
          <t>We copied where it comes from off the wiki page. See place from wiki page.</t>
        </is>
      </c>
    </row>
    <row r="1089">
      <c r="A1089" t="inlineStr">
        <is>
          <t>/Lotus/Types/Items/ShipDecos/LisetPropWolfHeadStatueDDeco</t>
        </is>
      </c>
      <c r="B1089" t="inlineStr">
        <is>
          <t>Steadfast Lycath Bust</t>
        </is>
      </c>
      <c r="C1089" t="inlineStr">
        <is>
          <t>https://wiki.warframe.com/w/Promo_Codes | https://wiki.warframe.com/w/Decorations/Orbiter_Decorations</t>
        </is>
      </c>
      <c r="D1089" t="inlineStr">
        <is>
          <t>ExportResources</t>
        </is>
      </c>
      <c r="F1089" t="inlineStr">
        <is>
          <t>Steadfast Lycath Bust</t>
        </is>
      </c>
      <c r="H1089" t="inlineStr">
        <is>
          <t>Solved: current place verified and archived 2026-10-16.</t>
        </is>
      </c>
      <c r="I1089" t="inlineStr">
        <is>
          <t>Resources</t>
        </is>
      </c>
      <c r="M1089" t="inlineStr">
        <is>
          <t>In-game Market for 35 Platinum.</t>
        </is>
      </c>
      <c r="N1089" t="inlineStr">
        <is>
          <t>Promo Codes | Decorations/Orbiter Decorations | Update 32</t>
        </is>
      </c>
      <c r="O1089" t="inlineStr">
        <is>
          <t>We copied where it comes from off the wiki page. See place from wiki page.</t>
        </is>
      </c>
    </row>
    <row r="1090">
      <c r="A1090" t="inlineStr">
        <is>
          <t>/Lotus/Types/Items/ShipDecos/LisetPropWolfHeadStatueBDeco</t>
        </is>
      </c>
      <c r="B1090" t="inlineStr">
        <is>
          <t>Steadfast Raksh Bust</t>
        </is>
      </c>
      <c r="C1090" t="inlineStr">
        <is>
          <t>https://wiki.warframe.com/w/Promo_Codes | https://wiki.warframe.com/w/Decorations/Orbiter_Decorations</t>
        </is>
      </c>
      <c r="D1090" t="inlineStr">
        <is>
          <t>ExportResources</t>
        </is>
      </c>
      <c r="F1090" t="inlineStr">
        <is>
          <t>Steadfast Raksh Bust</t>
        </is>
      </c>
      <c r="H1090" t="inlineStr">
        <is>
          <t>Solved: current place verified and archived 2026-10-16.</t>
        </is>
      </c>
      <c r="I1090" t="inlineStr">
        <is>
          <t>Resources</t>
        </is>
      </c>
      <c r="M1090" t="inlineStr">
        <is>
          <t>In-game Market for 35 Platinum.</t>
        </is>
      </c>
      <c r="N1090" t="inlineStr">
        <is>
          <t>Promo Codes | Decorations/Orbiter Decorations | Update 32</t>
        </is>
      </c>
      <c r="O1090" t="inlineStr">
        <is>
          <t>We copied where it comes from off the wiki page. See place from wiki page.</t>
        </is>
      </c>
    </row>
    <row r="1091">
      <c r="A1091" t="inlineStr">
        <is>
          <t>/Lotus/Types/Items/ShipDecos/LisetPropWolfHeadStatueADeco</t>
        </is>
      </c>
      <c r="B1091" t="inlineStr">
        <is>
          <t>Steadfast Ulfrun Bust</t>
        </is>
      </c>
      <c r="C1091" t="inlineStr">
        <is>
          <t>https://wiki.warframe.com/w/Promo_Codes | https://wiki.warframe.com/w/Decorations/Orbiter_Decorations</t>
        </is>
      </c>
      <c r="D1091" t="inlineStr">
        <is>
          <t>ExportResources</t>
        </is>
      </c>
      <c r="F1091" t="inlineStr">
        <is>
          <t>Steadfast Ulfrun Bust</t>
        </is>
      </c>
      <c r="H1091" t="inlineStr">
        <is>
          <t>Solved: current place verified and archived 2026-10-16.</t>
        </is>
      </c>
      <c r="I1091" t="inlineStr">
        <is>
          <t>Resources</t>
        </is>
      </c>
      <c r="M1091" t="inlineStr">
        <is>
          <t>In-game Market for 35 Platinum.</t>
        </is>
      </c>
      <c r="N1091" t="inlineStr">
        <is>
          <t>Promo Codes | Decorations/Orbiter Decorations | Update 32</t>
        </is>
      </c>
      <c r="O1091" t="inlineStr">
        <is>
          <t>We copied where it comes from off the wiki page. See place from wiki page.</t>
        </is>
      </c>
    </row>
    <row r="1092">
      <c r="A1092" t="inlineStr">
        <is>
          <t>/Lotus/Types/Recipes/Weapons/WeaponParts/SteflosPrimeBarrel</t>
        </is>
      </c>
      <c r="B1092" t="inlineStr">
        <is>
          <t>Steflos Prime Barrel</t>
        </is>
      </c>
      <c r="C1092" t="inlineStr">
        <is>
          <t>https://wiki.warframe.com/w/Axi_S21 | https://wiki.warframe.com/w/Void_Relic/ByRarity | https://wiki.warframe.com/w/Void_Relic/ByRewards | https://wiki.warframe.com/w/Void_Relic/ByRarity/Axi | https://wiki.warframe.com/w/Ducats/Prices/Axi</t>
        </is>
      </c>
      <c r="D1092" t="inlineStr">
        <is>
          <t>ExportResources</t>
        </is>
      </c>
      <c r="F1092" t="inlineStr">
        <is>
          <t>Steflos Prime Barrel</t>
        </is>
      </c>
      <c r="H1092" t="inlineStr">
        <is>
          <t>Solved: current place verified and archived 2026-10-16.</t>
        </is>
      </c>
      <c r="I1092" t="inlineStr">
        <is>
          <t>Resources</t>
        </is>
      </c>
      <c r="J1092" t="inlineStr">
        <is>
          <t>Axi S21 Relic (Rare)</t>
        </is>
      </c>
      <c r="K1092" t="inlineStr">
        <is>
          <t>Void/data</t>
        </is>
      </c>
      <c r="L1092" t="inlineStr">
        <is>
          <t>name</t>
        </is>
      </c>
      <c r="M1092" t="inlineStr">
        <is>
          <t>Axi S21 relic drop.</t>
        </is>
      </c>
      <c r="N1092" t="inlineStr">
        <is>
          <t>Axi S21</t>
        </is>
      </c>
      <c r="O1092" t="inlineStr">
        <is>
          <t>Saved a concrete acquisition place from the official Warframe Wiki. Relic pages list this part in their reward table.</t>
        </is>
      </c>
    </row>
    <row r="1093">
      <c r="A1093" t="inlineStr">
        <is>
          <t>/Lotus/Types/Recipes/Weapons/WeaponParts/SteflosPrimeReceiver</t>
        </is>
      </c>
      <c r="B1093" t="inlineStr">
        <is>
          <t>Steflos Prime Receiver</t>
        </is>
      </c>
      <c r="C1093" t="inlineStr">
        <is>
          <t>https://wiki.warframe.com/w/Lith_A13 | https://wiki.warframe.com/w/Void_Relic/ByRarity | https://wiki.warframe.com/w/Void_Relic/ByRarity/Lith | https://wiki.warframe.com/w/Ducats/Prices/Lith | https://wiki.warframe.com/w/Void_Relic/ByRelic</t>
        </is>
      </c>
      <c r="D1093" t="inlineStr">
        <is>
          <t>ExportResources</t>
        </is>
      </c>
      <c r="F1093" t="inlineStr">
        <is>
          <t>Steflos Prime Receiver</t>
        </is>
      </c>
      <c r="H1093" t="inlineStr">
        <is>
          <t>Solved: current place verified and archived 2026-10-16.</t>
        </is>
      </c>
      <c r="I1093" t="inlineStr">
        <is>
          <t>Resources</t>
        </is>
      </c>
      <c r="J1093" t="inlineStr">
        <is>
          <t>Lith A13 Relic (Common)</t>
        </is>
      </c>
      <c r="K1093" t="inlineStr">
        <is>
          <t>Void/data</t>
        </is>
      </c>
      <c r="L1093" t="inlineStr">
        <is>
          <t>name</t>
        </is>
      </c>
      <c r="M1093" t="inlineStr">
        <is>
          <t>Lith A13 relic drop.</t>
        </is>
      </c>
      <c r="N1093" t="inlineStr">
        <is>
          <t>Lith A13</t>
        </is>
      </c>
      <c r="O1093" t="inlineStr">
        <is>
          <t>Saved a concrete acquisition place from the official Warframe Wiki. Relic pages list this part in their reward table.</t>
        </is>
      </c>
    </row>
    <row r="1094">
      <c r="A1094" t="inlineStr">
        <is>
          <t>/Lotus/Types/Recipes/Weapons/WeaponParts/SteflosPrimeStock</t>
        </is>
      </c>
      <c r="B1094" t="inlineStr">
        <is>
          <t>Steflos Prime Stock</t>
        </is>
      </c>
      <c r="C1094" t="inlineStr">
        <is>
          <t>https://wiki.warframe.com/w/Meso_D9 | https://wiki.warframe.com/w/Void_Relic/ByRarity | https://wiki.warframe.com/w/Void_Relic/ByRarity/Meso | https://wiki.warframe.com/w/Ducats/Prices/Meso | https://wiki.warframe.com/w/Void_Relic/ByRelic</t>
        </is>
      </c>
      <c r="D1094" t="inlineStr">
        <is>
          <t>ExportResources</t>
        </is>
      </c>
      <c r="F1094" t="inlineStr">
        <is>
          <t>Steflos Prime Stock</t>
        </is>
      </c>
      <c r="H1094" t="inlineStr">
        <is>
          <t>Solved: current place verified and archived 2026-10-16.</t>
        </is>
      </c>
      <c r="I1094" t="inlineStr">
        <is>
          <t>Resources</t>
        </is>
      </c>
      <c r="J1094" t="inlineStr">
        <is>
          <t>Meso D9 Relic (Uncommon)</t>
        </is>
      </c>
      <c r="K1094" t="inlineStr">
        <is>
          <t>Void/data</t>
        </is>
      </c>
      <c r="L1094" t="inlineStr">
        <is>
          <t>name</t>
        </is>
      </c>
      <c r="M1094" t="inlineStr">
        <is>
          <t>Meso D9 relic drop.</t>
        </is>
      </c>
      <c r="N1094" t="inlineStr">
        <is>
          <t>Meso D9</t>
        </is>
      </c>
      <c r="O1094" t="inlineStr">
        <is>
          <t>Saved a concrete acquisition place from the official Warframe Wiki. Relic pages list this part in their reward table.</t>
        </is>
      </c>
    </row>
    <row r="1095">
      <c r="A1095" t="inlineStr">
        <is>
          <t>/Lotus/Types/Items/ShipDecos/Venus/StyanaxCommunityDisplay</t>
        </is>
      </c>
      <c r="B1095" t="inlineStr">
        <is>
          <t>Styanax Community Display</t>
        </is>
      </c>
      <c r="C1095" t="inlineStr">
        <is>
          <t>https://wiki.warframe.com/w/Devstream_163</t>
        </is>
      </c>
      <c r="D1095" t="inlineStr">
        <is>
          <t>ExportResources</t>
        </is>
      </c>
      <c r="F1095" t="inlineStr">
        <is>
          <t>Styanax Community Display</t>
        </is>
      </c>
      <c r="H1095" t="inlineStr">
        <is>
          <t>Solved: current place verified and archived 2026-10-16.</t>
        </is>
      </c>
      <c r="I1095" t="inlineStr">
        <is>
          <t>Resources</t>
        </is>
      </c>
      <c r="M1095" t="inlineStr">
        <is>
          <t>In-game Market.</t>
        </is>
      </c>
      <c r="N1095" t="inlineStr">
        <is>
          <t>Devstream 163 | Update 32</t>
        </is>
      </c>
      <c r="O1095" t="inlineStr">
        <is>
          <t>We copied where it comes from off the wiki page. See place from wiki page.</t>
        </is>
      </c>
    </row>
    <row r="1096">
      <c r="A1096" t="inlineStr">
        <is>
          <t>/Lotus/Types/Items/ShipDecos/TarotCardStyanax</t>
        </is>
      </c>
      <c r="B1096" t="inlineStr">
        <is>
          <t>Styanax Prex</t>
        </is>
      </c>
      <c r="C1096" t="inlineStr">
        <is>
          <t>https://wiki.warframe.com/w/Decorations</t>
        </is>
      </c>
      <c r="D1096" t="inlineStr">
        <is>
          <t>ExportResources</t>
        </is>
      </c>
      <c r="F1096" t="inlineStr">
        <is>
          <t>Styanax Prex</t>
        </is>
      </c>
      <c r="H1096" t="inlineStr">
        <is>
          <t>Solved: current place verified and archived 2026-10-16.</t>
        </is>
      </c>
      <c r="I1096" t="inlineStr">
        <is>
          <t>Resources</t>
        </is>
      </c>
      <c r="M1096" t="inlineStr">
        <is>
          <t>Hidden pickup in the Leverian; not visible until you've mastered Styanax / Styanax Prime.</t>
        </is>
      </c>
      <c r="N1096" t="inlineStr">
        <is>
          <t>Decorations/Orbiter Decorations</t>
        </is>
      </c>
      <c r="O1096" t="inlineStr">
        <is>
          <t>Saved a concrete acquisition place from the official Warframe Wiki. Orbiter Decorations Prex table and Prex Locations list.</t>
        </is>
      </c>
    </row>
    <row r="1097">
      <c r="A1097" t="inlineStr">
        <is>
          <t>/Lotus/Types/Items/ShipDecos/Nightwave/NightwaveEntertechmentCrate</t>
        </is>
      </c>
      <c r="B1097" t="inlineStr">
        <is>
          <t>Submeower Decoration</t>
        </is>
      </c>
      <c r="C1097" t="inlineStr">
        <is>
          <t>https://wiki.warframe.com/w/Nightwave/Amir's_Shockwave | https://wiki.warframe.com/w/Decorations/Orbiter_Decorations</t>
        </is>
      </c>
      <c r="D1097" t="inlineStr">
        <is>
          <t>ExportResources</t>
        </is>
      </c>
      <c r="F1097" t="inlineStr">
        <is>
          <t>Submeower Decoration</t>
        </is>
      </c>
      <c r="H1097" t="inlineStr">
        <is>
          <t>Solved: current place verified and archived 2026-10-16.</t>
        </is>
      </c>
      <c r="I1097" t="inlineStr">
        <is>
          <t>Resources</t>
        </is>
      </c>
      <c r="M1097" t="inlineStr">
        <is>
          <t>Nightwave: Amir's Shockwave rank 7 reward.</t>
        </is>
      </c>
      <c r="N1097" t="inlineStr">
        <is>
          <t>Nightwave/Amir's Shockwave | Decorations/Orbiter Decorations | Update 43: Jade Shadows: Constellations | Nightwave/Patch History</t>
        </is>
      </c>
      <c r="O1097" t="inlineStr">
        <is>
          <t>We copied where it comes from off the wiki page. See place from wiki page.</t>
        </is>
      </c>
    </row>
    <row r="1098">
      <c r="A1098" t="inlineStr">
        <is>
          <t>/Lotus/Types/Items/ShipDecos/LisetPropMultiport</t>
        </is>
      </c>
      <c r="B1098" t="inlineStr">
        <is>
          <t>Sukshma Array</t>
        </is>
      </c>
      <c r="C1098" t="inlineStr">
        <is>
          <t>https://wiki.warframe.com/w/Decorations | https://wiki.warframe.com/w/Decorations/Orbiter_Decorations</t>
        </is>
      </c>
      <c r="D1098" t="inlineStr">
        <is>
          <t>ExportResources</t>
        </is>
      </c>
      <c r="F1098" t="inlineStr">
        <is>
          <t>Sukshma Array</t>
        </is>
      </c>
      <c r="H1098" t="inlineStr">
        <is>
          <t>Solved: current place verified and archived 2026-10-16.</t>
        </is>
      </c>
      <c r="I1098" t="inlineStr">
        <is>
          <t>Resources</t>
        </is>
      </c>
      <c r="M1098" t="inlineStr">
        <is>
          <t>In-game Market for 35 Platinum.</t>
        </is>
      </c>
      <c r="N1098" t="inlineStr">
        <is>
          <t>Decorations | Decorations/Orbiter Decorations</t>
        </is>
      </c>
      <c r="O1098" t="inlineStr">
        <is>
          <t>We copied where it comes from off the wiki page. See place from wiki page.</t>
        </is>
      </c>
    </row>
    <row r="1099">
      <c r="A1099" t="inlineStr">
        <is>
          <t>/Lotus/Types/Items/ShipDecos/LisetPropHardDrive</t>
        </is>
      </c>
      <c r="B1099" t="inlineStr">
        <is>
          <t>Sukshma Casing</t>
        </is>
      </c>
      <c r="C1099" t="inlineStr">
        <is>
          <t>https://wiki.warframe.com/w/Decorations/Orbiter_Decorations</t>
        </is>
      </c>
      <c r="D1099" t="inlineStr">
        <is>
          <t>ExportResources</t>
        </is>
      </c>
      <c r="F1099" t="inlineStr">
        <is>
          <t>Sukshma Casing</t>
        </is>
      </c>
      <c r="H1099" t="inlineStr">
        <is>
          <t>Solved: current place verified and archived 2026-10-16.</t>
        </is>
      </c>
      <c r="I1099" t="inlineStr">
        <is>
          <t>Resources</t>
        </is>
      </c>
      <c r="M1099" t="inlineStr">
        <is>
          <t>In-game Market for 35 Platinum.</t>
        </is>
      </c>
      <c r="N1099" t="inlineStr">
        <is>
          <t>Decorations/Orbiter Decorations</t>
        </is>
      </c>
      <c r="O1099" t="inlineStr">
        <is>
          <t>We copied where it comes from off the wiki page. See place from wiki page.</t>
        </is>
      </c>
    </row>
    <row r="1100">
      <c r="A1100" t="inlineStr">
        <is>
          <t>/Lotus/Types/Items/ShipDecos/LisetPropReactor</t>
        </is>
      </c>
      <c r="B1100" t="inlineStr">
        <is>
          <t>Sukshma Centribrace</t>
        </is>
      </c>
      <c r="C1100" t="inlineStr">
        <is>
          <t>https://wiki.warframe.com/w/Decorations/Orbiter_Decorations</t>
        </is>
      </c>
      <c r="D1100" t="inlineStr">
        <is>
          <t>ExportResources</t>
        </is>
      </c>
      <c r="F1100" t="inlineStr">
        <is>
          <t>Sukshma Centribrace</t>
        </is>
      </c>
      <c r="H1100" t="inlineStr">
        <is>
          <t>Solved: current place verified and archived 2026-10-16.</t>
        </is>
      </c>
      <c r="I1100" t="inlineStr">
        <is>
          <t>Resources</t>
        </is>
      </c>
      <c r="M1100" t="inlineStr">
        <is>
          <t>In-game Market for 35 Platinum.</t>
        </is>
      </c>
      <c r="N1100" t="inlineStr">
        <is>
          <t>Decorations/Orbiter Decorations</t>
        </is>
      </c>
      <c r="O1100" t="inlineStr">
        <is>
          <t>We copied where it comes from off the wiki page. See place from wiki page.</t>
        </is>
      </c>
    </row>
    <row r="1101">
      <c r="A1101" t="inlineStr">
        <is>
          <t>/Lotus/Types/Items/ShipDecos/LisetPropStep</t>
        </is>
      </c>
      <c r="B1101" t="inlineStr">
        <is>
          <t>Sukshma Eleva</t>
        </is>
      </c>
      <c r="C1101" t="inlineStr">
        <is>
          <t>https://wiki.warframe.com/w/Decorations/Orbiter_Decorations</t>
        </is>
      </c>
      <c r="D1101" t="inlineStr">
        <is>
          <t>ExportResources</t>
        </is>
      </c>
      <c r="F1101" t="inlineStr">
        <is>
          <t>Sukshma Eleva</t>
        </is>
      </c>
      <c r="H1101" t="inlineStr">
        <is>
          <t>Solved: current place verified and archived 2026-10-16.</t>
        </is>
      </c>
      <c r="I1101" t="inlineStr">
        <is>
          <t>Resources</t>
        </is>
      </c>
      <c r="M1101" t="inlineStr">
        <is>
          <t>In-game Market for 35 Platinum.</t>
        </is>
      </c>
      <c r="N1101" t="inlineStr">
        <is>
          <t>Decorations/Orbiter Decorations</t>
        </is>
      </c>
      <c r="O1101" t="inlineStr">
        <is>
          <t>We copied where it comes from off the wiki page. See place from wiki page.</t>
        </is>
      </c>
    </row>
    <row r="1102">
      <c r="A1102" t="inlineStr">
        <is>
          <t>/Lotus/Types/Items/ShipDecos/LisetPropHologram</t>
        </is>
      </c>
      <c r="B1102" t="inlineStr">
        <is>
          <t>Sukshma Lumino</t>
        </is>
      </c>
      <c r="C1102" t="inlineStr">
        <is>
          <t>https://wiki.warframe.com/w/Decorations/Orbiter_Decorations</t>
        </is>
      </c>
      <c r="D1102" t="inlineStr">
        <is>
          <t>ExportResources</t>
        </is>
      </c>
      <c r="F1102" t="inlineStr">
        <is>
          <t>Sukshma Lumino</t>
        </is>
      </c>
      <c r="H1102" t="inlineStr">
        <is>
          <t>Solved: current place verified and archived 2026-10-16.</t>
        </is>
      </c>
      <c r="I1102" t="inlineStr">
        <is>
          <t>Resources</t>
        </is>
      </c>
      <c r="M1102" t="inlineStr">
        <is>
          <t>In-game Market for 35 Platinum.</t>
        </is>
      </c>
      <c r="N1102" t="inlineStr">
        <is>
          <t>Decorations/Orbiter Decorations</t>
        </is>
      </c>
      <c r="O1102" t="inlineStr">
        <is>
          <t>We copied where it comes from off the wiki page. See place from wiki page.</t>
        </is>
      </c>
    </row>
    <row r="1103">
      <c r="A1103" t="inlineStr">
        <is>
          <t>/Lotus/Types/Items/ShipDecos/LisetPropCooler</t>
        </is>
      </c>
      <c r="B1103" t="inlineStr">
        <is>
          <t>Sukshma Regulator</t>
        </is>
      </c>
      <c r="C1103" t="inlineStr">
        <is>
          <t>https://wiki.warframe.com/w/Decorations/Orbiter_Decorations</t>
        </is>
      </c>
      <c r="D1103" t="inlineStr">
        <is>
          <t>ExportResources</t>
        </is>
      </c>
      <c r="F1103" t="inlineStr">
        <is>
          <t>Sukshma Regulator</t>
        </is>
      </c>
      <c r="H1103" t="inlineStr">
        <is>
          <t>Solved: current place verified and archived 2026-10-16.</t>
        </is>
      </c>
      <c r="I1103" t="inlineStr">
        <is>
          <t>Resources</t>
        </is>
      </c>
      <c r="M1103" t="inlineStr">
        <is>
          <t>In-game Market for 35 Platinum.</t>
        </is>
      </c>
      <c r="N1103" t="inlineStr">
        <is>
          <t>Decorations/Orbiter Decorations</t>
        </is>
      </c>
      <c r="O1103" t="inlineStr">
        <is>
          <t>We copied where it comes from off the wiki page. See place from wiki page.</t>
        </is>
      </c>
    </row>
    <row r="1104">
      <c r="A1104" t="inlineStr">
        <is>
          <t>/Lotus/Types/Items/ShipDecos/LisetPropPillar</t>
        </is>
      </c>
      <c r="B1104" t="inlineStr">
        <is>
          <t>Sukshma Support</t>
        </is>
      </c>
      <c r="C1104" t="inlineStr">
        <is>
          <t>https://wiki.warframe.com/w/Backroom | https://wiki.warframe.com/w/Decorations | https://wiki.warframe.com/w/Orbiter | https://wiki.warframe.com/w/Decorations/Orbiter_Decorations</t>
        </is>
      </c>
      <c r="D1104" t="inlineStr">
        <is>
          <t>ExportResources</t>
        </is>
      </c>
      <c r="F1104" t="inlineStr">
        <is>
          <t>Sukshma Support</t>
        </is>
      </c>
      <c r="H1104" t="inlineStr">
        <is>
          <t>Solved: current place verified and archived 2026-10-16.</t>
        </is>
      </c>
      <c r="I1104" t="inlineStr">
        <is>
          <t>Resources</t>
        </is>
      </c>
      <c r="M1104" t="inlineStr">
        <is>
          <t>In-game Market for 35 Platinum.</t>
        </is>
      </c>
      <c r="N1104" t="inlineStr">
        <is>
          <t>Backroom | Decorations | Orbiter | Decorations/Orbiter Decorations | Update 39</t>
        </is>
      </c>
      <c r="O1104" t="inlineStr">
        <is>
          <t>We copied where it comes from off the wiki page. See place from wiki page.</t>
        </is>
      </c>
    </row>
    <row r="1105">
      <c r="A1105" t="inlineStr">
        <is>
          <t>/Lotus/Types/Items/ShipDecos/LisetPropAntenna</t>
        </is>
      </c>
      <c r="B1105" t="inlineStr">
        <is>
          <t>Sukshma Transvox</t>
        </is>
      </c>
      <c r="C1105" t="inlineStr">
        <is>
          <t>https://wiki.warframe.com/w/Decorations | https://wiki.warframe.com/w/Decorations/Orbiter_Decorations</t>
        </is>
      </c>
      <c r="D1105" t="inlineStr">
        <is>
          <t>ExportResources</t>
        </is>
      </c>
      <c r="F1105" t="inlineStr">
        <is>
          <t>Sukshma Transvox</t>
        </is>
      </c>
      <c r="H1105" t="inlineStr">
        <is>
          <t>Solved: current place verified and archived 2026-10-16.</t>
        </is>
      </c>
      <c r="I1105" t="inlineStr">
        <is>
          <t>Resources</t>
        </is>
      </c>
      <c r="M1105" t="inlineStr">
        <is>
          <t>In-game Market for 35 Platinum.</t>
        </is>
      </c>
      <c r="N1105" t="inlineStr">
        <is>
          <t>Decorations | Decorations/Orbiter Decorations</t>
        </is>
      </c>
      <c r="O1105" t="inlineStr">
        <is>
          <t>We copied where it comes from off the wiki page. See place from wiki page.</t>
        </is>
      </c>
    </row>
    <row r="1106">
      <c r="A1106" t="inlineStr">
        <is>
          <t>/Lotus/Types/Items/ShipDecos/Plants/Nokko/LisetPropGftPlantSkunkCabbageYoung</t>
        </is>
      </c>
      <c r="B1106" t="inlineStr">
        <is>
          <t>Sunlight Jadeleaf Decoration</t>
        </is>
      </c>
      <c r="C1106" t="inlineStr">
        <is>
          <t>https://wiki.warframe.com/w/Nightcap</t>
        </is>
      </c>
      <c r="D1106" t="inlineStr">
        <is>
          <t>ExportResources</t>
        </is>
      </c>
      <c r="F1106" t="inlineStr">
        <is>
          <t>Sunlight Jadeleaf Decoration</t>
        </is>
      </c>
      <c r="H1106" t="inlineStr">
        <is>
          <t>Solved: current place verified and archived 2026-10-16.</t>
        </is>
      </c>
      <c r="I1106" t="inlineStr">
        <is>
          <t>Resources</t>
        </is>
      </c>
      <c r="M1106" t="inlineStr">
        <is>
          <t>Purchase from Nightcap's Nursery for 10 Fergolyte.</t>
        </is>
      </c>
      <c r="N1106" t="inlineStr">
        <is>
          <t>Nightcap</t>
        </is>
      </c>
      <c r="O1106" t="inlineStr">
        <is>
          <t>Saved a concrete acquisition place from the official Warframe Wiki. Nightcap page lists it in Offerings &gt; Nursery.</t>
        </is>
      </c>
    </row>
    <row r="1107">
      <c r="A1107" t="inlineStr">
        <is>
          <t>/Lotus/Types/Items/ShipDecos/Plants/Nokko/LisetPropGftPlantSequoiaConeYoung</t>
        </is>
      </c>
      <c r="B1107" t="inlineStr">
        <is>
          <t>Sunlight Threshcone Decoration</t>
        </is>
      </c>
      <c r="C1107" t="inlineStr">
        <is>
          <t>https://wiki.warframe.com/w/Nightcap</t>
        </is>
      </c>
      <c r="D1107" t="inlineStr">
        <is>
          <t>ExportResources</t>
        </is>
      </c>
      <c r="F1107" t="inlineStr">
        <is>
          <t>Sunlight Threshcone Decoration</t>
        </is>
      </c>
      <c r="H1107" t="inlineStr">
        <is>
          <t>Solved: current place verified and archived 2026-10-16.</t>
        </is>
      </c>
      <c r="I1107" t="inlineStr">
        <is>
          <t>Resources</t>
        </is>
      </c>
      <c r="M1107" t="inlineStr">
        <is>
          <t>Purchase from Nightcap's Nursery for 10 Fergolyte.</t>
        </is>
      </c>
      <c r="N1107" t="inlineStr">
        <is>
          <t>Nightcap</t>
        </is>
      </c>
      <c r="O1107" t="inlineStr">
        <is>
          <t>Saved a concrete acquisition place from the official Warframe Wiki. Nightcap page lists it in Offerings &gt; Nursery.</t>
        </is>
      </c>
    </row>
    <row r="1108">
      <c r="A1108" t="inlineStr">
        <is>
          <t>/Lotus/Types/Items/ShipDecos/Plushies/PlushyMorningKavat</t>
        </is>
      </c>
      <c r="B1108" t="inlineStr">
        <is>
          <t>Sunrise Kavat Floof</t>
        </is>
      </c>
      <c r="C1108" t="inlineStr">
        <is>
          <t>https://wiki.warframe.com/w/Dog_Days | https://wiki.warframe.com/w/Decorations/Orbiter_Decorations</t>
        </is>
      </c>
      <c r="D1108" t="inlineStr">
        <is>
          <t>ExportResources</t>
        </is>
      </c>
      <c r="F1108" t="inlineStr">
        <is>
          <t>Sunrise Kavat Floof</t>
        </is>
      </c>
      <c r="H1108" t="inlineStr">
        <is>
          <t>Solved: current place verified and archived 2026-10-16.</t>
        </is>
      </c>
      <c r="I1108" t="inlineStr">
        <is>
          <t>Resources</t>
        </is>
      </c>
      <c r="M1108" t="inlineStr">
        <is>
          <t>Purchase from the Dog Days event store for 195 Nakak Pearls.</t>
        </is>
      </c>
      <c r="N1108" t="inlineStr">
        <is>
          <t>Dog Days | Decorations/Orbiter Decorations</t>
        </is>
      </c>
      <c r="O1108" t="inlineStr">
        <is>
          <t>We copied where it comes from off the wiki page. See place from wiki page.</t>
        </is>
      </c>
    </row>
    <row r="1109">
      <c r="A1109" t="inlineStr">
        <is>
          <t>/Lotus/Types/Items/ShipFeatureItems/Railjack/RailjackTailFeatureItem</t>
        </is>
      </c>
      <c r="B1109" t="inlineStr">
        <is>
          <t>TAIL SECTION</t>
        </is>
      </c>
      <c r="C1109" t="inlineStr">
        <is>
          <t>https://wiki.warframe.com/w/Rising_Tide/Transcript | https://wiki.warframe.com/w/Rising_Tide | https://wiki.warframe.com/w/Ferrite</t>
        </is>
      </c>
      <c r="D1109" t="inlineStr">
        <is>
          <t>ExportResources</t>
        </is>
      </c>
      <c r="F1109" t="inlineStr">
        <is>
          <t>TAIL SECTION</t>
        </is>
      </c>
      <c r="H1109" t="inlineStr">
        <is>
          <t>Solved: current place verified and archived 2026-10-16.</t>
        </is>
      </c>
      <c r="I1109" t="inlineStr">
        <is>
          <t>Resources</t>
        </is>
      </c>
      <c r="M1109" t="inlineStr">
        <is>
          <t>Recover it on Berehynia, Sedna during the Rising Tide quest, then repair it in the Dry Dock.</t>
        </is>
      </c>
      <c r="N1109" t="inlineStr">
        <is>
          <t>Rising Tide</t>
        </is>
      </c>
      <c r="O1109" t="inlineStr">
        <is>
          <t>Saved a concrete acquisition place from the official Warframe Wiki. Rising Tide page lists the recovery mission and Dry Dock repair.</t>
        </is>
      </c>
    </row>
    <row r="1110">
      <c r="A1110" t="inlineStr">
        <is>
          <t>/Lotus/Types/Items/ShipDecos/TennoPlanterC</t>
        </is>
      </c>
      <c r="B1110" t="inlineStr">
        <is>
          <t>Tadit Planter</t>
        </is>
      </c>
      <c r="C1110" t="inlineStr">
        <is>
          <t>https://wiki.warframe.com/w/Decorations/Orbiter_Decorations</t>
        </is>
      </c>
      <c r="D1110" t="inlineStr">
        <is>
          <t>ExportResources</t>
        </is>
      </c>
      <c r="F1110" t="inlineStr">
        <is>
          <t>Tadit Planter</t>
        </is>
      </c>
      <c r="H1110" t="inlineStr">
        <is>
          <t>Solved: current place verified and archived 2026-10-16.</t>
        </is>
      </c>
      <c r="I1110" t="inlineStr">
        <is>
          <t>Resources</t>
        </is>
      </c>
      <c r="M1110" t="inlineStr">
        <is>
          <t>In-game Market for 20 Platinum.</t>
        </is>
      </c>
      <c r="N1110" t="inlineStr">
        <is>
          <t>Decorations/Orbiter Decorations</t>
        </is>
      </c>
      <c r="O1110" t="inlineStr">
        <is>
          <t>Saved a concrete acquisition place from the official Warframe Wiki. Orbiter Decorations Market section: planters cost 20 Platinum (Lua Planter 50).</t>
        </is>
      </c>
    </row>
    <row r="1111">
      <c r="A1111" t="inlineStr">
        <is>
          <t>/Lotus/Types/Items/ShipDecos/DuviriBookQuestReward</t>
        </is>
      </c>
      <c r="B1111" t="inlineStr">
        <is>
          <t>Tales of Duviri Storybook</t>
        </is>
      </c>
      <c r="C1111" t="inlineStr">
        <is>
          <t>https://wiki.warframe.com/w/Paradox_Visage_Ink_Collection | https://wiki.warframe.com/w/Drifter | https://wiki.warframe.com/w/The_Duviri_Paradox | https://wiki.warframe.com/w/The_Duviri_Paradox/Transcript | https://wiki.warframe.com/w/Tales_of_Duviri | https://wiki.warframe.com/w/Decorations/Orbiter_Decorations</t>
        </is>
      </c>
      <c r="D1111" t="inlineStr">
        <is>
          <t>ExportResources</t>
        </is>
      </c>
      <c r="F1111" t="inlineStr">
        <is>
          <t>Tales of Duviri Storybook</t>
        </is>
      </c>
      <c r="H1111" t="inlineStr">
        <is>
          <t>Solved: current place verified and archived 2026-10-16.</t>
        </is>
      </c>
      <c r="I1111" t="inlineStr">
        <is>
          <t>Resources</t>
        </is>
      </c>
      <c r="M1111" t="inlineStr">
        <is>
          <t>Reward for completing The Duviri Paradox.</t>
        </is>
      </c>
      <c r="N1111" t="inlineStr">
        <is>
          <t>Decorations/Orbiter Decorations</t>
        </is>
      </c>
      <c r="O1111" t="inlineStr">
        <is>
          <t>Saved a concrete acquisition place from the official Warframe Wiki. Orbiter Decorations Miscellaneous section.</t>
        </is>
      </c>
    </row>
    <row r="1112">
      <c r="A1112" t="inlineStr">
        <is>
          <t>/Lotus/Types/Items/ShipDecos/Duviri/DUVxPlanterPotB</t>
        </is>
      </c>
      <c r="B1112" t="inlineStr">
        <is>
          <t>Tall Green Artisan Pot</t>
        </is>
      </c>
      <c r="C1112" t="inlineStr">
        <is>
          <t>https://wiki.warframe.com/w/Acrithis</t>
        </is>
      </c>
      <c r="D1112" t="inlineStr">
        <is>
          <t>ExportResources</t>
        </is>
      </c>
      <c r="F1112" t="inlineStr">
        <is>
          <t>Tall Green Artisan Pot</t>
        </is>
      </c>
      <c r="H1112" t="inlineStr">
        <is>
          <t>Solved: current place verified and archived 2026-10-16.</t>
        </is>
      </c>
      <c r="I1112" t="inlineStr">
        <is>
          <t>Resources</t>
        </is>
      </c>
      <c r="M1112" t="inlineStr">
        <is>
          <t>Purchase from Acrithis in Duviri; decorations rotate every few hours.</t>
        </is>
      </c>
      <c r="N1112" t="inlineStr">
        <is>
          <t>Acrithis</t>
        </is>
      </c>
      <c r="O1112" t="inlineStr">
        <is>
          <t>Saved a concrete acquisition place from the official Warframe Wiki. Acrithis page Wares section lists it among the decorations.</t>
        </is>
      </c>
    </row>
    <row r="1113">
      <c r="A1113" t="inlineStr">
        <is>
          <t>/Lotus/Types/Items/ShipDecos/Duviri/DUVxPlanterPotD</t>
        </is>
      </c>
      <c r="B1113" t="inlineStr">
        <is>
          <t>Tall White Artisan Pot</t>
        </is>
      </c>
      <c r="C1113" t="inlineStr">
        <is>
          <t>https://wiki.warframe.com/w/Acrithis</t>
        </is>
      </c>
      <c r="D1113" t="inlineStr">
        <is>
          <t>ExportResources</t>
        </is>
      </c>
      <c r="F1113" t="inlineStr">
        <is>
          <t>Tall White Artisan Pot</t>
        </is>
      </c>
      <c r="H1113" t="inlineStr">
        <is>
          <t>Solved: current place verified and archived 2026-10-16.</t>
        </is>
      </c>
      <c r="I1113" t="inlineStr">
        <is>
          <t>Resources</t>
        </is>
      </c>
      <c r="M1113" t="inlineStr">
        <is>
          <t>Purchase from Acrithis in Duviri; decorations rotate every few hours.</t>
        </is>
      </c>
      <c r="N1113" t="inlineStr">
        <is>
          <t>Acrithis</t>
        </is>
      </c>
      <c r="O1113" t="inlineStr">
        <is>
          <t>Saved a concrete acquisition place from the official Warframe Wiki. Acrithis page Wares section lists it among the decorations.</t>
        </is>
      </c>
    </row>
    <row r="1114">
      <c r="A1114" t="inlineStr">
        <is>
          <t>/Lotus/Types/Items/ShipDecos/TennoPlanterE</t>
        </is>
      </c>
      <c r="B1114" t="inlineStr">
        <is>
          <t>Tarna Planter</t>
        </is>
      </c>
      <c r="C1114" t="inlineStr">
        <is>
          <t>https://wiki.warframe.com/w/Decorations/Orbiter_Decorations</t>
        </is>
      </c>
      <c r="D1114" t="inlineStr">
        <is>
          <t>ExportResources</t>
        </is>
      </c>
      <c r="F1114" t="inlineStr">
        <is>
          <t>Tarna Planter</t>
        </is>
      </c>
      <c r="H1114" t="inlineStr">
        <is>
          <t>Solved: current place verified and archived 2026-10-16.</t>
        </is>
      </c>
      <c r="I1114" t="inlineStr">
        <is>
          <t>Resources</t>
        </is>
      </c>
      <c r="M1114" t="inlineStr">
        <is>
          <t>In-game Market for 20 Platinum.</t>
        </is>
      </c>
      <c r="N1114" t="inlineStr">
        <is>
          <t>Decorations/Orbiter Decorations</t>
        </is>
      </c>
      <c r="O1114" t="inlineStr">
        <is>
          <t>Saved a concrete acquisition place from the official Warframe Wiki. Orbiter Decorations Market section: planters cost 20 Platinum (Lua Planter 50).</t>
        </is>
      </c>
    </row>
    <row r="1115">
      <c r="A1115" t="inlineStr">
        <is>
          <t>/Lotus/Types/Items/ShipDecos/Tau/LisetPropSTMxOroOrbStationCalRoomDeskA</t>
        </is>
      </c>
      <c r="B1115" t="inlineStr">
        <is>
          <t>Tauron Academy Desk</t>
        </is>
      </c>
      <c r="C1115" t="inlineStr">
        <is>
          <t>https://wiki.warframe.com/w/Lyon</t>
        </is>
      </c>
      <c r="D1115" t="inlineStr">
        <is>
          <t>ExportResources</t>
        </is>
      </c>
      <c r="F1115" t="inlineStr">
        <is>
          <t>Tauron Academy Desk</t>
        </is>
      </c>
      <c r="H1115" t="inlineStr">
        <is>
          <t>Solved: current place verified and archived 2026-10-16.</t>
        </is>
      </c>
      <c r="I1115" t="inlineStr">
        <is>
          <t>Resources</t>
        </is>
      </c>
      <c r="M1115" t="inlineStr">
        <is>
          <t>Purchase from Lyon's daily offerings (5 random decorations); costs 300-450 Agnovidisc, 120-360 Laudavi or 50-150 Servoris.</t>
        </is>
      </c>
      <c r="N1115" t="inlineStr">
        <is>
          <t>Lyon</t>
        </is>
      </c>
      <c r="O1115" t="inlineStr">
        <is>
          <t>Saved a concrete acquisition place from the official Warframe Wiki. Lyon page lists it in Offerings.</t>
        </is>
      </c>
    </row>
    <row r="1116">
      <c r="A1116" t="inlineStr">
        <is>
          <t>/Lotus/Types/Items/ShipDecos/Tau/LisetPropSTMxOroOrbStationCalRoomDeskB</t>
        </is>
      </c>
      <c r="B1116" t="inlineStr">
        <is>
          <t>Tauron Academy Table</t>
        </is>
      </c>
      <c r="C1116" t="inlineStr">
        <is>
          <t>https://wiki.warframe.com/w/Lyon</t>
        </is>
      </c>
      <c r="D1116" t="inlineStr">
        <is>
          <t>ExportResources</t>
        </is>
      </c>
      <c r="F1116" t="inlineStr">
        <is>
          <t>Tauron Academy Table</t>
        </is>
      </c>
      <c r="H1116" t="inlineStr">
        <is>
          <t>Solved: current place verified and archived 2026-10-16.</t>
        </is>
      </c>
      <c r="I1116" t="inlineStr">
        <is>
          <t>Resources</t>
        </is>
      </c>
      <c r="M1116" t="inlineStr">
        <is>
          <t>Purchase from Lyon's daily offerings (5 random decorations); costs 300-450 Agnovidisc, 120-360 Laudavi or 50-150 Servoris.</t>
        </is>
      </c>
      <c r="N1116" t="inlineStr">
        <is>
          <t>Lyon</t>
        </is>
      </c>
      <c r="O1116" t="inlineStr">
        <is>
          <t>Saved a concrete acquisition place from the official Warframe Wiki. Lyon page lists it in Offerings.</t>
        </is>
      </c>
    </row>
    <row r="1117">
      <c r="A1117" t="inlineStr">
        <is>
          <t>/Lotus/Types/Items/PhotoBooth/PhotoboothTileRJLasXStadiumBossArena</t>
        </is>
      </c>
      <c r="B1117" t="inlineStr">
        <is>
          <t>Technocyte Coda Stadium Scene</t>
        </is>
      </c>
      <c r="C1117" t="inlineStr">
        <is>
          <t>https://wiki.warframe.com/w/Technocyte_Coda/Rewards | https://wiki.warframe.com/w/Emotes | https://wiki.warframe.com/w/Captura | https://wiki.warframe.com/w/Adversary_System</t>
        </is>
      </c>
      <c r="D1117" t="inlineStr">
        <is>
          <t>ExportResources</t>
        </is>
      </c>
      <c r="F1117" t="inlineStr">
        <is>
          <t>Technocyte Coda Stadium Scene</t>
        </is>
      </c>
      <c r="H1117" t="inlineStr">
        <is>
          <t>Solved: current place verified and archived 2026-10-16.</t>
        </is>
      </c>
      <c r="I1117" t="inlineStr">
        <is>
          <t>Resources</t>
        </is>
      </c>
      <c r="M1117" t="inlineStr">
        <is>
          <t>Reward from vanquishing a Technocyte Coda.</t>
        </is>
      </c>
      <c r="N1117" t="inlineStr">
        <is>
          <t>Captura</t>
        </is>
      </c>
      <c r="O1117" t="inlineStr">
        <is>
          <t>Saved a concrete acquisition place from the official Warframe Wiki. Captura scene table lists this scene with its acquisition note.</t>
        </is>
      </c>
    </row>
    <row r="1118">
      <c r="A1118" t="inlineStr">
        <is>
          <t>/Lotus/Types/Items/ShipDecos/Plushies/PlushyDJRomInfested</t>
        </is>
      </c>
      <c r="B1118" t="inlineStr">
        <is>
          <t>Technocyte DJ RoM Floof</t>
        </is>
      </c>
      <c r="C1118" t="inlineStr">
        <is>
          <t>https://wiki.warframe.com/w/Technocyte_Coda/Rewards | https://wiki.warframe.com/w/Adversary_System | https://wiki.warframe.com/w/Decorations/Orbiter_Decorations</t>
        </is>
      </c>
      <c r="D1118" t="inlineStr">
        <is>
          <t>ExportResources</t>
        </is>
      </c>
      <c r="F1118" t="inlineStr">
        <is>
          <t>Technocyte DJ RoM Floof</t>
        </is>
      </c>
      <c r="H1118" t="inlineStr">
        <is>
          <t>Solved: current place verified and archived 2026-10-16.</t>
        </is>
      </c>
      <c r="I1118" t="inlineStr">
        <is>
          <t>Resources</t>
        </is>
      </c>
      <c r="M1118" t="inlineStr">
        <is>
          <t>Reward from vanquishing a Technocyte Coda (each Coda drops one Floof or Poster).</t>
        </is>
      </c>
      <c r="N1118" t="inlineStr">
        <is>
          <t>Technocyte Coda/Rewards</t>
        </is>
      </c>
      <c r="O1118" t="inlineStr">
        <is>
          <t>Saved a concrete acquisition place from the official Warframe Wiki. Rewards page: Coda pulls its second cosmetic drop from a Floof or Poster pool.</t>
        </is>
      </c>
    </row>
    <row r="1119">
      <c r="A1119" t="inlineStr">
        <is>
          <t>/Lotus/Types/Items/ShipDecos/Plushies/PlushyDrillbitInfested</t>
        </is>
      </c>
      <c r="B1119" t="inlineStr">
        <is>
          <t>Technocyte Drillbit Floof</t>
        </is>
      </c>
      <c r="C1119" t="inlineStr">
        <is>
          <t>https://wiki.warframe.com/w/Technocyte_Coda/Rewards | https://wiki.warframe.com/w/Adversary_System | https://wiki.warframe.com/w/Decorations/Orbiter_Decorations</t>
        </is>
      </c>
      <c r="D1119" t="inlineStr">
        <is>
          <t>ExportResources</t>
        </is>
      </c>
      <c r="F1119" t="inlineStr">
        <is>
          <t>Technocyte Drillbit Floof</t>
        </is>
      </c>
      <c r="H1119" t="inlineStr">
        <is>
          <t>Solved: current place verified and archived 2026-10-16.</t>
        </is>
      </c>
      <c r="I1119" t="inlineStr">
        <is>
          <t>Resources</t>
        </is>
      </c>
      <c r="M1119" t="inlineStr">
        <is>
          <t>Reward from vanquishing a Technocyte Coda (each Coda drops one Floof or Poster).</t>
        </is>
      </c>
      <c r="N1119" t="inlineStr">
        <is>
          <t>Technocyte Coda/Rewards</t>
        </is>
      </c>
      <c r="O1119" t="inlineStr">
        <is>
          <t>Saved a concrete acquisition place from the official Warframe Wiki. Rewards page: Coda pulls its second cosmetic drop from a Floof or Poster pool.</t>
        </is>
      </c>
    </row>
    <row r="1120">
      <c r="A1120" t="inlineStr">
        <is>
          <t>/Lotus/Types/Items/ShipDecos/Plushies/PlushyHarddriveInfested</t>
        </is>
      </c>
      <c r="B1120" t="inlineStr">
        <is>
          <t>Technocyte Harddrive Floof</t>
        </is>
      </c>
      <c r="C1120" t="inlineStr">
        <is>
          <t>https://wiki.warframe.com/w/Technocyte_Coda/Rewards | https://wiki.warframe.com/w/Adversary_System | https://wiki.warframe.com/w/Decorations/Orbiter_Decorations</t>
        </is>
      </c>
      <c r="D1120" t="inlineStr">
        <is>
          <t>ExportResources</t>
        </is>
      </c>
      <c r="F1120" t="inlineStr">
        <is>
          <t>Technocyte Harddrive Floof</t>
        </is>
      </c>
      <c r="H1120" t="inlineStr">
        <is>
          <t>Solved: current place verified and archived 2026-10-16.</t>
        </is>
      </c>
      <c r="I1120" t="inlineStr">
        <is>
          <t>Resources</t>
        </is>
      </c>
      <c r="M1120" t="inlineStr">
        <is>
          <t>Reward from vanquishing a Technocyte Coda (each Coda drops one Floof or Poster).</t>
        </is>
      </c>
      <c r="N1120" t="inlineStr">
        <is>
          <t>Technocyte Coda/Rewards</t>
        </is>
      </c>
      <c r="O1120" t="inlineStr">
        <is>
          <t>Saved a concrete acquisition place from the official Warframe Wiki. Rewards page: Coda pulls its second cosmetic drop from a Floof or Poster pool.</t>
        </is>
      </c>
    </row>
    <row r="1121">
      <c r="A1121" t="inlineStr">
        <is>
          <t>/Lotus/Types/Items/ShipDecos/Plushies/PlushyPacketInfested</t>
        </is>
      </c>
      <c r="B1121" t="inlineStr">
        <is>
          <t>Technocyte Packet Floof</t>
        </is>
      </c>
      <c r="C1121" t="inlineStr">
        <is>
          <t>https://wiki.warframe.com/w/Technocyte_Coda/Rewards | https://wiki.warframe.com/w/Adversary_System | https://wiki.warframe.com/w/Decorations/Orbiter_Decorations</t>
        </is>
      </c>
      <c r="D1121" t="inlineStr">
        <is>
          <t>ExportResources</t>
        </is>
      </c>
      <c r="F1121" t="inlineStr">
        <is>
          <t>Technocyte Packet Floof</t>
        </is>
      </c>
      <c r="H1121" t="inlineStr">
        <is>
          <t>Solved: current place verified and archived 2026-10-16.</t>
        </is>
      </c>
      <c r="I1121" t="inlineStr">
        <is>
          <t>Resources</t>
        </is>
      </c>
      <c r="M1121" t="inlineStr">
        <is>
          <t>Reward from vanquishing a Technocyte Coda (each Coda drops one Floof or Poster).</t>
        </is>
      </c>
      <c r="N1121" t="inlineStr">
        <is>
          <t>Technocyte Coda/Rewards</t>
        </is>
      </c>
      <c r="O1121" t="inlineStr">
        <is>
          <t>Saved a concrete acquisition place from the official Warframe Wiki. Rewards page: Coda pulls its second cosmetic drop from a Floof or Poster pool.</t>
        </is>
      </c>
    </row>
    <row r="1122">
      <c r="A1122" t="inlineStr">
        <is>
          <t>/Lotus/Types/Items/ShipDecos/Plushies/PlushyZekeInfested</t>
        </is>
      </c>
      <c r="B1122" t="inlineStr">
        <is>
          <t>Technocyte Zeke Floof</t>
        </is>
      </c>
      <c r="C1122" t="inlineStr">
        <is>
          <t>https://wiki.warframe.com/w/Technocyte_Coda/Rewards | https://wiki.warframe.com/w/Adversary_System | https://wiki.warframe.com/w/Decorations/Orbiter_Decorations</t>
        </is>
      </c>
      <c r="D1122" t="inlineStr">
        <is>
          <t>ExportResources</t>
        </is>
      </c>
      <c r="F1122" t="inlineStr">
        <is>
          <t>Technocyte Zeke Floof</t>
        </is>
      </c>
      <c r="H1122" t="inlineStr">
        <is>
          <t>Solved: current place verified and archived 2026-10-16.</t>
        </is>
      </c>
      <c r="I1122" t="inlineStr">
        <is>
          <t>Resources</t>
        </is>
      </c>
      <c r="M1122" t="inlineStr">
        <is>
          <t>Reward from vanquishing a Technocyte Coda (each Coda drops one Floof or Poster).</t>
        </is>
      </c>
      <c r="N1122" t="inlineStr">
        <is>
          <t>Technocyte Coda/Rewards</t>
        </is>
      </c>
      <c r="O1122" t="inlineStr">
        <is>
          <t>Saved a concrete acquisition place from the official Warframe Wiki. Rewards page: Coda pulls its second cosmetic drop from a Floof or Poster pool.</t>
        </is>
      </c>
    </row>
    <row r="1123">
      <c r="A1123" t="inlineStr">
        <is>
          <t>/Lotus/Types/Items/ShipDecos/LisetPropOstBlubberPileB</t>
        </is>
      </c>
      <c r="B1123" t="inlineStr">
        <is>
          <t>Temple Flesh</t>
        </is>
      </c>
      <c r="C1123" t="inlineStr">
        <is>
          <t>https://wiki.warframe.com/w/Ostron | https://wiki.warframe.com/w/Fragments/Fish | https://wiki.warframe.com/w/Ropalolyst</t>
        </is>
      </c>
      <c r="D1123" t="inlineStr">
        <is>
          <t>ExportResources</t>
        </is>
      </c>
      <c r="F1123" t="inlineStr">
        <is>
          <t>Temple Flesh</t>
        </is>
      </c>
      <c r="H1123" t="inlineStr">
        <is>
          <t>Solved: current place verified and archived 2026-10-16.</t>
        </is>
      </c>
      <c r="I1123" t="inlineStr">
        <is>
          <t>Resources</t>
        </is>
      </c>
      <c r="M1123" t="inlineStr">
        <is>
          <t>In-game Market as part of the Reclamator Pack for 55 Platinum.</t>
        </is>
      </c>
      <c r="N1123" t="inlineStr">
        <is>
          <t>Decorations/Orbiter Decorations</t>
        </is>
      </c>
      <c r="O1123" t="inlineStr">
        <is>
          <t>Saved a concrete acquisition place from the official Warframe Wiki. Orbiter Decorations section lists it with the Reclamator Pack.</t>
        </is>
      </c>
    </row>
    <row r="1124">
      <c r="A1124" t="inlineStr">
        <is>
          <t>/Lotus/Types/Items/ShipDecos/1999FlareBandPoster</t>
        </is>
      </c>
      <c r="B1124" t="inlineStr">
        <is>
          <t>Temple and the Rippers Tour Poster</t>
        </is>
      </c>
      <c r="C1124" t="inlineStr">
        <is>
          <t>https://wiki.warframe.com/w/Beating_Heartstrings | https://wiki.warframe.com/w/The_Hex_(Syndicate)</t>
        </is>
      </c>
      <c r="D1124" t="inlineStr">
        <is>
          <t>ExportResources</t>
        </is>
      </c>
      <c r="F1124" t="inlineStr">
        <is>
          <t>Temple and the Rippers Tour Poster</t>
        </is>
      </c>
      <c r="H1124" t="inlineStr">
        <is>
          <t>Solved: current place verified and archived 2026-10-16.</t>
        </is>
      </c>
      <c r="I1124" t="inlineStr">
        <is>
          <t>Resources</t>
        </is>
      </c>
      <c r="M1124" t="inlineStr">
        <is>
          <t>Purchase from Flare Varleon in Höllvania Central Mall for 30 Beating Heartstrings; Beating Heartstrings drop from Stage Defense in Solstice Square.</t>
        </is>
      </c>
      <c r="N1124" t="inlineStr">
        <is>
          <t>Beating Heartstrings</t>
        </is>
      </c>
      <c r="O1124" t="inlineStr">
        <is>
          <t>Saved a concrete acquisition place from the official Warframe Wiki. Beating Heartstrings vendor checklist lists the poster at Flare Varleon for 30.</t>
        </is>
      </c>
    </row>
    <row r="1125">
      <c r="A1125" t="inlineStr">
        <is>
          <t>/Lotus/Types/Items/ShipDecos/TennoCon2021CosplayBaseTrophy</t>
        </is>
      </c>
      <c r="B1125" t="inlineStr">
        <is>
          <t>TennoCon 2021 - Art Award</t>
        </is>
      </c>
      <c r="C1125" t="inlineStr">
        <is>
          <t>https://wiki.warframe.com/w/Decorations/Orbiter_Decorations</t>
        </is>
      </c>
      <c r="D1125" t="inlineStr">
        <is>
          <t>ExportResources</t>
        </is>
      </c>
      <c r="F1125" t="inlineStr">
        <is>
          <t>TennoCon 2021 - Art Award</t>
        </is>
      </c>
      <c r="H1125" t="inlineStr">
        <is>
          <t>Solved: current place verified and archived 2026-10-16.</t>
        </is>
      </c>
      <c r="I1125" t="inlineStr">
        <is>
          <t>Resources</t>
        </is>
      </c>
      <c r="M1125" t="inlineStr">
        <is>
          <t>Awarded to featured finalists of the TennoCon 2021 Art Show.</t>
        </is>
      </c>
      <c r="N1125" t="inlineStr">
        <is>
          <t>Decorations/Orbiter Decorations</t>
        </is>
      </c>
      <c r="O1125" t="inlineStr">
        <is>
          <t>Saved a concrete acquisition place from the official Warframe Wiki. TennoCon section, Art Show tab.</t>
        </is>
      </c>
    </row>
    <row r="1126">
      <c r="A1126" t="inlineStr">
        <is>
          <t>/Lotus/Types/Items/ShipDecos/TennoCon2021CosplayBestInShowTrophy</t>
        </is>
      </c>
      <c r="B1126" t="inlineStr">
        <is>
          <t>TennoCon 2021 - Best In Show Award</t>
        </is>
      </c>
      <c r="C1126" t="inlineStr">
        <is>
          <t>https://wiki.warframe.com/w/Decorations/Orbiter_Decorations</t>
        </is>
      </c>
      <c r="D1126" t="inlineStr">
        <is>
          <t>ExportResources</t>
        </is>
      </c>
      <c r="F1126" t="inlineStr">
        <is>
          <t>TennoCon 2021 - Best In Show Award</t>
        </is>
      </c>
      <c r="H1126" t="inlineStr">
        <is>
          <t>Solved: current place verified and archived 2026-10-16.</t>
        </is>
      </c>
      <c r="I1126" t="inlineStr">
        <is>
          <t>Resources</t>
        </is>
      </c>
      <c r="M1126" t="inlineStr">
        <is>
          <t>Awarded to the winner of the Best In Show Award category of the TennoCon 2021 Cosplay Contest.</t>
        </is>
      </c>
      <c r="N1126" t="inlineStr">
        <is>
          <t>Decorations/Orbiter Decorations</t>
        </is>
      </c>
      <c r="O1126" t="inlineStr">
        <is>
          <t>Saved a concrete acquisition place from the official Warframe Wiki. TennoCon section, Cosplay Contest tab.</t>
        </is>
      </c>
    </row>
    <row r="1127">
      <c r="A1127" t="inlineStr">
        <is>
          <t>/Lotus/Types/Items/ShipDecos/TennoCon2021CosplayTrophy</t>
        </is>
      </c>
      <c r="B1127" t="inlineStr">
        <is>
          <t>TennoCon 2021 - Clem's Choice Award</t>
        </is>
      </c>
      <c r="C1127" t="inlineStr">
        <is>
          <t>https://wiki.warframe.com/w/Decorations/Orbiter_Decorations</t>
        </is>
      </c>
      <c r="D1127" t="inlineStr">
        <is>
          <t>ExportResources</t>
        </is>
      </c>
      <c r="F1127" t="inlineStr">
        <is>
          <t>TennoCon 2021 - Clem's Choice Award</t>
        </is>
      </c>
      <c r="H1127" t="inlineStr">
        <is>
          <t>Solved: current place verified and archived 2026-10-16.</t>
        </is>
      </c>
      <c r="I1127" t="inlineStr">
        <is>
          <t>Resources</t>
        </is>
      </c>
      <c r="M1127" t="inlineStr">
        <is>
          <t>Awarded to the winner of the Clem's Choice Award category of the TennoCon 2021 Cosplay Contest.</t>
        </is>
      </c>
      <c r="N1127" t="inlineStr">
        <is>
          <t>Decorations/Orbiter Decorations</t>
        </is>
      </c>
      <c r="O1127" t="inlineStr">
        <is>
          <t>Saved a concrete acquisition place from the official Warframe Wiki. TennoCon section, Cosplay Contest tab.</t>
        </is>
      </c>
    </row>
    <row r="1128">
      <c r="A1128" t="inlineStr">
        <is>
          <t>/Lotus/Types/Items/ShipDecos/TennoCon2021CosplayBestPetTrophy</t>
        </is>
      </c>
      <c r="B1128" t="inlineStr">
        <is>
          <t>TennoCon 2021 - Master Teasonai Award</t>
        </is>
      </c>
      <c r="C1128" t="inlineStr">
        <is>
          <t>https://wiki.warframe.com/w/Decorations/Orbiter_Decorations</t>
        </is>
      </c>
      <c r="D1128" t="inlineStr">
        <is>
          <t>ExportResources</t>
        </is>
      </c>
      <c r="F1128" t="inlineStr">
        <is>
          <t>TennoCon 2021 - Master Teasonai Award</t>
        </is>
      </c>
      <c r="H1128" t="inlineStr">
        <is>
          <t>Solved: current place verified and archived 2026-10-16.</t>
        </is>
      </c>
      <c r="I1128" t="inlineStr">
        <is>
          <t>Resources</t>
        </is>
      </c>
      <c r="M1128" t="inlineStr">
        <is>
          <t>Awarded to the winner of the Master Teasonai Award category of the TennoCon 2021 Cosplay Contest.</t>
        </is>
      </c>
      <c r="N1128" t="inlineStr">
        <is>
          <t>Decorations/Orbiter Decorations</t>
        </is>
      </c>
      <c r="O1128" t="inlineStr">
        <is>
          <t>Saved a concrete acquisition place from the official Warframe Wiki. TennoCon section, Cosplay Contest tab.</t>
        </is>
      </c>
    </row>
    <row r="1129">
      <c r="A1129" t="inlineStr">
        <is>
          <t>/Lotus/Types/Items/ShipDecos/TennoCon2021CosplayFunniestTrophy</t>
        </is>
      </c>
      <c r="B1129" t="inlineStr">
        <is>
          <t>TennoCon 2021 - Ordis Punny Award</t>
        </is>
      </c>
      <c r="C1129" t="inlineStr">
        <is>
          <t>https://wiki.warframe.com/w/Decorations/Orbiter_Decorations</t>
        </is>
      </c>
      <c r="D1129" t="inlineStr">
        <is>
          <t>ExportResources</t>
        </is>
      </c>
      <c r="F1129" t="inlineStr">
        <is>
          <t>TennoCon 2021 - Ordis Punny Award</t>
        </is>
      </c>
      <c r="H1129" t="inlineStr">
        <is>
          <t>Solved: current place verified and archived 2026-10-16.</t>
        </is>
      </c>
      <c r="I1129" t="inlineStr">
        <is>
          <t>Resources</t>
        </is>
      </c>
      <c r="M1129" t="inlineStr">
        <is>
          <t>Awarded to the winner of the Ordis Punny Award category of the TennoCon 2021 Cosplay Contest.</t>
        </is>
      </c>
      <c r="N1129" t="inlineStr">
        <is>
          <t>Decorations/Orbiter Decorations</t>
        </is>
      </c>
      <c r="O1129" t="inlineStr">
        <is>
          <t>Saved a concrete acquisition place from the official Warframe Wiki. TennoCon section, Cosplay Contest tab.</t>
        </is>
      </c>
    </row>
    <row r="1130">
      <c r="A1130" t="inlineStr">
        <is>
          <t>/Lotus/Types/Items/ShipDecos/TennoCon2021CosplayBestWorkmanshipTrophy</t>
        </is>
      </c>
      <c r="B1130" t="inlineStr">
        <is>
          <t>TennoCon 2021 - Solaris Worksmanship Award</t>
        </is>
      </c>
      <c r="C1130" t="inlineStr">
        <is>
          <t>https://wiki.warframe.com/w/Decorations/Orbiter_Decorations</t>
        </is>
      </c>
      <c r="D1130" t="inlineStr">
        <is>
          <t>ExportResources</t>
        </is>
      </c>
      <c r="F1130" t="inlineStr">
        <is>
          <t>TennoCon 2021 - Solaris Worksmanship Award</t>
        </is>
      </c>
      <c r="H1130" t="inlineStr">
        <is>
          <t>Solved: current place verified and archived 2026-10-16.</t>
        </is>
      </c>
      <c r="I1130" t="inlineStr">
        <is>
          <t>Resources</t>
        </is>
      </c>
      <c r="M1130" t="inlineStr">
        <is>
          <t>Awarded to the winner of the Solaris Worksmanship Award category of the TennoCon 2021 Cosplay Contest.</t>
        </is>
      </c>
      <c r="N1130" t="inlineStr">
        <is>
          <t>Decorations/Orbiter Decorations</t>
        </is>
      </c>
      <c r="O1130" t="inlineStr">
        <is>
          <t>Saved a concrete acquisition place from the official Warframe Wiki. TennoCon section, Cosplay Contest tab.</t>
        </is>
      </c>
    </row>
    <row r="1131">
      <c r="A1131" t="inlineStr">
        <is>
          <t>/Lotus/Types/Items/ShipDecos/TennoCon2022CosplayBaseTrophy</t>
        </is>
      </c>
      <c r="B1131" t="inlineStr">
        <is>
          <t>TennoCon 2022 - Art Award</t>
        </is>
      </c>
      <c r="C1131" t="inlineStr">
        <is>
          <t>https://wiki.warframe.com/w/Decorations/Orbiter_Decorations</t>
        </is>
      </c>
      <c r="D1131" t="inlineStr">
        <is>
          <t>ExportResources</t>
        </is>
      </c>
      <c r="F1131" t="inlineStr">
        <is>
          <t>TennoCon 2022 - Art Award</t>
        </is>
      </c>
      <c r="H1131" t="inlineStr">
        <is>
          <t>Solved: current place verified and archived 2026-10-16.</t>
        </is>
      </c>
      <c r="I1131" t="inlineStr">
        <is>
          <t>Resources</t>
        </is>
      </c>
      <c r="M1131" t="inlineStr">
        <is>
          <t>Awarded to featured finalists of the TennoCon 2022 Art Show.</t>
        </is>
      </c>
      <c r="N1131" t="inlineStr">
        <is>
          <t>Decorations/Orbiter Decorations</t>
        </is>
      </c>
      <c r="O1131" t="inlineStr">
        <is>
          <t>Saved a concrete acquisition place from the official Warframe Wiki. TennoCon section, Art Show tab.</t>
        </is>
      </c>
    </row>
    <row r="1132">
      <c r="A1132" t="inlineStr">
        <is>
          <t>/Lotus/Types/Items/ShipDecos/TennoCon2022CosplayBestInShowTrophy</t>
        </is>
      </c>
      <c r="B1132" t="inlineStr">
        <is>
          <t>TennoCon 2022 - Best In Show Award</t>
        </is>
      </c>
      <c r="C1132" t="inlineStr">
        <is>
          <t>https://wiki.warframe.com/w/Decorations/Orbiter_Decorations</t>
        </is>
      </c>
      <c r="D1132" t="inlineStr">
        <is>
          <t>ExportResources</t>
        </is>
      </c>
      <c r="F1132" t="inlineStr">
        <is>
          <t>TennoCon 2022 - Best In Show Award</t>
        </is>
      </c>
      <c r="H1132" t="inlineStr">
        <is>
          <t>Solved: current place verified and archived 2026-10-16.</t>
        </is>
      </c>
      <c r="I1132" t="inlineStr">
        <is>
          <t>Resources</t>
        </is>
      </c>
      <c r="M1132" t="inlineStr">
        <is>
          <t>Awarded to the winner of the Best In Show Award category of the TennoCon 2022 Cosplay Contest.</t>
        </is>
      </c>
      <c r="N1132" t="inlineStr">
        <is>
          <t>Decorations/Orbiter Decorations</t>
        </is>
      </c>
      <c r="O1132" t="inlineStr">
        <is>
          <t>Saved a concrete acquisition place from the official Warframe Wiki. TennoCon section, Cosplay Contest tab.</t>
        </is>
      </c>
    </row>
    <row r="1133">
      <c r="A1133" t="inlineStr">
        <is>
          <t>/Lotus/Types/Items/ShipDecos/TennoCon2022CosplayTrophy</t>
        </is>
      </c>
      <c r="B1133" t="inlineStr">
        <is>
          <t>TennoCon 2022 - Clem's Choice Award</t>
        </is>
      </c>
      <c r="C1133" t="inlineStr">
        <is>
          <t>https://wiki.warframe.com/w/Decorations/Orbiter_Decorations</t>
        </is>
      </c>
      <c r="D1133" t="inlineStr">
        <is>
          <t>ExportResources</t>
        </is>
      </c>
      <c r="F1133" t="inlineStr">
        <is>
          <t>TennoCon 2022 - Clem's Choice Award</t>
        </is>
      </c>
      <c r="H1133" t="inlineStr">
        <is>
          <t>Solved: current place verified and archived 2026-10-16.</t>
        </is>
      </c>
      <c r="I1133" t="inlineStr">
        <is>
          <t>Resources</t>
        </is>
      </c>
      <c r="M1133" t="inlineStr">
        <is>
          <t>Awarded to the winner of the Clem's Choice Award category of the TennoCon 2022 Cosplay Contest.</t>
        </is>
      </c>
      <c r="N1133" t="inlineStr">
        <is>
          <t>Decorations/Orbiter Decorations</t>
        </is>
      </c>
      <c r="O1133" t="inlineStr">
        <is>
          <t>Saved a concrete acquisition place from the official Warframe Wiki. TennoCon section, Cosplay Contest tab.</t>
        </is>
      </c>
    </row>
    <row r="1134">
      <c r="A1134" t="inlineStr">
        <is>
          <t>/Lotus/Types/Items/ShipDecos/TennoCon2022CosplayBestPetTrophy</t>
        </is>
      </c>
      <c r="B1134" t="inlineStr">
        <is>
          <t>TennoCon 2022 - Master Teasonai Award</t>
        </is>
      </c>
      <c r="C1134" t="inlineStr">
        <is>
          <t>https://wiki.warframe.com/w/Decorations/Orbiter_Decorations</t>
        </is>
      </c>
      <c r="D1134" t="inlineStr">
        <is>
          <t>ExportResources</t>
        </is>
      </c>
      <c r="F1134" t="inlineStr">
        <is>
          <t>TennoCon 2022 - Master Teasonai Award</t>
        </is>
      </c>
      <c r="H1134" t="inlineStr">
        <is>
          <t>Solved: current place verified and archived 2026-10-16.</t>
        </is>
      </c>
      <c r="I1134" t="inlineStr">
        <is>
          <t>Resources</t>
        </is>
      </c>
      <c r="M1134" t="inlineStr">
        <is>
          <t>Awarded to the winner of the Master Teasonai Award category of the TennoCon 2022 Cosplay Contest.</t>
        </is>
      </c>
      <c r="N1134" t="inlineStr">
        <is>
          <t>Decorations/Orbiter Decorations</t>
        </is>
      </c>
      <c r="O1134" t="inlineStr">
        <is>
          <t>Saved a concrete acquisition place from the official Warframe Wiki. TennoCon section, Cosplay Contest tab.</t>
        </is>
      </c>
    </row>
    <row r="1135">
      <c r="A1135" t="inlineStr">
        <is>
          <t>/Lotus/Types/Items/ShipDecos/TennoCon2022CosplayFunniestTrophy</t>
        </is>
      </c>
      <c r="B1135" t="inlineStr">
        <is>
          <t>TennoCon 2022 - Ordis Punny Award</t>
        </is>
      </c>
      <c r="C1135" t="inlineStr">
        <is>
          <t>https://wiki.warframe.com/w/Decorations/Orbiter_Decorations</t>
        </is>
      </c>
      <c r="D1135" t="inlineStr">
        <is>
          <t>ExportResources</t>
        </is>
      </c>
      <c r="F1135" t="inlineStr">
        <is>
          <t>TennoCon 2022 - Ordis Punny Award</t>
        </is>
      </c>
      <c r="H1135" t="inlineStr">
        <is>
          <t>Solved: current place verified and archived 2026-10-16.</t>
        </is>
      </c>
      <c r="I1135" t="inlineStr">
        <is>
          <t>Resources</t>
        </is>
      </c>
      <c r="M1135" t="inlineStr">
        <is>
          <t>Awarded to the winner of the Ordis Punny Award category of the TennoCon 2022 Cosplay Contest.</t>
        </is>
      </c>
      <c r="N1135" t="inlineStr">
        <is>
          <t>Decorations/Orbiter Decorations</t>
        </is>
      </c>
      <c r="O1135" t="inlineStr">
        <is>
          <t>Saved a concrete acquisition place from the official Warframe Wiki. TennoCon section, Cosplay Contest tab.</t>
        </is>
      </c>
    </row>
    <row r="1136">
      <c r="A1136" t="inlineStr">
        <is>
          <t>/Lotus/Types/Items/ShipDecos/TennoCon2022CosplayBestWorkmanshipTrophy</t>
        </is>
      </c>
      <c r="B1136" t="inlineStr">
        <is>
          <t>TennoCon 2022 - Solaris Worksmanship Award</t>
        </is>
      </c>
      <c r="C1136" t="inlineStr">
        <is>
          <t>https://wiki.warframe.com/w/Decorations/Orbiter_Decorations</t>
        </is>
      </c>
      <c r="D1136" t="inlineStr">
        <is>
          <t>ExportResources</t>
        </is>
      </c>
      <c r="F1136" t="inlineStr">
        <is>
          <t>TennoCon 2022 - Solaris Worksmanship Award</t>
        </is>
      </c>
      <c r="H1136" t="inlineStr">
        <is>
          <t>Solved: current place verified and archived 2026-10-16.</t>
        </is>
      </c>
      <c r="I1136" t="inlineStr">
        <is>
          <t>Resources</t>
        </is>
      </c>
      <c r="M1136" t="inlineStr">
        <is>
          <t>Awarded to the winner of the Solaris Worksmanship Award category of the TennoCon 2022 Cosplay Contest.</t>
        </is>
      </c>
      <c r="N1136" t="inlineStr">
        <is>
          <t>Decorations/Orbiter Decorations</t>
        </is>
      </c>
      <c r="O1136" t="inlineStr">
        <is>
          <t>Saved a concrete acquisition place from the official Warframe Wiki. TennoCon section, Cosplay Contest tab.</t>
        </is>
      </c>
    </row>
    <row r="1137">
      <c r="A1137" t="inlineStr">
        <is>
          <t>/Lotus/Types/Items/ShipDecos/TennoCon2024CosplayTrophy</t>
        </is>
      </c>
      <c r="B1137" t="inlineStr">
        <is>
          <t>TennoCon 2024 - Floofy Cuteness Award</t>
        </is>
      </c>
      <c r="C1137" t="inlineStr">
        <is>
          <t>https://wiki.warframe.com/w/Glyph | https://wiki.warframe.com/w/Decorations/Orbiter_Decorations</t>
        </is>
      </c>
      <c r="D1137" t="inlineStr">
        <is>
          <t>ExportResources</t>
        </is>
      </c>
      <c r="F1137" t="inlineStr">
        <is>
          <t>TennoCon 2024 - Floofy Cuteness Award</t>
        </is>
      </c>
      <c r="H1137" t="inlineStr">
        <is>
          <t>Solved: current place verified and archived 2026-10-16.</t>
        </is>
      </c>
      <c r="I1137" t="inlineStr">
        <is>
          <t>Resources</t>
        </is>
      </c>
      <c r="M1137" t="inlineStr">
        <is>
          <t>Awarded to the winner of the Floofy Cuteness Award category of the TennoCon 2024 Cosplay Contest.</t>
        </is>
      </c>
      <c r="N1137" t="inlineStr">
        <is>
          <t>Decorations/Orbiter Decorations</t>
        </is>
      </c>
      <c r="O1137" t="inlineStr">
        <is>
          <t>Saved a concrete acquisition place from the official Warframe Wiki. TennoCon section, Cosplay Contest tab.</t>
        </is>
      </c>
    </row>
    <row r="1138">
      <c r="A1138" t="inlineStr">
        <is>
          <t>/Lotus/Types/Items/ShipDecos/TennoCon2024CosplayBestPetTrophy</t>
        </is>
      </c>
      <c r="B1138" t="inlineStr">
        <is>
          <t>TennoCon 2024 - Master Teasonai Award</t>
        </is>
      </c>
      <c r="C1138" t="inlineStr">
        <is>
          <t>https://wiki.warframe.com/w/Glyph | https://wiki.warframe.com/w/Decorations/Orbiter_Decorations</t>
        </is>
      </c>
      <c r="D1138" t="inlineStr">
        <is>
          <t>ExportResources</t>
        </is>
      </c>
      <c r="F1138" t="inlineStr">
        <is>
          <t>TennoCon 2024 - Master Teasonai Award</t>
        </is>
      </c>
      <c r="H1138" t="inlineStr">
        <is>
          <t>Solved: current place verified and archived 2026-10-16.</t>
        </is>
      </c>
      <c r="I1138" t="inlineStr">
        <is>
          <t>Resources</t>
        </is>
      </c>
      <c r="M1138" t="inlineStr">
        <is>
          <t>Awarded to the winner of the Master Teasonai Award category of the TennoCon 2024 Cosplay Contest.</t>
        </is>
      </c>
      <c r="N1138" t="inlineStr">
        <is>
          <t>Decorations/Orbiter Decorations</t>
        </is>
      </c>
      <c r="O1138" t="inlineStr">
        <is>
          <t>Saved a concrete acquisition place from the official Warframe Wiki. TennoCon section, Cosplay Contest tab.</t>
        </is>
      </c>
    </row>
    <row r="1139">
      <c r="A1139" t="inlineStr">
        <is>
          <t>/Lotus/Types/Items/ShipDecos/TennoCon2024CosplayFunniestTrophy</t>
        </is>
      </c>
      <c r="B1139" t="inlineStr">
        <is>
          <t>TennoCon 2024 - Ordis Punny Award</t>
        </is>
      </c>
      <c r="C1139" t="inlineStr">
        <is>
          <t>https://wiki.warframe.com/w/Glyph | https://wiki.warframe.com/w/Decorations/Orbiter_Decorations</t>
        </is>
      </c>
      <c r="D1139" t="inlineStr">
        <is>
          <t>ExportResources</t>
        </is>
      </c>
      <c r="F1139" t="inlineStr">
        <is>
          <t>TennoCon 2024 - Ordis Punny Award</t>
        </is>
      </c>
      <c r="H1139" t="inlineStr">
        <is>
          <t>Solved: current place verified and archived 2026-10-16.</t>
        </is>
      </c>
      <c r="I1139" t="inlineStr">
        <is>
          <t>Resources</t>
        </is>
      </c>
      <c r="M1139" t="inlineStr">
        <is>
          <t>Awarded to the winner of the Ordis Punny Award category of the TennoCon 2024 Cosplay Contest.</t>
        </is>
      </c>
      <c r="N1139" t="inlineStr">
        <is>
          <t>Decorations/Orbiter Decorations</t>
        </is>
      </c>
      <c r="O1139" t="inlineStr">
        <is>
          <t>Saved a concrete acquisition place from the official Warframe Wiki. TennoCon section, Cosplay Contest tab.</t>
        </is>
      </c>
    </row>
    <row r="1140">
      <c r="A1140" t="inlineStr">
        <is>
          <t>/Lotus/Types/Items/ShipDecos/TennoCon2024CosplayBestInShowTrophy</t>
        </is>
      </c>
      <c r="B1140" t="inlineStr">
        <is>
          <t>TennoCon 2024 - Orokin Gold Award</t>
        </is>
      </c>
      <c r="C1140" t="inlineStr">
        <is>
          <t>https://wiki.warframe.com/w/Glyph | https://wiki.warframe.com/w/Decorations/Orbiter_Decorations</t>
        </is>
      </c>
      <c r="D1140" t="inlineStr">
        <is>
          <t>ExportResources</t>
        </is>
      </c>
      <c r="F1140" t="inlineStr">
        <is>
          <t>TennoCon 2024 - Orokin Gold Award</t>
        </is>
      </c>
      <c r="H1140" t="inlineStr">
        <is>
          <t>Solved: current place verified and archived 2026-10-16.</t>
        </is>
      </c>
      <c r="I1140" t="inlineStr">
        <is>
          <t>Resources</t>
        </is>
      </c>
      <c r="M1140" t="inlineStr">
        <is>
          <t>Awarded to the winner of the Orokin Gold Award category of the TennoCon 2024 Cosplay Contest.</t>
        </is>
      </c>
      <c r="N1140" t="inlineStr">
        <is>
          <t>Decorations/Orbiter Decorations</t>
        </is>
      </c>
      <c r="O1140" t="inlineStr">
        <is>
          <t>Saved a concrete acquisition place from the official Warframe Wiki. TennoCon section, Cosplay Contest tab.</t>
        </is>
      </c>
    </row>
    <row r="1141">
      <c r="A1141" t="inlineStr">
        <is>
          <t>/Lotus/Types/Items/ShipDecos/TennoCon2025CosplayFirstPlaceTrophy</t>
        </is>
      </c>
      <c r="B1141" t="inlineStr">
        <is>
          <t>TennoCon 2025 - 1st Place</t>
        </is>
      </c>
      <c r="C1141" t="inlineStr">
        <is>
          <t>https://wiki.warframe.com/w/Glyph | https://wiki.warframe.com/w/Decorations/Orbiter_Decorations</t>
        </is>
      </c>
      <c r="D1141" t="inlineStr">
        <is>
          <t>ExportResources</t>
        </is>
      </c>
      <c r="F1141" t="inlineStr">
        <is>
          <t>TennoCon 2025 - 1st Place</t>
        </is>
      </c>
      <c r="H1141" t="inlineStr">
        <is>
          <t>Solved: current place verified and archived 2026-10-16.</t>
        </is>
      </c>
      <c r="I1141" t="inlineStr">
        <is>
          <t>Resources</t>
        </is>
      </c>
      <c r="M1141" t="inlineStr">
        <is>
          <t>Awarded to the winner of the 1st Place category of the TennoCon 2025 Cosplay Contest.</t>
        </is>
      </c>
      <c r="N1141" t="inlineStr">
        <is>
          <t>Decorations/Orbiter Decorations</t>
        </is>
      </c>
      <c r="O1141" t="inlineStr">
        <is>
          <t>Saved a concrete acquisition place from the official Warframe Wiki. TennoCon section, Cosplay Contest tab.</t>
        </is>
      </c>
    </row>
    <row r="1142">
      <c r="A1142" t="inlineStr">
        <is>
          <t>/Lotus/Types/Items/ShipDecos/TennoCon2025CosplaySecondPlaceTrophy</t>
        </is>
      </c>
      <c r="B1142" t="inlineStr">
        <is>
          <t>TennoCon 2025 - 2nd Place</t>
        </is>
      </c>
      <c r="C1142" t="inlineStr">
        <is>
          <t>https://wiki.warframe.com/w/Glyph | https://wiki.warframe.com/w/Decorations/Orbiter_Decorations</t>
        </is>
      </c>
      <c r="D1142" t="inlineStr">
        <is>
          <t>ExportResources</t>
        </is>
      </c>
      <c r="F1142" t="inlineStr">
        <is>
          <t>TennoCon 2025 - 2nd Place</t>
        </is>
      </c>
      <c r="H1142" t="inlineStr">
        <is>
          <t>Solved: current place verified and archived 2026-10-16.</t>
        </is>
      </c>
      <c r="I1142" t="inlineStr">
        <is>
          <t>Resources</t>
        </is>
      </c>
      <c r="M1142" t="inlineStr">
        <is>
          <t>Awarded to the winner of the 2nd Place category of the TennoCon 2025 Cosplay Contest.</t>
        </is>
      </c>
      <c r="N1142" t="inlineStr">
        <is>
          <t>Decorations/Orbiter Decorations</t>
        </is>
      </c>
      <c r="O1142" t="inlineStr">
        <is>
          <t>Saved a concrete acquisition place from the official Warframe Wiki. TennoCon section, Cosplay Contest tab.</t>
        </is>
      </c>
    </row>
    <row r="1143">
      <c r="A1143" t="inlineStr">
        <is>
          <t>/Lotus/Types/Items/ShipDecos/TennoCon2025CosplayThirdPlaceTrophy</t>
        </is>
      </c>
      <c r="B1143" t="inlineStr">
        <is>
          <t>TennoCon 2025 - 3rd Place</t>
        </is>
      </c>
      <c r="C1143" t="inlineStr">
        <is>
          <t>https://wiki.warframe.com/w/Glyph | https://wiki.warframe.com/w/Decorations/Orbiter_Decorations</t>
        </is>
      </c>
      <c r="D1143" t="inlineStr">
        <is>
          <t>ExportResources</t>
        </is>
      </c>
      <c r="F1143" t="inlineStr">
        <is>
          <t>TennoCon 2025 - 3rd Place</t>
        </is>
      </c>
      <c r="H1143" t="inlineStr">
        <is>
          <t>Solved: current place verified and archived 2026-10-16.</t>
        </is>
      </c>
      <c r="I1143" t="inlineStr">
        <is>
          <t>Resources</t>
        </is>
      </c>
      <c r="M1143" t="inlineStr">
        <is>
          <t>Awarded to the winner of the 3rd Place category of the TennoCon 2025 Cosplay Contest.</t>
        </is>
      </c>
      <c r="N1143" t="inlineStr">
        <is>
          <t>Decorations/Orbiter Decorations</t>
        </is>
      </c>
      <c r="O1143" t="inlineStr">
        <is>
          <t>Saved a concrete acquisition place from the official Warframe Wiki. TennoCon section, Cosplay Contest tab.</t>
        </is>
      </c>
    </row>
    <row r="1144">
      <c r="A1144" t="inlineStr">
        <is>
          <t>/Lotus/Types/Items/ShipDecos/TennoCon2025CosplayBombasticTrophy</t>
        </is>
      </c>
      <c r="B1144" t="inlineStr">
        <is>
          <t>TennoCon 2025 - Bombastic Performance Award</t>
        </is>
      </c>
      <c r="C1144" t="inlineStr">
        <is>
          <t>https://wiki.warframe.com/w/Decorations/Orbiter_Decorations</t>
        </is>
      </c>
      <c r="D1144" t="inlineStr">
        <is>
          <t>ExportResources</t>
        </is>
      </c>
      <c r="F1144" t="inlineStr">
        <is>
          <t>TennoCon 2025 - Bombastic Performance Award</t>
        </is>
      </c>
      <c r="H1144" t="inlineStr">
        <is>
          <t>Solved: current place verified and archived 2026-10-16.</t>
        </is>
      </c>
      <c r="I1144" t="inlineStr">
        <is>
          <t>Resources</t>
        </is>
      </c>
      <c r="M1144" t="inlineStr">
        <is>
          <t>Awarded to the winner of the Bombastic Performance Award category of the TennoCon 2025 Cosplay Contest.</t>
        </is>
      </c>
      <c r="N1144" t="inlineStr">
        <is>
          <t>Decorations/Orbiter Decorations</t>
        </is>
      </c>
      <c r="O1144" t="inlineStr">
        <is>
          <t>Saved a concrete acquisition place from the official Warframe Wiki. TennoCon section, Cosplay Contest tab.</t>
        </is>
      </c>
    </row>
    <row r="1145">
      <c r="A1145" t="inlineStr">
        <is>
          <t>/Lotus/Types/Items/ShipDecos/TennoCon2025CosplayLotusChoiceTrophy</t>
        </is>
      </c>
      <c r="B1145" t="inlineStr">
        <is>
          <t>TennoCon 2025 - Lotus' Choice Award</t>
        </is>
      </c>
      <c r="C1145" t="inlineStr">
        <is>
          <t>https://wiki.warframe.com/w/Decorations/Orbiter_Decorations</t>
        </is>
      </c>
      <c r="D1145" t="inlineStr">
        <is>
          <t>ExportResources</t>
        </is>
      </c>
      <c r="F1145" t="inlineStr">
        <is>
          <t>TennoCon 2025 - Lotus' Choice Award</t>
        </is>
      </c>
      <c r="H1145" t="inlineStr">
        <is>
          <t>Solved: current place verified and archived 2026-10-16.</t>
        </is>
      </c>
      <c r="I1145" t="inlineStr">
        <is>
          <t>Resources</t>
        </is>
      </c>
      <c r="M1145" t="inlineStr">
        <is>
          <t>Awarded to the winner of the Lotus' Choice Award category of the TennoCon 2025 Cosplay Contest.</t>
        </is>
      </c>
      <c r="N1145" t="inlineStr">
        <is>
          <t>Decorations/Orbiter Decorations</t>
        </is>
      </c>
      <c r="O1145" t="inlineStr">
        <is>
          <t>Saved a concrete acquisition place from the official Warframe Wiki. TennoCon section, Cosplay Contest tab.</t>
        </is>
      </c>
    </row>
    <row r="1146">
      <c r="A1146" t="inlineStr">
        <is>
          <t>/Lotus/Types/Items/ShipDecos/TennoCon2025CosplayOrokinGoldTrophy</t>
        </is>
      </c>
      <c r="B1146" t="inlineStr">
        <is>
          <t>TennoCon 2025 - Orokin Gold Award</t>
        </is>
      </c>
      <c r="C1146" t="inlineStr">
        <is>
          <t>https://wiki.warframe.com/w/Decorations/Orbiter_Decorations</t>
        </is>
      </c>
      <c r="D1146" t="inlineStr">
        <is>
          <t>ExportResources</t>
        </is>
      </c>
      <c r="F1146" t="inlineStr">
        <is>
          <t>TennoCon 2025 - Orokin Gold Award</t>
        </is>
      </c>
      <c r="H1146" t="inlineStr">
        <is>
          <t>Solved: current place verified and archived 2026-10-16.</t>
        </is>
      </c>
      <c r="I1146" t="inlineStr">
        <is>
          <t>Resources</t>
        </is>
      </c>
      <c r="M1146" t="inlineStr">
        <is>
          <t>Awarded to the winner of the Orokin Gold Award category of the TennoCon 2025 Cosplay Contest.</t>
        </is>
      </c>
      <c r="N1146" t="inlineStr">
        <is>
          <t>Decorations/Orbiter Decorations</t>
        </is>
      </c>
      <c r="O1146" t="inlineStr">
        <is>
          <t>Saved a concrete acquisition place from the official Warframe Wiki. TennoCon section, Cosplay Contest tab.</t>
        </is>
      </c>
    </row>
    <row r="1147">
      <c r="A1147" t="inlineStr">
        <is>
          <t>/Lotus/Types/Items/ShipDecos/TennoCon2025CosplayOstronIngenuityTrophy</t>
        </is>
      </c>
      <c r="B1147" t="inlineStr">
        <is>
          <t>TennoCon 2025 - Ostron Ingenuity Award</t>
        </is>
      </c>
      <c r="C1147" t="inlineStr">
        <is>
          <t>https://wiki.warframe.com/w/Decorations/Orbiter_Decorations</t>
        </is>
      </c>
      <c r="D1147" t="inlineStr">
        <is>
          <t>ExportResources</t>
        </is>
      </c>
      <c r="F1147" t="inlineStr">
        <is>
          <t>TennoCon 2025 - Ostron Ingenuity Award</t>
        </is>
      </c>
      <c r="H1147" t="inlineStr">
        <is>
          <t>Solved: current place verified and archived 2026-10-16.</t>
        </is>
      </c>
      <c r="I1147" t="inlineStr">
        <is>
          <t>Resources</t>
        </is>
      </c>
      <c r="M1147" t="inlineStr">
        <is>
          <t>Awarded to the winner of the Ostron Ingenuity Award category of the TennoCon 2025 Cosplay Contest.</t>
        </is>
      </c>
      <c r="N1147" t="inlineStr">
        <is>
          <t>Decorations/Orbiter Decorations</t>
        </is>
      </c>
      <c r="O1147" t="inlineStr">
        <is>
          <t>Saved a concrete acquisition place from the official Warframe Wiki. TennoCon section, Cosplay Contest tab.</t>
        </is>
      </c>
    </row>
    <row r="1148">
      <c r="A1148" t="inlineStr">
        <is>
          <t>/Lotus/Types/Items/ShipDecos/TennoCon2026CosplayFirstPlaceTrophy</t>
        </is>
      </c>
      <c r="B1148" t="inlineStr">
        <is>
          <t>TennoCon 2026 - 1st Place</t>
        </is>
      </c>
      <c r="C1148" t="inlineStr">
        <is>
          <t>https://wiki.warframe.com/w/Glyph | https://wiki.warframe.com/w/Decorations/Orbiter_Decorations</t>
        </is>
      </c>
      <c r="D1148" t="inlineStr">
        <is>
          <t>ExportResources</t>
        </is>
      </c>
      <c r="F1148" t="inlineStr">
        <is>
          <t>TennoCon 2026 - 1st Place</t>
        </is>
      </c>
      <c r="H1148" t="inlineStr">
        <is>
          <t>Solved: current place verified and archived 2026-10-16.</t>
        </is>
      </c>
      <c r="I1148" t="inlineStr">
        <is>
          <t>Resources</t>
        </is>
      </c>
      <c r="M1148" t="inlineStr">
        <is>
          <t>Awarded to the winner of the 1st Place category of the TennoCon 2026 Cosplay Contest.</t>
        </is>
      </c>
      <c r="N1148" t="inlineStr">
        <is>
          <t>Decorations/Orbiter Decorations</t>
        </is>
      </c>
      <c r="O1148" t="inlineStr">
        <is>
          <t>Saved a concrete acquisition place from the official Warframe Wiki. TennoCon section, Cosplay Contest tab.</t>
        </is>
      </c>
    </row>
    <row r="1149">
      <c r="A1149" t="inlineStr">
        <is>
          <t>/Lotus/Types/Items/ShipDecos/TennoCon2026CosplaySecondPlaceTrophy</t>
        </is>
      </c>
      <c r="B1149" t="inlineStr">
        <is>
          <t>TennoCon 2026 - 2nd Place</t>
        </is>
      </c>
      <c r="C1149" t="inlineStr">
        <is>
          <t>https://wiki.warframe.com/w/Glyph | https://wiki.warframe.com/w/Decorations/Orbiter_Decorations</t>
        </is>
      </c>
      <c r="D1149" t="inlineStr">
        <is>
          <t>ExportResources</t>
        </is>
      </c>
      <c r="F1149" t="inlineStr">
        <is>
          <t>TennoCon 2026 - 2nd Place</t>
        </is>
      </c>
      <c r="H1149" t="inlineStr">
        <is>
          <t>Solved: current place verified and archived 2026-10-16.</t>
        </is>
      </c>
      <c r="I1149" t="inlineStr">
        <is>
          <t>Resources</t>
        </is>
      </c>
      <c r="M1149" t="inlineStr">
        <is>
          <t>Awarded to the winner of the 2nd Place category of the TennoCon 2026 Cosplay Contest.</t>
        </is>
      </c>
      <c r="N1149" t="inlineStr">
        <is>
          <t>Decorations/Orbiter Decorations</t>
        </is>
      </c>
      <c r="O1149" t="inlineStr">
        <is>
          <t>Saved a concrete acquisition place from the official Warframe Wiki. TennoCon section, Cosplay Contest tab.</t>
        </is>
      </c>
    </row>
    <row r="1150">
      <c r="A1150" t="inlineStr">
        <is>
          <t>/Lotus/Types/Items/ShipDecos/TennoCon2026CosplayThirdPlaceTrophy</t>
        </is>
      </c>
      <c r="B1150" t="inlineStr">
        <is>
          <t>TennoCon 2026 - 3rd Place</t>
        </is>
      </c>
      <c r="C1150" t="inlineStr">
        <is>
          <t>https://wiki.warframe.com/w/Glyph | https://wiki.warframe.com/w/Decorations/Orbiter_Decorations</t>
        </is>
      </c>
      <c r="D1150" t="inlineStr">
        <is>
          <t>ExportResources</t>
        </is>
      </c>
      <c r="F1150" t="inlineStr">
        <is>
          <t>TennoCon 2026 - 3rd Place</t>
        </is>
      </c>
      <c r="H1150" t="inlineStr">
        <is>
          <t>Solved: current place verified and archived 2026-10-16.</t>
        </is>
      </c>
      <c r="I1150" t="inlineStr">
        <is>
          <t>Resources</t>
        </is>
      </c>
      <c r="M1150" t="inlineStr">
        <is>
          <t>Awarded to the winner of the 3rd Place category of the TennoCon 2026 Cosplay Contest.</t>
        </is>
      </c>
      <c r="N1150" t="inlineStr">
        <is>
          <t>Decorations/Orbiter Decorations</t>
        </is>
      </c>
      <c r="O1150" t="inlineStr">
        <is>
          <t>Saved a concrete acquisition place from the official Warframe Wiki. TennoCon section, Cosplay Contest tab.</t>
        </is>
      </c>
    </row>
    <row r="1151">
      <c r="A1151" t="inlineStr">
        <is>
          <t>/Lotus/Types/Items/ShipDecos/TennoCon2026CosplayBombasticTrophy</t>
        </is>
      </c>
      <c r="B1151" t="inlineStr">
        <is>
          <t>TennoCon 2026 - Bombastic Performance Award</t>
        </is>
      </c>
      <c r="C1151" t="inlineStr">
        <is>
          <t>https://wiki.warframe.com/w/Decorations/Orbiter_Decorations</t>
        </is>
      </c>
      <c r="D1151" t="inlineStr">
        <is>
          <t>ExportResources</t>
        </is>
      </c>
      <c r="F1151" t="inlineStr">
        <is>
          <t>TennoCon 2026 - Bombastic Performance Award</t>
        </is>
      </c>
      <c r="H1151" t="inlineStr">
        <is>
          <t>Solved: current place verified and archived 2026-10-16.</t>
        </is>
      </c>
      <c r="I1151" t="inlineStr">
        <is>
          <t>Resources</t>
        </is>
      </c>
      <c r="M1151" t="inlineStr">
        <is>
          <t>Awarded to the winner of the Bombastic Performance Award category of the TennoCon 2026 Cosplay Contest.</t>
        </is>
      </c>
      <c r="N1151" t="inlineStr">
        <is>
          <t>Decorations/Orbiter Decorations</t>
        </is>
      </c>
      <c r="O1151" t="inlineStr">
        <is>
          <t>Saved a concrete acquisition place from the official Warframe Wiki. TennoCon section, Cosplay Contest tab.</t>
        </is>
      </c>
    </row>
    <row r="1152">
      <c r="A1152" t="inlineStr">
        <is>
          <t>/Lotus/Types/Items/ShipDecos/TennoCon2026CosplayLotusChoiceTrophy</t>
        </is>
      </c>
      <c r="B1152" t="inlineStr">
        <is>
          <t>TennoCon 2026 - Lotus' Choice Award</t>
        </is>
      </c>
      <c r="C1152" t="inlineStr">
        <is>
          <t>https://wiki.warframe.com/w/Decorations/Orbiter_Decorations</t>
        </is>
      </c>
      <c r="D1152" t="inlineStr">
        <is>
          <t>ExportResources</t>
        </is>
      </c>
      <c r="F1152" t="inlineStr">
        <is>
          <t>TennoCon 2026 - Lotus' Choice Award</t>
        </is>
      </c>
      <c r="H1152" t="inlineStr">
        <is>
          <t>Solved: current place verified and archived 2026-10-16.</t>
        </is>
      </c>
      <c r="I1152" t="inlineStr">
        <is>
          <t>Resources</t>
        </is>
      </c>
      <c r="M1152" t="inlineStr">
        <is>
          <t>Awarded to the winner of the Lotus' Choice Award category of the TennoCon 2026 Cosplay Contest.</t>
        </is>
      </c>
      <c r="N1152" t="inlineStr">
        <is>
          <t>Decorations/Orbiter Decorations</t>
        </is>
      </c>
      <c r="O1152" t="inlineStr">
        <is>
          <t>Saved a concrete acquisition place from the official Warframe Wiki. TennoCon section, Cosplay Contest tab.</t>
        </is>
      </c>
    </row>
    <row r="1153">
      <c r="A1153" t="inlineStr">
        <is>
          <t>/Lotus/Types/Items/ShipDecos/TennoCon2026CosplayOrokinGoldTrophy</t>
        </is>
      </c>
      <c r="B1153" t="inlineStr">
        <is>
          <t>TennoCon 2026 - Orokin Gold Award</t>
        </is>
      </c>
      <c r="C1153" t="inlineStr">
        <is>
          <t>https://wiki.warframe.com/w/Decorations/Orbiter_Decorations</t>
        </is>
      </c>
      <c r="D1153" t="inlineStr">
        <is>
          <t>ExportResources</t>
        </is>
      </c>
      <c r="F1153" t="inlineStr">
        <is>
          <t>TennoCon 2026 - Orokin Gold Award</t>
        </is>
      </c>
      <c r="H1153" t="inlineStr">
        <is>
          <t>Solved: current place verified and archived 2026-10-16.</t>
        </is>
      </c>
      <c r="I1153" t="inlineStr">
        <is>
          <t>Resources</t>
        </is>
      </c>
      <c r="M1153" t="inlineStr">
        <is>
          <t>Awarded to the winner of the Orokin Gold Award category of the TennoCon 2026 Cosplay Contest.</t>
        </is>
      </c>
      <c r="N1153" t="inlineStr">
        <is>
          <t>Decorations/Orbiter Decorations</t>
        </is>
      </c>
      <c r="O1153" t="inlineStr">
        <is>
          <t>Saved a concrete acquisition place from the official Warframe Wiki. TennoCon section, Cosplay Contest tab.</t>
        </is>
      </c>
    </row>
    <row r="1154">
      <c r="A1154" t="inlineStr">
        <is>
          <t>/Lotus/Types/Items/ShipDecos/TennoCon2026CosplayOstronIngenuityTrophy</t>
        </is>
      </c>
      <c r="B1154" t="inlineStr">
        <is>
          <t>TennoCon 2026 - Ostron Ingenuity Award</t>
        </is>
      </c>
      <c r="C1154" t="inlineStr">
        <is>
          <t>https://wiki.warframe.com/w/Decorations/Orbiter_Decorations</t>
        </is>
      </c>
      <c r="D1154" t="inlineStr">
        <is>
          <t>ExportResources</t>
        </is>
      </c>
      <c r="F1154" t="inlineStr">
        <is>
          <t>TennoCon 2026 - Ostron Ingenuity Award</t>
        </is>
      </c>
      <c r="H1154" t="inlineStr">
        <is>
          <t>Solved: current place verified and archived 2026-10-16.</t>
        </is>
      </c>
      <c r="I1154" t="inlineStr">
        <is>
          <t>Resources</t>
        </is>
      </c>
      <c r="M1154" t="inlineStr">
        <is>
          <t>Awarded to the winner of the Ostron Ingenuity Award category of the TennoCon 2026 Cosplay Contest.</t>
        </is>
      </c>
      <c r="N1154" t="inlineStr">
        <is>
          <t>Decorations/Orbiter Decorations</t>
        </is>
      </c>
      <c r="O1154" t="inlineStr">
        <is>
          <t>Saved a concrete acquisition place from the official Warframe Wiki. TennoCon section, Cosplay Contest tab.</t>
        </is>
      </c>
    </row>
    <row r="1155">
      <c r="A1155" t="inlineStr">
        <is>
          <t>/Lotus/Types/Items/ShipDecos/Tennocon2026Display</t>
        </is>
      </c>
      <c r="B1155" t="inlineStr">
        <is>
          <t>TennoCon 2026 Display</t>
        </is>
      </c>
      <c r="C1155" t="inlineStr">
        <is>
          <t>https://wiki.warframe.com/w/TennoCon/2026/Digital_Pack</t>
        </is>
      </c>
      <c r="D1155" t="inlineStr">
        <is>
          <t>ExportResources</t>
        </is>
      </c>
      <c r="F1155" t="inlineStr">
        <is>
          <t>TennoCon 2026 Display</t>
        </is>
      </c>
      <c r="H1155" t="inlineStr">
        <is>
          <t>Solved: current place verified and archived 2026-10-16.</t>
        </is>
      </c>
      <c r="I1155" t="inlineStr">
        <is>
          <t>Resources</t>
        </is>
      </c>
      <c r="M1155" t="inlineStr">
        <is>
          <t>Included in the TennoCon 2026 Digital Pack.</t>
        </is>
      </c>
      <c r="N1155" t="inlineStr">
        <is>
          <t>TennoCon/2026/Digital Pack</t>
        </is>
      </c>
      <c r="O1155" t="inlineStr">
        <is>
          <t>Saved a concrete acquisition place from the official Warframe Wiki. Digital Pack page.</t>
        </is>
      </c>
    </row>
    <row r="1156">
      <c r="A1156" t="inlineStr">
        <is>
          <t>/Lotus/Types/Items/ShipDecos/TennoVIP2025Deco</t>
        </is>
      </c>
      <c r="B1156" t="inlineStr">
        <is>
          <t>TennoVIP 2025 Decoration</t>
        </is>
      </c>
      <c r="C1156" t="inlineStr">
        <is>
          <t>https://wiki.warframe.com/w/Decorations/Orbiter_Decorations</t>
        </is>
      </c>
      <c r="D1156" t="inlineStr">
        <is>
          <t>ExportResources</t>
        </is>
      </c>
      <c r="F1156" t="inlineStr">
        <is>
          <t>TennoVIP 2025 Decoration</t>
        </is>
      </c>
      <c r="H1156" t="inlineStr">
        <is>
          <t>Solved: current place verified and archived 2026-10-16.</t>
        </is>
      </c>
      <c r="I1156" t="inlineStr">
        <is>
          <t>Resources</t>
        </is>
      </c>
      <c r="M1156" t="inlineStr">
        <is>
          <t>Given to attendees of TennoVIP events.</t>
        </is>
      </c>
      <c r="N1156" t="inlineStr">
        <is>
          <t>Decorations/Orbiter Decorations</t>
        </is>
      </c>
      <c r="O1156" t="inlineStr">
        <is>
          <t>Saved a concrete acquisition place from the official Warframe Wiki. TennoCon section, TennoVIP tab.</t>
        </is>
      </c>
    </row>
    <row r="1157">
      <c r="A1157" t="inlineStr">
        <is>
          <t>/Lotus/Types/Items/ShipDecos/TennoVIP2026Deco</t>
        </is>
      </c>
      <c r="B1157" t="inlineStr">
        <is>
          <t>TennoVIP 2026 Decoration</t>
        </is>
      </c>
      <c r="C1157" t="inlineStr">
        <is>
          <t>https://wiki.warframe.com/w/Decorations/Orbiter_Decorations</t>
        </is>
      </c>
      <c r="D1157" t="inlineStr">
        <is>
          <t>ExportResources</t>
        </is>
      </c>
      <c r="F1157" t="inlineStr">
        <is>
          <t>TennoVIP 2026 Decoration</t>
        </is>
      </c>
      <c r="H1157" t="inlineStr">
        <is>
          <t>Solved: current place verified and archived 2026-10-16.</t>
        </is>
      </c>
      <c r="I1157" t="inlineStr">
        <is>
          <t>Resources</t>
        </is>
      </c>
      <c r="M1157" t="inlineStr">
        <is>
          <t>Given to attendees of TennoVIP events.</t>
        </is>
      </c>
      <c r="N1157" t="inlineStr">
        <is>
          <t>Decorations/Orbiter Decorations</t>
        </is>
      </c>
      <c r="O1157" t="inlineStr">
        <is>
          <t>Saved a concrete acquisition place from the official Warframe Wiki. TennoCon section, TennoVIP tab.</t>
        </is>
      </c>
    </row>
    <row r="1158">
      <c r="A1158" t="inlineStr">
        <is>
          <t>/Lotus/Types/Items/ShipDecos/Plants/LisetPropVenusTreeFull</t>
        </is>
      </c>
      <c r="B1158" t="inlineStr">
        <is>
          <t>Tepa Decoration</t>
        </is>
      </c>
      <c r="C1158" t="inlineStr">
        <is>
          <t>https://wiki.warframe.com/w/Solaris_United</t>
        </is>
      </c>
      <c r="D1158" t="inlineStr">
        <is>
          <t>ExportResources</t>
        </is>
      </c>
      <c r="F1158" t="inlineStr">
        <is>
          <t>Tepa Decoration</t>
        </is>
      </c>
      <c r="H1158" t="inlineStr">
        <is>
          <t>Solved: current place verified and archived 2026-10-16.</t>
        </is>
      </c>
      <c r="I1158" t="inlineStr">
        <is>
          <t>Resources</t>
        </is>
      </c>
      <c r="M1158" t="inlineStr">
        <is>
          <t>Purchase from Smokefinger (Solaris United) for 10,000 Standing at Rank 4 (Cove).</t>
        </is>
      </c>
      <c r="N1158" t="inlineStr">
        <is>
          <t>Solaris United</t>
        </is>
      </c>
      <c r="O1158" t="inlineStr">
        <is>
          <t>Saved a concrete acquisition place from the official Warframe Wiki. Solaris United page lists it in Notable Members &gt; [[Smokefinger]].</t>
        </is>
      </c>
    </row>
    <row r="1159">
      <c r="A1159" t="inlineStr">
        <is>
          <t>/Lotus/Types/Items/ShipDecos/Venus/TheNewWarTeshinCommunityDisplay</t>
        </is>
      </c>
      <c r="B1159" t="inlineStr">
        <is>
          <t>Teshin Community Display</t>
        </is>
      </c>
      <c r="C1159" t="inlineStr">
        <is>
          <t>https://wiki.warframe.com/w/Decorations | https://wiki.warframe.com/w/Decorations/Orbiter_Decorations</t>
        </is>
      </c>
      <c r="D1159" t="inlineStr">
        <is>
          <t>ExportResources</t>
        </is>
      </c>
      <c r="F1159" t="inlineStr">
        <is>
          <t>Teshin Community Display</t>
        </is>
      </c>
      <c r="H1159" t="inlineStr">
        <is>
          <t>Solved: current place verified and archived 2026-10-16.</t>
        </is>
      </c>
      <c r="I1159" t="inlineStr">
        <is>
          <t>Resources</t>
        </is>
      </c>
      <c r="M1159" t="inlineStr">
        <is>
          <t>In-game Market for 30 Platinum.</t>
        </is>
      </c>
      <c r="N1159" t="inlineStr">
        <is>
          <t>Decorations | Decorations/Orbiter Decorations | Update 32 | Update 31</t>
        </is>
      </c>
      <c r="O1159" t="inlineStr">
        <is>
          <t>We copied where it comes from off the wiki page. See place from wiki page.</t>
        </is>
      </c>
    </row>
    <row r="1160">
      <c r="A1160" t="inlineStr">
        <is>
          <t>/Lotus/Types/Items/MiscItems/PhotoboothTileDuviriTeshinsCave</t>
        </is>
      </c>
      <c r="B1160" t="inlineStr">
        <is>
          <t>Teshin's Cave Scene</t>
        </is>
      </c>
      <c r="C1160" t="inlineStr">
        <is>
          <t>https://wiki.warframe.com/w/Acrithis | https://wiki.warframe.com/w/Captura</t>
        </is>
      </c>
      <c r="D1160" t="inlineStr">
        <is>
          <t>ExportResources</t>
        </is>
      </c>
      <c r="F1160" t="inlineStr">
        <is>
          <t>Teshin's Cave Scene</t>
        </is>
      </c>
      <c r="H1160" t="inlineStr">
        <is>
          <t>Solved: current place verified and archived 2026-10-16.</t>
        </is>
      </c>
      <c r="I1160" t="inlineStr">
        <is>
          <t>Resources</t>
        </is>
      </c>
      <c r="L1160" t="inlineStr">
        <is>
          <t>Vendors_data</t>
        </is>
      </c>
      <c r="M1160" t="inlineStr">
        <is>
          <t>Purchase from Acrithis' rotating Wares in Duviri.</t>
        </is>
      </c>
      <c r="N1160" t="inlineStr">
        <is>
          <t>Captura</t>
        </is>
      </c>
      <c r="O1160" t="inlineStr">
        <is>
          <t>Saved a concrete acquisition place from the official Warframe Wiki. Captura scene table lists this scene with its acquisition note.</t>
        </is>
      </c>
    </row>
    <row r="1161">
      <c r="A1161" t="inlineStr">
        <is>
          <t>/Lotus/Types/Items/ShipDecos/NarinPoem/NarinPoemA</t>
        </is>
      </c>
      <c r="B1161" t="inlineStr">
        <is>
          <t>Tethyan Parchment Tatter</t>
        </is>
      </c>
      <c r="C1161" t="inlineStr">
        <is>
          <t>https://wiki.warframe.com/w/Cephalon_Melica</t>
        </is>
      </c>
      <c r="D1161" t="inlineStr">
        <is>
          <t>ExportResources</t>
        </is>
      </c>
      <c r="F1161" t="inlineStr">
        <is>
          <t>Tethyan Parchment Tatter</t>
        </is>
      </c>
      <c r="H1161" t="inlineStr">
        <is>
          <t>Solved: current place verified and archived 2026-10-16.</t>
        </is>
      </c>
      <c r="I1161" t="inlineStr">
        <is>
          <t>Resources</t>
        </is>
      </c>
      <c r="M1161" t="inlineStr">
        <is>
          <t>Found in Cephalon Melica's sealed laboratory aboard the Zariman.</t>
        </is>
      </c>
      <c r="N1161" t="inlineStr">
        <is>
          <t>Cephalon Melica</t>
        </is>
      </c>
      <c r="O1161" t="inlineStr">
        <is>
          <t>Saved a concrete acquisition place from the official Warframe Wiki. Cephalon Melica page: Tethyan Parchment Tatters can be found within the laboratory.</t>
        </is>
      </c>
    </row>
    <row r="1162">
      <c r="A1162" t="inlineStr">
        <is>
          <t>/Lotus/Types/Items/ShipDecos/NarinPoem/NarinPoemB</t>
        </is>
      </c>
      <c r="B1162" t="inlineStr">
        <is>
          <t>Tethyan Parchment Tatter</t>
        </is>
      </c>
      <c r="C1162" t="inlineStr">
        <is>
          <t>https://wiki.warframe.com/w/Cephalon_Melica</t>
        </is>
      </c>
      <c r="D1162" t="inlineStr">
        <is>
          <t>ExportResources</t>
        </is>
      </c>
      <c r="F1162" t="inlineStr">
        <is>
          <t>Tethyan Parchment Tatter</t>
        </is>
      </c>
      <c r="H1162" t="inlineStr">
        <is>
          <t>Solved: current place verified and archived 2026-10-16.</t>
        </is>
      </c>
      <c r="I1162" t="inlineStr">
        <is>
          <t>Resources</t>
        </is>
      </c>
      <c r="M1162" t="inlineStr">
        <is>
          <t>Found in Cephalon Melica's sealed laboratory aboard the Zariman.</t>
        </is>
      </c>
      <c r="N1162" t="inlineStr">
        <is>
          <t>Cephalon Melica</t>
        </is>
      </c>
      <c r="O1162" t="inlineStr">
        <is>
          <t>Saved a concrete acquisition place from the official Warframe Wiki. Cephalon Melica page: Tethyan Parchment Tatters can be found within the laboratory.</t>
        </is>
      </c>
    </row>
    <row r="1163">
      <c r="A1163" t="inlineStr">
        <is>
          <t>/Lotus/Types/Items/ShipDecos/NarinPoem/NarinPoemC</t>
        </is>
      </c>
      <c r="B1163" t="inlineStr">
        <is>
          <t>Tethyan Parchment Tatter</t>
        </is>
      </c>
      <c r="C1163" t="inlineStr">
        <is>
          <t>https://wiki.warframe.com/w/Cephalon_Melica</t>
        </is>
      </c>
      <c r="D1163" t="inlineStr">
        <is>
          <t>ExportResources</t>
        </is>
      </c>
      <c r="F1163" t="inlineStr">
        <is>
          <t>Tethyan Parchment Tatter</t>
        </is>
      </c>
      <c r="H1163" t="inlineStr">
        <is>
          <t>Solved: current place verified and archived 2026-10-16.</t>
        </is>
      </c>
      <c r="I1163" t="inlineStr">
        <is>
          <t>Resources</t>
        </is>
      </c>
      <c r="M1163" t="inlineStr">
        <is>
          <t>Found in Cephalon Melica's sealed laboratory aboard the Zariman.</t>
        </is>
      </c>
      <c r="N1163" t="inlineStr">
        <is>
          <t>Cephalon Melica</t>
        </is>
      </c>
      <c r="O1163" t="inlineStr">
        <is>
          <t>Saved a concrete acquisition place from the official Warframe Wiki. Cephalon Melica page: Tethyan Parchment Tatters can be found within the laboratory.</t>
        </is>
      </c>
    </row>
    <row r="1164">
      <c r="A1164" t="inlineStr">
        <is>
          <t>/Lotus/Types/Items/ShipDecos/NarinPoem/NarinPoemD</t>
        </is>
      </c>
      <c r="B1164" t="inlineStr">
        <is>
          <t>Tethyan Parchment Tatter</t>
        </is>
      </c>
      <c r="C1164" t="inlineStr">
        <is>
          <t>https://wiki.warframe.com/w/Cephalon_Melica</t>
        </is>
      </c>
      <c r="D1164" t="inlineStr">
        <is>
          <t>ExportResources</t>
        </is>
      </c>
      <c r="F1164" t="inlineStr">
        <is>
          <t>Tethyan Parchment Tatter</t>
        </is>
      </c>
      <c r="H1164" t="inlineStr">
        <is>
          <t>Solved: current place verified and archived 2026-10-16.</t>
        </is>
      </c>
      <c r="I1164" t="inlineStr">
        <is>
          <t>Resources</t>
        </is>
      </c>
      <c r="M1164" t="inlineStr">
        <is>
          <t>Found in Cephalon Melica's sealed laboratory aboard the Zariman.</t>
        </is>
      </c>
      <c r="N1164" t="inlineStr">
        <is>
          <t>Cephalon Melica</t>
        </is>
      </c>
      <c r="O1164" t="inlineStr">
        <is>
          <t>Saved a concrete acquisition place from the official Warframe Wiki. Cephalon Melica page: Tethyan Parchment Tatters can be found within the laboratory.</t>
        </is>
      </c>
    </row>
    <row r="1165">
      <c r="A1165" t="inlineStr">
        <is>
          <t>/Lotus/Types/Items/ShipDecos/NarinPoem/NarinPoemE</t>
        </is>
      </c>
      <c r="B1165" t="inlineStr">
        <is>
          <t>Tethyan Parchment Tatter</t>
        </is>
      </c>
      <c r="C1165" t="inlineStr">
        <is>
          <t>https://wiki.warframe.com/w/Cephalon_Melica</t>
        </is>
      </c>
      <c r="D1165" t="inlineStr">
        <is>
          <t>ExportResources</t>
        </is>
      </c>
      <c r="F1165" t="inlineStr">
        <is>
          <t>Tethyan Parchment Tatter</t>
        </is>
      </c>
      <c r="H1165" t="inlineStr">
        <is>
          <t>Solved: current place verified and archived 2026-10-16.</t>
        </is>
      </c>
      <c r="I1165" t="inlineStr">
        <is>
          <t>Resources</t>
        </is>
      </c>
      <c r="M1165" t="inlineStr">
        <is>
          <t>Found in Cephalon Melica's sealed laboratory aboard the Zariman.</t>
        </is>
      </c>
      <c r="N1165" t="inlineStr">
        <is>
          <t>Cephalon Melica</t>
        </is>
      </c>
      <c r="O1165" t="inlineStr">
        <is>
          <t>Saved a concrete acquisition place from the official Warframe Wiki. Cephalon Melica page: Tethyan Parchment Tatters can be found within the laboratory.</t>
        </is>
      </c>
    </row>
    <row r="1166">
      <c r="A1166" t="inlineStr">
        <is>
          <t>/Lotus/Types/Items/ShipDecos/NarinPoem/NarinPoemF</t>
        </is>
      </c>
      <c r="B1166" t="inlineStr">
        <is>
          <t>Tethyan Parchment Tatter</t>
        </is>
      </c>
      <c r="C1166" t="inlineStr">
        <is>
          <t>https://wiki.warframe.com/w/Cephalon_Melica</t>
        </is>
      </c>
      <c r="D1166" t="inlineStr">
        <is>
          <t>ExportResources</t>
        </is>
      </c>
      <c r="F1166" t="inlineStr">
        <is>
          <t>Tethyan Parchment Tatter</t>
        </is>
      </c>
      <c r="H1166" t="inlineStr">
        <is>
          <t>Solved: current place verified and archived 2026-10-16.</t>
        </is>
      </c>
      <c r="I1166" t="inlineStr">
        <is>
          <t>Resources</t>
        </is>
      </c>
      <c r="M1166" t="inlineStr">
        <is>
          <t>Found in Cephalon Melica's sealed laboratory aboard the Zariman.</t>
        </is>
      </c>
      <c r="N1166" t="inlineStr">
        <is>
          <t>Cephalon Melica</t>
        </is>
      </c>
      <c r="O1166" t="inlineStr">
        <is>
          <t>Saved a concrete acquisition place from the official Warframe Wiki. Cephalon Melica page: Tethyan Parchment Tatters can be found within the laboratory.</t>
        </is>
      </c>
    </row>
    <row r="1167">
      <c r="A1167" t="inlineStr">
        <is>
          <t>/Lotus/Types/Items/ShipDecos/NarinPoem/NarinPoemG</t>
        </is>
      </c>
      <c r="B1167" t="inlineStr">
        <is>
          <t>Tethyan Parchment Tatter</t>
        </is>
      </c>
      <c r="C1167" t="inlineStr">
        <is>
          <t>https://wiki.warframe.com/w/Cephalon_Melica</t>
        </is>
      </c>
      <c r="D1167" t="inlineStr">
        <is>
          <t>ExportResources</t>
        </is>
      </c>
      <c r="F1167" t="inlineStr">
        <is>
          <t>Tethyan Parchment Tatter</t>
        </is>
      </c>
      <c r="H1167" t="inlineStr">
        <is>
          <t>Solved: current place verified and archived 2026-10-16.</t>
        </is>
      </c>
      <c r="I1167" t="inlineStr">
        <is>
          <t>Resources</t>
        </is>
      </c>
      <c r="M1167" t="inlineStr">
        <is>
          <t>Found in Cephalon Melica's sealed laboratory aboard the Zariman.</t>
        </is>
      </c>
      <c r="N1167" t="inlineStr">
        <is>
          <t>Cephalon Melica</t>
        </is>
      </c>
      <c r="O1167" t="inlineStr">
        <is>
          <t>Saved a concrete acquisition place from the official Warframe Wiki. Cephalon Melica page: Tethyan Parchment Tatters can be found within the laboratory.</t>
        </is>
      </c>
    </row>
    <row r="1168">
      <c r="A1168" t="inlineStr">
        <is>
          <t>/Lotus/Types/Items/ShipDecos/NarinPoem/NarinPoemH</t>
        </is>
      </c>
      <c r="B1168" t="inlineStr">
        <is>
          <t>Tethyan Parchment Tatter</t>
        </is>
      </c>
      <c r="C1168" t="inlineStr">
        <is>
          <t>https://wiki.warframe.com/w/Cephalon_Melica</t>
        </is>
      </c>
      <c r="D1168" t="inlineStr">
        <is>
          <t>ExportResources</t>
        </is>
      </c>
      <c r="F1168" t="inlineStr">
        <is>
          <t>Tethyan Parchment Tatter</t>
        </is>
      </c>
      <c r="H1168" t="inlineStr">
        <is>
          <t>Solved: current place verified and archived 2026-10-16.</t>
        </is>
      </c>
      <c r="I1168" t="inlineStr">
        <is>
          <t>Resources</t>
        </is>
      </c>
      <c r="M1168" t="inlineStr">
        <is>
          <t>Found in Cephalon Melica's sealed laboratory aboard the Zariman.</t>
        </is>
      </c>
      <c r="N1168" t="inlineStr">
        <is>
          <t>Cephalon Melica</t>
        </is>
      </c>
      <c r="O1168" t="inlineStr">
        <is>
          <t>Saved a concrete acquisition place from the official Warframe Wiki. Cephalon Melica page: Tethyan Parchment Tatters can be found within the laboratory.</t>
        </is>
      </c>
    </row>
    <row r="1169">
      <c r="A1169" t="inlineStr">
        <is>
          <t>/Lotus/Types/Items/ShipDecos/LisetPropStyanaxSpearShieldDeco</t>
        </is>
      </c>
      <c r="B1169" t="inlineStr">
        <is>
          <t>Tharros &amp; Axios Decoration</t>
        </is>
      </c>
      <c r="C1169" t="inlineStr">
        <is>
          <t>https://wiki.warframe.com/w/Styanax_Agogean_Helmet | https://wiki.warframe.com/w/Styanax_Synmora_Helmet | https://wiki.warframe.com/w/Styanax_Gallantry_Collection | https://wiki.warframe.com/w/Decorations/Orbiter_Decorations | https://wiki.warframe.com/w/Styanax_Voidshell_Collection</t>
        </is>
      </c>
      <c r="D1169" t="inlineStr">
        <is>
          <t>ExportResources</t>
        </is>
      </c>
      <c r="F1169" t="inlineStr">
        <is>
          <t>Tharros &amp; Axios Decoration</t>
        </is>
      </c>
      <c r="H1169" t="inlineStr">
        <is>
          <t>Solved: current place verified and archived 2026-10-16.</t>
        </is>
      </c>
      <c r="I1169" t="inlineStr">
        <is>
          <t>Resources</t>
        </is>
      </c>
      <c r="M1169" t="inlineStr">
        <is>
          <t>Only in the Styanax Gallantry Collection (Market, 275 Platinum).</t>
        </is>
      </c>
      <c r="N1169" t="inlineStr">
        <is>
          <t>Styanax Agogean Helmet | Styanax Synmora Helmet | Styanax Gallantry Collection | Decorations/Orbiter Decorations | Styanax Voidshell Collection</t>
        </is>
      </c>
      <c r="O1169" t="inlineStr">
        <is>
          <t>We found more than one answer for where it comes from. Look at place from wiki page — the answers are separated by | — and pick the right one.</t>
        </is>
      </c>
    </row>
    <row r="1170">
      <c r="A1170" t="inlineStr">
        <is>
          <t>/Lotus/Types/Items/ShipDecos/LisetPropStyanaxPrimeSpearShieldDeco</t>
        </is>
      </c>
      <c r="B1170" t="inlineStr">
        <is>
          <t>Tharros &amp; Axios Prime Decoration</t>
        </is>
      </c>
      <c r="C1170" t="inlineStr">
        <is>
          <t>https://wiki.warframe.com/w/Prime | https://wiki.warframe.com/w/Prime_Access</t>
        </is>
      </c>
      <c r="D1170" t="inlineStr">
        <is>
          <t>ExportResources</t>
        </is>
      </c>
      <c r="F1170" t="inlineStr">
        <is>
          <t>Tharros &amp; Axios Prime Decoration</t>
        </is>
      </c>
      <c r="H1170" t="inlineStr">
        <is>
          <t>Solved: current place verified and archived 2026-10-16.</t>
        </is>
      </c>
      <c r="I1170" t="inlineStr">
        <is>
          <t>Resources</t>
        </is>
      </c>
      <c r="M1170" t="inlineStr">
        <is>
          <t>Included in Styanax Prime Accessories (Prime Access).</t>
        </is>
      </c>
      <c r="N1170" t="inlineStr">
        <is>
          <t>Decorations/Orbiter Decorations | Prime Access</t>
        </is>
      </c>
      <c r="O1170" t="inlineStr">
        <is>
          <t>Saved a concrete acquisition place from the official Warframe Wiki. Orbiter Decorations Miscellaneous section.</t>
        </is>
      </c>
    </row>
    <row r="1171">
      <c r="A1171" t="inlineStr">
        <is>
          <t>/Lotus/Types/Items/DangerRoom/DangerRoomTileDefault</t>
        </is>
      </c>
      <c r="B1171" t="inlineStr">
        <is>
          <t>The Citadel Simulacrum</t>
        </is>
      </c>
      <c r="C1171" t="inlineStr">
        <is>
          <t>https://wiki.warframe.com/w/Sanctuary_(Cephalon_Simaris) | https://wiki.warframe.com/w/Simulacrum</t>
        </is>
      </c>
      <c r="D1171" t="inlineStr">
        <is>
          <t>ExportResources</t>
        </is>
      </c>
      <c r="F1171" t="inlineStr">
        <is>
          <t>The Citadel Simulacrum</t>
        </is>
      </c>
      <c r="H1171" t="inlineStr">
        <is>
          <t>Solved: current place verified and archived 2026-10-16.</t>
        </is>
      </c>
      <c r="I1171" t="inlineStr">
        <is>
          <t>Resources</t>
        </is>
      </c>
      <c r="M1171" t="inlineStr">
        <is>
          <t>Purchase the Simulacrum Access Key from Cephalon Simaris for 50,000 Standing.</t>
        </is>
      </c>
      <c r="N1171" t="inlineStr">
        <is>
          <t>Sanctuary (Cephalon Simaris) | Simulacrum</t>
        </is>
      </c>
      <c r="O1171" t="inlineStr">
        <is>
          <t>There is a wiki page that mentions this name, but that page never says where you get the item.</t>
        </is>
      </c>
    </row>
    <row r="1172">
      <c r="A1172" t="inlineStr">
        <is>
          <t>/Lotus/Types/Items/MiscItems/PhotoboothTileWraithQuestArena</t>
        </is>
      </c>
      <c r="B1172" t="inlineStr">
        <is>
          <t>The Cold Below Scene</t>
        </is>
      </c>
      <c r="C1172" t="inlineStr">
        <is>
          <t>https://wiki.warframe.com/w/Call_of_the_Tempestarii/Transcript | https://wiki.warframe.com/w/Captura</t>
        </is>
      </c>
      <c r="D1172" t="inlineStr">
        <is>
          <t>ExportResources</t>
        </is>
      </c>
      <c r="F1172" t="inlineStr">
        <is>
          <t>The Cold Below Scene</t>
        </is>
      </c>
      <c r="H1172" t="inlineStr">
        <is>
          <t>Solved: current place verified and archived 2026-10-16.</t>
        </is>
      </c>
      <c r="I1172" t="inlineStr">
        <is>
          <t>Resources</t>
        </is>
      </c>
      <c r="M1172" t="inlineStr">
        <is>
          <t>Inbox reward after completing the Call of the Tempestarii quest.</t>
        </is>
      </c>
      <c r="N1172" t="inlineStr">
        <is>
          <t>Captura</t>
        </is>
      </c>
      <c r="O1172" t="inlineStr">
        <is>
          <t>Saved a concrete acquisition place from the official Warframe Wiki. Captura scene table lists this scene with its acquisition note.</t>
        </is>
      </c>
    </row>
    <row r="1173">
      <c r="A1173" t="inlineStr">
        <is>
          <t>/Lotus/Types/Items/MiscItems/PhotoboothTileDrifterCamp</t>
        </is>
      </c>
      <c r="B1173" t="inlineStr">
        <is>
          <t>The Drifter Camp Scene</t>
        </is>
      </c>
      <c r="C1173" t="inlineStr">
        <is>
          <t>https://wiki.warframe.com/w/Drifter's_Camp | https://wiki.warframe.com/w/Kahl-175 | https://wiki.warframe.com/w/Break_Narmer | https://wiki.warframe.com/w/Captura</t>
        </is>
      </c>
      <c r="D1173" t="inlineStr">
        <is>
          <t>ExportResources</t>
        </is>
      </c>
      <c r="F1173" t="inlineStr">
        <is>
          <t>The Drifter Camp Scene</t>
        </is>
      </c>
      <c r="H1173" t="inlineStr">
        <is>
          <t>Solved: current place verified and archived 2026-10-16.</t>
        </is>
      </c>
      <c r="I1173" t="inlineStr">
        <is>
          <t>Resources</t>
        </is>
      </c>
      <c r="M1173" t="inlineStr">
        <is>
          <t>Inbox reward after completing The New War quest.</t>
        </is>
      </c>
      <c r="N1173" t="inlineStr">
        <is>
          <t>Captura</t>
        </is>
      </c>
      <c r="O1173" t="inlineStr">
        <is>
          <t>Saved a concrete acquisition place from the official Warframe Wiki. Captura scene table lists this scene with its acquisition note.</t>
        </is>
      </c>
    </row>
    <row r="1174">
      <c r="A1174" t="inlineStr">
        <is>
          <t>/Lotus/Types/Items/ShipDecos/Community10YearRoyalPratDisplay</t>
        </is>
      </c>
      <c r="B1174" t="inlineStr">
        <is>
          <t>The First Five Community Display</t>
        </is>
      </c>
      <c r="C1174" t="inlineStr">
        <is>
          <t>https://wiki.warframe.com/w/Decorations/Orbiter_Decorations</t>
        </is>
      </c>
      <c r="D1174" t="inlineStr">
        <is>
          <t>ExportResources</t>
        </is>
      </c>
      <c r="F1174" t="inlineStr">
        <is>
          <t>The First Five Community Display</t>
        </is>
      </c>
      <c r="H1174" t="inlineStr">
        <is>
          <t>Solved: current place verified and archived 2026-10-16.</t>
        </is>
      </c>
      <c r="I1174" t="inlineStr">
        <is>
          <t>Resources</t>
        </is>
      </c>
      <c r="M1174" t="inlineStr">
        <is>
          <t>In-game Market as part of the 10 Year Anniversary Community Art Pack for 70 Platinum.</t>
        </is>
      </c>
      <c r="N1174" t="inlineStr">
        <is>
          <t>Decorations/Orbiter Decorations</t>
        </is>
      </c>
      <c r="O1174" t="inlineStr">
        <is>
          <t>We copied where it comes from off the wiki page. See place from wiki page.</t>
        </is>
      </c>
    </row>
    <row r="1175">
      <c r="A1175" t="inlineStr">
        <is>
          <t>/Lotus/Types/Items/ShipDecos/Venus/SolarisPosterG</t>
        </is>
      </c>
      <c r="B1175" t="inlineStr">
        <is>
          <t>The Future In Your Hands Poster</t>
        </is>
      </c>
      <c r="C1175" t="inlineStr">
        <is>
          <t>https://wiki.warframe.com/w/Decorations/Orbiter_Decorations</t>
        </is>
      </c>
      <c r="D1175" t="inlineStr">
        <is>
          <t>ExportResources</t>
        </is>
      </c>
      <c r="F1175" t="inlineStr">
        <is>
          <t>The Future In Your Hands Poster</t>
        </is>
      </c>
      <c r="H1175" t="inlineStr">
        <is>
          <t>Solved: current place verified and archived 2026-10-16.</t>
        </is>
      </c>
      <c r="I1175" t="inlineStr">
        <is>
          <t>Resources</t>
        </is>
      </c>
      <c r="M1175" t="inlineStr">
        <is>
          <t>In-game Market for 35 Platinum.</t>
        </is>
      </c>
      <c r="N1175" t="inlineStr">
        <is>
          <t>Decorations/Orbiter Decorations</t>
        </is>
      </c>
      <c r="O1175" t="inlineStr">
        <is>
          <t>We copied where it comes from off the wiki page. See place from wiki page.</t>
        </is>
      </c>
    </row>
    <row r="1176">
      <c r="A1176" t="inlineStr">
        <is>
          <t>/Lotus/Types/Items/ShipDecos/CorpusGreedReliefF</t>
        </is>
      </c>
      <c r="B1176" t="inlineStr">
        <is>
          <t>The Gemstone</t>
        </is>
      </c>
      <c r="C1176" t="inlineStr">
        <is>
          <t>https://wiki.warframe.com/w/Fragments/The_Tenets | https://wiki.warframe.com/w/Parvos_Granum | https://wiki.warframe.com/w/Decorations/Orbiter_Decorations</t>
        </is>
      </c>
      <c r="D1176" t="inlineStr">
        <is>
          <t>ExportResources</t>
        </is>
      </c>
      <c r="F1176" t="inlineStr">
        <is>
          <t>The Gemstone</t>
        </is>
      </c>
      <c r="H1176" t="inlineStr">
        <is>
          <t>Solved: current place verified and archived 2026-10-16.</t>
        </is>
      </c>
      <c r="I1176" t="inlineStr">
        <is>
          <t>Resources</t>
        </is>
      </c>
      <c r="M1176" t="inlineStr">
        <is>
          <t>Pay tribute with a Granum Crown at the Corpus Temple Reliefs in the Corpus Ship tileset.</t>
        </is>
      </c>
      <c r="N1176" t="inlineStr">
        <is>
          <t>Fragments/The Tenets</t>
        </is>
      </c>
      <c r="O1176" t="inlineStr">
        <is>
          <t>Saved a concrete acquisition place from the official Warframe Wiki. Fragments/The Tenets page intro.</t>
        </is>
      </c>
    </row>
    <row r="1177">
      <c r="A1177" t="inlineStr">
        <is>
          <t>/Lotus/Types/Items/SongItems/OnlyneTheGreatKIMSongItem</t>
        </is>
      </c>
      <c r="B1177" t="inlineStr">
        <is>
          <t>The Great KIM</t>
        </is>
      </c>
      <c r="C1177" t="inlineStr">
        <is>
          <t>https://wiki.warframe.com/w/The_Great_KIM</t>
        </is>
      </c>
      <c r="D1177" t="inlineStr">
        <is>
          <t>ExportResources</t>
        </is>
      </c>
      <c r="F1177" t="inlineStr">
        <is>
          <t>The Great KIM</t>
        </is>
      </c>
      <c r="G1177" t="inlineStr">
        <is>
          <t>The Great KIM</t>
        </is>
      </c>
      <c r="H1177" t="inlineStr">
        <is>
          <t>Solved: current place verified and archived 2026-10-16.</t>
        </is>
      </c>
      <c r="I1177" t="inlineStr">
        <is>
          <t>Resources</t>
        </is>
      </c>
      <c r="M1177" t="inlineStr">
        <is>
          <t>Somachord Tone from Aoi for 5,000 Standing after reaching Rank 5 (Pizza Party) with The Hex.</t>
        </is>
      </c>
      <c r="N1177" t="inlineStr">
        <is>
          <t>The Great KIM</t>
        </is>
      </c>
      <c r="O1177" t="inlineStr">
        <is>
          <t>Saved a concrete acquisition place from the official Warframe Wiki.</t>
        </is>
      </c>
    </row>
    <row r="1178">
      <c r="A1178" t="inlineStr">
        <is>
          <t>/Lotus/Types/Items/ShipDecos/Community10YearDasterDisplay</t>
        </is>
      </c>
      <c r="B1178" t="inlineStr">
        <is>
          <t>The Last Five Community Display</t>
        </is>
      </c>
      <c r="C1178" t="inlineStr">
        <is>
          <t>https://wiki.warframe.com/w/Decorations/Orbiter_Decorations</t>
        </is>
      </c>
      <c r="D1178" t="inlineStr">
        <is>
          <t>ExportResources</t>
        </is>
      </c>
      <c r="F1178" t="inlineStr">
        <is>
          <t>The Last Five Community Display</t>
        </is>
      </c>
      <c r="H1178" t="inlineStr">
        <is>
          <t>Solved: current place verified and archived 2026-10-16.</t>
        </is>
      </c>
      <c r="I1178" t="inlineStr">
        <is>
          <t>Resources</t>
        </is>
      </c>
      <c r="M1178" t="inlineStr">
        <is>
          <t>In-game Market as part of the 10 Year Anniversary Community Art Pack for 70 Platinum.</t>
        </is>
      </c>
      <c r="N1178" t="inlineStr">
        <is>
          <t>Decorations/Orbiter Decorations</t>
        </is>
      </c>
      <c r="O1178" t="inlineStr">
        <is>
          <t>We copied where it comes from off the wiki page. See place from wiki page.</t>
        </is>
      </c>
    </row>
    <row r="1179">
      <c r="A1179" t="inlineStr">
        <is>
          <t>/Lotus/Types/Items/ShipDecos/NokkoMushroomScrawlPosterD</t>
        </is>
      </c>
      <c r="B1179" t="inlineStr">
        <is>
          <t>The Prince Cave Art</t>
        </is>
      </c>
      <c r="C1179" t="inlineStr">
        <is>
          <t>https://wiki.warframe.com/w/Spring_Popper | https://wiki.warframe.com/w/Dull_Button | https://wiki.warframe.com/w/Devil's_Cap | https://wiki.warframe.com/w/Deepmines | https://wiki.warframe.com/w/Decorations/Orbiter_Decorations</t>
        </is>
      </c>
      <c r="D1179" t="inlineStr">
        <is>
          <t>ExportResources</t>
        </is>
      </c>
      <c r="F1179" t="inlineStr">
        <is>
          <t>The Prince Cave Art</t>
        </is>
      </c>
      <c r="H1179" t="inlineStr">
        <is>
          <t>Solved: current place verified and archived 2026-10-16.</t>
        </is>
      </c>
      <c r="I1179" t="inlineStr">
        <is>
          <t>Resources</t>
        </is>
      </c>
      <c r="M1179" t="inlineStr">
        <is>
          <t>Interact with the Sprodling in the hidden cave in the Deepmines Forward Base tile (Orb Vallis) to get the blueprint.</t>
        </is>
      </c>
      <c r="N1179" t="inlineStr">
        <is>
          <t>Deepmines</t>
        </is>
      </c>
      <c r="O1179" t="inlineStr">
        <is>
          <t>Saved a concrete acquisition place from the official Warframe Wiki. Deepmines page Cave Art and Somachords table gives the location and Foundry cost.</t>
        </is>
      </c>
    </row>
    <row r="1180">
      <c r="A1180" t="inlineStr">
        <is>
          <t>/Lotus/Types/Items/ShipDecos/PlanetTrophies/PlanetTrophy1999Bronze</t>
        </is>
      </c>
      <c r="B1180" t="inlineStr">
        <is>
          <t>The Steel Path - 1999</t>
        </is>
      </c>
      <c r="C1180" t="inlineStr">
        <is>
          <t>https://wiki.warframe.com/w/Update_38</t>
        </is>
      </c>
      <c r="D1180" t="inlineStr">
        <is>
          <t>ExportResources</t>
        </is>
      </c>
      <c r="F1180" t="inlineStr">
        <is>
          <t>The Steel Path - 1999</t>
        </is>
      </c>
      <c r="H1180" t="inlineStr">
        <is>
          <t>Solved: current place verified and archived 2026-10-16.</t>
        </is>
      </c>
      <c r="I1180" t="inlineStr">
        <is>
          <t>Resources</t>
        </is>
      </c>
      <c r="M1180" t="inlineStr">
        <is>
          <t>Awarded for completing all Höllvania nodes on The Steel Path.</t>
        </is>
      </c>
      <c r="N1180" t="inlineStr">
        <is>
          <t>Emotes</t>
        </is>
      </c>
      <c r="O1180" t="inlineStr">
        <is>
          <t>Saved a concrete acquisition place from the official Warframe Wiki. Emotes page, Steel Path/Planets gallery.</t>
        </is>
      </c>
    </row>
    <row r="1181">
      <c r="A1181" t="inlineStr">
        <is>
          <t>/Lotus/Types/Items/ShipDecos/PlanetTrophies/PlanetTrophyCeresBronze</t>
        </is>
      </c>
      <c r="B1181" t="inlineStr">
        <is>
          <t>The Steel Path - Ceres</t>
        </is>
      </c>
      <c r="C1181" t="inlineStr">
        <is>
          <t>https://wiki.warframe.com/w/Ceres</t>
        </is>
      </c>
      <c r="D1181" t="inlineStr">
        <is>
          <t>ExportResources</t>
        </is>
      </c>
      <c r="F1181" t="inlineStr">
        <is>
          <t>The Steel Path - Ceres</t>
        </is>
      </c>
      <c r="H1181" t="inlineStr">
        <is>
          <t>Solved: current place verified and archived 2026-10-16.</t>
        </is>
      </c>
      <c r="I1181" t="inlineStr">
        <is>
          <t>Resources</t>
        </is>
      </c>
      <c r="M1181" t="inlineStr">
        <is>
          <t>Awarded for completing all Ceres nodes on The Steel Path.</t>
        </is>
      </c>
      <c r="N1181" t="inlineStr">
        <is>
          <t>Emotes</t>
        </is>
      </c>
      <c r="O1181" t="inlineStr">
        <is>
          <t>Saved a concrete acquisition place from the official Warframe Wiki. Emotes page, Steel Path/Planets gallery.</t>
        </is>
      </c>
    </row>
    <row r="1182">
      <c r="A1182" t="inlineStr">
        <is>
          <t>/Lotus/Types/Items/ShipDecos/PlanetTrophies/PlanetTrophyPeritaBronze</t>
        </is>
      </c>
      <c r="B1182" t="inlineStr">
        <is>
          <t>The Steel Path - Dark Refractory</t>
        </is>
      </c>
      <c r="C1182" t="inlineStr">
        <is>
          <t>https://wiki.warframe.com/w/The_Perita_Rebellion | https://wiki.warframe.com/w/The_Descendia | https://wiki.warframe.com/w/Emotes | https://wiki.warframe.com/w/The_Steel_Path</t>
        </is>
      </c>
      <c r="D1182" t="inlineStr">
        <is>
          <t>ExportResources</t>
        </is>
      </c>
      <c r="F1182" t="inlineStr">
        <is>
          <t>The Steel Path - Dark Refractory</t>
        </is>
      </c>
      <c r="H1182" t="inlineStr">
        <is>
          <t>Solved: current place verified and archived 2026-10-16.</t>
        </is>
      </c>
      <c r="I1182" t="inlineStr">
        <is>
          <t>Resources</t>
        </is>
      </c>
      <c r="M1182" t="inlineStr">
        <is>
          <t>Awarded for completing The Descendia and all 3 The Perita Rebellion modes on The Steel Path.</t>
        </is>
      </c>
      <c r="N1182" t="inlineStr">
        <is>
          <t>Emotes</t>
        </is>
      </c>
      <c r="O1182" t="inlineStr">
        <is>
          <t>Saved a concrete acquisition place from the official Warframe Wiki. Emotes page, Steel Path/Planets gallery.</t>
        </is>
      </c>
    </row>
    <row r="1183">
      <c r="A1183" t="inlineStr">
        <is>
          <t>/Lotus/Types/Items/ShipDecos/PlanetTrophies/PlanetTrophyDeimosBronze</t>
        </is>
      </c>
      <c r="B1183" t="inlineStr">
        <is>
          <t>The Steel Path - Deimos</t>
        </is>
      </c>
      <c r="C1183" t="inlineStr">
        <is>
          <t>https://wiki.warframe.com/w/Emotes</t>
        </is>
      </c>
      <c r="D1183" t="inlineStr">
        <is>
          <t>ExportResources</t>
        </is>
      </c>
      <c r="F1183" t="inlineStr">
        <is>
          <t>The Steel Path - Deimos</t>
        </is>
      </c>
      <c r="H1183" t="inlineStr">
        <is>
          <t>Solved: current place verified and archived 2026-10-16.</t>
        </is>
      </c>
      <c r="I1183" t="inlineStr">
        <is>
          <t>Resources</t>
        </is>
      </c>
      <c r="M1183" t="inlineStr">
        <is>
          <t>Awarded for completing all Deimos nodes on The Steel Path.</t>
        </is>
      </c>
      <c r="N1183" t="inlineStr">
        <is>
          <t>Emotes</t>
        </is>
      </c>
      <c r="O1183" t="inlineStr">
        <is>
          <t>Saved a concrete acquisition place from the official Warframe Wiki. Emotes page, Steel Path/Planets gallery.</t>
        </is>
      </c>
    </row>
    <row r="1184">
      <c r="A1184" t="inlineStr">
        <is>
          <t>/Lotus/Types/Items/ShipDecos/PlanetTrophies/PlanetTrophyDuviriBronze</t>
        </is>
      </c>
      <c r="B1184" t="inlineStr">
        <is>
          <t>The Steel Path - Duviri</t>
        </is>
      </c>
      <c r="C1184" t="inlineStr">
        <is>
          <t>https://wiki.warframe.com/w/The_Steel_Path | https://wiki.warframe.com/w/Emotes | https://wiki.warframe.com/w/Duviri | https://wiki.warframe.com/w/Arcane_Enhancement</t>
        </is>
      </c>
      <c r="D1184" t="inlineStr">
        <is>
          <t>ExportResources</t>
        </is>
      </c>
      <c r="F1184" t="inlineStr">
        <is>
          <t>The Steel Path - Duviri</t>
        </is>
      </c>
      <c r="H1184" t="inlineStr">
        <is>
          <t>Solved: current place verified and archived 2026-10-16.</t>
        </is>
      </c>
      <c r="I1184" t="inlineStr">
        <is>
          <t>Resources</t>
        </is>
      </c>
      <c r="M1184" t="inlineStr">
        <is>
          <t>Awarded for completing all 3 Duviri modes on The Steel Path.</t>
        </is>
      </c>
      <c r="N1184" t="inlineStr">
        <is>
          <t>Emotes</t>
        </is>
      </c>
      <c r="O1184" t="inlineStr">
        <is>
          <t>Saved a concrete acquisition place from the official Warframe Wiki. Emotes page, Steel Path/Planets gallery.</t>
        </is>
      </c>
    </row>
    <row r="1185">
      <c r="A1185" t="inlineStr">
        <is>
          <t>/Lotus/Types/Items/ShipDecos/PlanetTrophies/PlanetTrophyEarthBronze</t>
        </is>
      </c>
      <c r="B1185" t="inlineStr">
        <is>
          <t>The Steel Path - Earth</t>
        </is>
      </c>
      <c r="C1185" t="inlineStr">
        <is>
          <t>https://wiki.warframe.com/w/The_Steel_Path | https://wiki.warframe.com/w/Emotes</t>
        </is>
      </c>
      <c r="D1185" t="inlineStr">
        <is>
          <t>ExportResources</t>
        </is>
      </c>
      <c r="F1185" t="inlineStr">
        <is>
          <t>The Steel Path - Earth</t>
        </is>
      </c>
      <c r="H1185" t="inlineStr">
        <is>
          <t>Solved: current place verified and archived 2026-10-16.</t>
        </is>
      </c>
      <c r="I1185" t="inlineStr">
        <is>
          <t>Resources</t>
        </is>
      </c>
      <c r="M1185" t="inlineStr">
        <is>
          <t>Awarded for completing all Earth nodes on The Steel Path.</t>
        </is>
      </c>
      <c r="N1185" t="inlineStr">
        <is>
          <t>Emotes</t>
        </is>
      </c>
      <c r="O1185" t="inlineStr">
        <is>
          <t>Saved a concrete acquisition place from the official Warframe Wiki. Emotes page, Steel Path/Planets gallery.</t>
        </is>
      </c>
    </row>
    <row r="1186">
      <c r="A1186" t="inlineStr">
        <is>
          <t>/Lotus/Types/Items/ShipDecos/PlanetTrophies/PlanetTrophyErisBronze</t>
        </is>
      </c>
      <c r="B1186" t="inlineStr">
        <is>
          <t>The Steel Path - Eris</t>
        </is>
      </c>
      <c r="C1186" t="inlineStr">
        <is>
          <t>https://wiki.warframe.com/w/Emotes</t>
        </is>
      </c>
      <c r="D1186" t="inlineStr">
        <is>
          <t>ExportResources</t>
        </is>
      </c>
      <c r="F1186" t="inlineStr">
        <is>
          <t>The Steel Path - Eris</t>
        </is>
      </c>
      <c r="H1186" t="inlineStr">
        <is>
          <t>Solved: current place verified and archived 2026-10-16.</t>
        </is>
      </c>
      <c r="I1186" t="inlineStr">
        <is>
          <t>Resources</t>
        </is>
      </c>
      <c r="M1186" t="inlineStr">
        <is>
          <t>Awarded for completing all Eris nodes on The Steel Path.</t>
        </is>
      </c>
      <c r="N1186" t="inlineStr">
        <is>
          <t>Emotes</t>
        </is>
      </c>
      <c r="O1186" t="inlineStr">
        <is>
          <t>Saved a concrete acquisition place from the official Warframe Wiki. Emotes page, Steel Path/Planets gallery.</t>
        </is>
      </c>
    </row>
    <row r="1187">
      <c r="A1187" t="inlineStr">
        <is>
          <t>/Lotus/Types/Items/ShipDecos/PlanetTrophies/PlanetTrophyEuropaBronze</t>
        </is>
      </c>
      <c r="B1187" t="inlineStr">
        <is>
          <t>The Steel Path - Europa</t>
        </is>
      </c>
      <c r="C1187" t="inlineStr">
        <is>
          <t>https://wiki.warframe.com/w/Emotes</t>
        </is>
      </c>
      <c r="D1187" t="inlineStr">
        <is>
          <t>ExportResources</t>
        </is>
      </c>
      <c r="F1187" t="inlineStr">
        <is>
          <t>The Steel Path - Europa</t>
        </is>
      </c>
      <c r="H1187" t="inlineStr">
        <is>
          <t>Solved: current place verified and archived 2026-10-16.</t>
        </is>
      </c>
      <c r="I1187" t="inlineStr">
        <is>
          <t>Resources</t>
        </is>
      </c>
      <c r="M1187" t="inlineStr">
        <is>
          <t>Awarded for completing all Europa nodes on The Steel Path.</t>
        </is>
      </c>
      <c r="N1187" t="inlineStr">
        <is>
          <t>Emotes</t>
        </is>
      </c>
      <c r="O1187" t="inlineStr">
        <is>
          <t>Saved a concrete acquisition place from the official Warframe Wiki. Emotes page, Steel Path/Planets gallery.</t>
        </is>
      </c>
    </row>
    <row r="1188">
      <c r="A1188" t="inlineStr">
        <is>
          <t>/Lotus/Types/Items/ShipDecos/PlanetTrophies/PlanetTrophyJupiterBronze</t>
        </is>
      </c>
      <c r="B1188" t="inlineStr">
        <is>
          <t>The Steel Path - Jupiter</t>
        </is>
      </c>
      <c r="C1188" t="inlineStr">
        <is>
          <t>https://wiki.warframe.com/w/Emotes</t>
        </is>
      </c>
      <c r="D1188" t="inlineStr">
        <is>
          <t>ExportResources</t>
        </is>
      </c>
      <c r="F1188" t="inlineStr">
        <is>
          <t>The Steel Path - Jupiter</t>
        </is>
      </c>
      <c r="H1188" t="inlineStr">
        <is>
          <t>Solved: current place verified and archived 2026-10-16.</t>
        </is>
      </c>
      <c r="I1188" t="inlineStr">
        <is>
          <t>Resources</t>
        </is>
      </c>
      <c r="M1188" t="inlineStr">
        <is>
          <t>Awarded for completing all Jupiter nodes on The Steel Path.</t>
        </is>
      </c>
      <c r="N1188" t="inlineStr">
        <is>
          <t>Emotes</t>
        </is>
      </c>
      <c r="O1188" t="inlineStr">
        <is>
          <t>Saved a concrete acquisition place from the official Warframe Wiki. Emotes page, Steel Path/Planets gallery.</t>
        </is>
      </c>
    </row>
    <row r="1189">
      <c r="A1189" t="inlineStr">
        <is>
          <t>/Lotus/Types/Items/ShipDecos/PlanetTrophies/PlanetTrophyKuvaFortressBronze</t>
        </is>
      </c>
      <c r="B1189" t="inlineStr">
        <is>
          <t>The Steel Path - Kuva Fortress</t>
        </is>
      </c>
      <c r="C1189" t="inlineStr">
        <is>
          <t>https://wiki.warframe.com/w/Emotes</t>
        </is>
      </c>
      <c r="D1189" t="inlineStr">
        <is>
          <t>ExportResources</t>
        </is>
      </c>
      <c r="F1189" t="inlineStr">
        <is>
          <t>The Steel Path - Kuva Fortress</t>
        </is>
      </c>
      <c r="H1189" t="inlineStr">
        <is>
          <t>Solved: current place verified and archived 2026-10-16.</t>
        </is>
      </c>
      <c r="I1189" t="inlineStr">
        <is>
          <t>Resources</t>
        </is>
      </c>
      <c r="M1189" t="inlineStr">
        <is>
          <t>Awarded for completing all Kuva Fortress nodes on The Steel Path.</t>
        </is>
      </c>
      <c r="N1189" t="inlineStr">
        <is>
          <t>Emotes</t>
        </is>
      </c>
      <c r="O1189" t="inlineStr">
        <is>
          <t>Saved a concrete acquisition place from the official Warframe Wiki. Emotes page, Steel Path/Planets gallery.</t>
        </is>
      </c>
    </row>
    <row r="1190">
      <c r="A1190" t="inlineStr">
        <is>
          <t>/Lotus/Types/Items/ShipDecos/PlanetTrophies/PlanetTrophyLuaBronze</t>
        </is>
      </c>
      <c r="B1190" t="inlineStr">
        <is>
          <t>The Steel Path - Lua</t>
        </is>
      </c>
      <c r="C1190" t="inlineStr">
        <is>
          <t>https://wiki.warframe.com/w/Emotes</t>
        </is>
      </c>
      <c r="D1190" t="inlineStr">
        <is>
          <t>ExportResources</t>
        </is>
      </c>
      <c r="F1190" t="inlineStr">
        <is>
          <t>The Steel Path - Lua</t>
        </is>
      </c>
      <c r="H1190" t="inlineStr">
        <is>
          <t>Solved: current place verified and archived 2026-10-16.</t>
        </is>
      </c>
      <c r="I1190" t="inlineStr">
        <is>
          <t>Resources</t>
        </is>
      </c>
      <c r="M1190" t="inlineStr">
        <is>
          <t>Awarded for completing all Lua nodes on The Steel Path.</t>
        </is>
      </c>
      <c r="N1190" t="inlineStr">
        <is>
          <t>Emotes</t>
        </is>
      </c>
      <c r="O1190" t="inlineStr">
        <is>
          <t>Saved a concrete acquisition place from the official Warframe Wiki. Emotes page, Steel Path/Planets gallery.</t>
        </is>
      </c>
    </row>
    <row r="1191">
      <c r="A1191" t="inlineStr">
        <is>
          <t>/Lotus/Types/Items/ShipDecos/PlanetTrophies/PlanetTrophyMarsBronze</t>
        </is>
      </c>
      <c r="B1191" t="inlineStr">
        <is>
          <t>The Steel Path - Mars</t>
        </is>
      </c>
      <c r="C1191" t="inlineStr">
        <is>
          <t>https://wiki.warframe.com/w/Emotes</t>
        </is>
      </c>
      <c r="D1191" t="inlineStr">
        <is>
          <t>ExportResources</t>
        </is>
      </c>
      <c r="F1191" t="inlineStr">
        <is>
          <t>The Steel Path - Mars</t>
        </is>
      </c>
      <c r="H1191" t="inlineStr">
        <is>
          <t>Solved: current place verified and archived 2026-10-16.</t>
        </is>
      </c>
      <c r="I1191" t="inlineStr">
        <is>
          <t>Resources</t>
        </is>
      </c>
      <c r="M1191" t="inlineStr">
        <is>
          <t>Awarded for completing all Mars nodes on The Steel Path.</t>
        </is>
      </c>
      <c r="N1191" t="inlineStr">
        <is>
          <t>Emotes</t>
        </is>
      </c>
      <c r="O1191" t="inlineStr">
        <is>
          <t>Saved a concrete acquisition place from the official Warframe Wiki. Emotes page, Steel Path/Planets gallery.</t>
        </is>
      </c>
    </row>
    <row r="1192">
      <c r="A1192" t="inlineStr">
        <is>
          <t>/Lotus/Types/Items/ShipDecos/PlanetTrophies/PlanetTrophyMercuryBronze</t>
        </is>
      </c>
      <c r="B1192" t="inlineStr">
        <is>
          <t>The Steel Path - Mercury</t>
        </is>
      </c>
      <c r="C1192" t="inlineStr">
        <is>
          <t>https://wiki.warframe.com/w/Emotes</t>
        </is>
      </c>
      <c r="D1192" t="inlineStr">
        <is>
          <t>ExportResources</t>
        </is>
      </c>
      <c r="F1192" t="inlineStr">
        <is>
          <t>The Steel Path - Mercury</t>
        </is>
      </c>
      <c r="H1192" t="inlineStr">
        <is>
          <t>Solved: current place verified and archived 2026-10-16.</t>
        </is>
      </c>
      <c r="I1192" t="inlineStr">
        <is>
          <t>Resources</t>
        </is>
      </c>
      <c r="M1192" t="inlineStr">
        <is>
          <t>Awarded for completing all Mercury nodes on The Steel Path.</t>
        </is>
      </c>
      <c r="N1192" t="inlineStr">
        <is>
          <t>Emotes</t>
        </is>
      </c>
      <c r="O1192" t="inlineStr">
        <is>
          <t>Saved a concrete acquisition place from the official Warframe Wiki. Emotes page, Steel Path/Planets gallery.</t>
        </is>
      </c>
    </row>
    <row r="1193">
      <c r="A1193" t="inlineStr">
        <is>
          <t>/Lotus/Types/Items/ShipDecos/PlanetTrophies/PlanetTrophyNeptuneBronze</t>
        </is>
      </c>
      <c r="B1193" t="inlineStr">
        <is>
          <t>The Steel Path - Neptune</t>
        </is>
      </c>
      <c r="C1193" t="inlineStr">
        <is>
          <t>https://wiki.warframe.com/w/Emotes</t>
        </is>
      </c>
      <c r="D1193" t="inlineStr">
        <is>
          <t>ExportResources</t>
        </is>
      </c>
      <c r="F1193" t="inlineStr">
        <is>
          <t>The Steel Path - Neptune</t>
        </is>
      </c>
      <c r="H1193" t="inlineStr">
        <is>
          <t>Solved: current place verified and archived 2026-10-16.</t>
        </is>
      </c>
      <c r="I1193" t="inlineStr">
        <is>
          <t>Resources</t>
        </is>
      </c>
      <c r="M1193" t="inlineStr">
        <is>
          <t>Awarded for completing all Neptune nodes on The Steel Path.</t>
        </is>
      </c>
      <c r="N1193" t="inlineStr">
        <is>
          <t>Emotes</t>
        </is>
      </c>
      <c r="O1193" t="inlineStr">
        <is>
          <t>Saved a concrete acquisition place from the official Warframe Wiki. Emotes page, Steel Path/Planets gallery.</t>
        </is>
      </c>
    </row>
    <row r="1194">
      <c r="A1194" t="inlineStr">
        <is>
          <t>/Lotus/Types/Items/ShipDecos/PlanetTrophies/PlanetTrophyPhobosBronze</t>
        </is>
      </c>
      <c r="B1194" t="inlineStr">
        <is>
          <t>The Steel Path - Phobos</t>
        </is>
      </c>
      <c r="C1194" t="inlineStr">
        <is>
          <t>https://wiki.warframe.com/w/Emotes</t>
        </is>
      </c>
      <c r="D1194" t="inlineStr">
        <is>
          <t>ExportResources</t>
        </is>
      </c>
      <c r="F1194" t="inlineStr">
        <is>
          <t>The Steel Path - Phobos</t>
        </is>
      </c>
      <c r="H1194" t="inlineStr">
        <is>
          <t>Solved: current place verified and archived 2026-10-16.</t>
        </is>
      </c>
      <c r="I1194" t="inlineStr">
        <is>
          <t>Resources</t>
        </is>
      </c>
      <c r="M1194" t="inlineStr">
        <is>
          <t>Awarded for completing all Phobos nodes on The Steel Path.</t>
        </is>
      </c>
      <c r="N1194" t="inlineStr">
        <is>
          <t>Emotes</t>
        </is>
      </c>
      <c r="O1194" t="inlineStr">
        <is>
          <t>Saved a concrete acquisition place from the official Warframe Wiki. Emotes page, Steel Path/Planets gallery.</t>
        </is>
      </c>
    </row>
    <row r="1195">
      <c r="A1195" t="inlineStr">
        <is>
          <t>/Lotus/Types/Items/ShipDecos/PlanetTrophies/PlanetTrophyPlutoBronze</t>
        </is>
      </c>
      <c r="B1195" t="inlineStr">
        <is>
          <t>The Steel Path - Pluto</t>
        </is>
      </c>
      <c r="C1195" t="inlineStr">
        <is>
          <t>https://wiki.warframe.com/w/Emotes</t>
        </is>
      </c>
      <c r="D1195" t="inlineStr">
        <is>
          <t>ExportResources</t>
        </is>
      </c>
      <c r="F1195" t="inlineStr">
        <is>
          <t>The Steel Path - Pluto</t>
        </is>
      </c>
      <c r="H1195" t="inlineStr">
        <is>
          <t>Solved: current place verified and archived 2026-10-16.</t>
        </is>
      </c>
      <c r="I1195" t="inlineStr">
        <is>
          <t>Resources</t>
        </is>
      </c>
      <c r="M1195" t="inlineStr">
        <is>
          <t>Awarded for completing all Pluto nodes on The Steel Path.</t>
        </is>
      </c>
      <c r="N1195" t="inlineStr">
        <is>
          <t>Emotes</t>
        </is>
      </c>
      <c r="O1195" t="inlineStr">
        <is>
          <t>Saved a concrete acquisition place from the official Warframe Wiki. Emotes page, Steel Path/Planets gallery.</t>
        </is>
      </c>
    </row>
    <row r="1196">
      <c r="A1196" t="inlineStr">
        <is>
          <t>/Lotus/Types/Items/ShipDecos/PlanetTrophies/PlanetTrophyDeepSpaceBronze</t>
        </is>
      </c>
      <c r="B1196" t="inlineStr">
        <is>
          <t>The Steel Path - Railjack</t>
        </is>
      </c>
      <c r="C1196" t="inlineStr">
        <is>
          <t>https://wiki.warframe.com/w/Emotes</t>
        </is>
      </c>
      <c r="D1196" t="inlineStr">
        <is>
          <t>ExportResources</t>
        </is>
      </c>
      <c r="F1196" t="inlineStr">
        <is>
          <t>The Steel Path - Railjack</t>
        </is>
      </c>
      <c r="H1196" t="inlineStr">
        <is>
          <t>Solved: current place verified and archived 2026-10-16.</t>
        </is>
      </c>
      <c r="I1196" t="inlineStr">
        <is>
          <t>Resources</t>
        </is>
      </c>
      <c r="M1196" t="inlineStr">
        <is>
          <t>Awarded for completing all Empyrean nodes on The Steel Path.</t>
        </is>
      </c>
      <c r="N1196" t="inlineStr">
        <is>
          <t>Emotes</t>
        </is>
      </c>
      <c r="O1196" t="inlineStr">
        <is>
          <t>Saved a concrete acquisition place from the official Warframe Wiki. Emotes page, Steel Path/Planets gallery.</t>
        </is>
      </c>
    </row>
    <row r="1197">
      <c r="A1197" t="inlineStr">
        <is>
          <t>/Lotus/Types/Items/ShipDecos/PlanetTrophies/PlanetTrophySaturnBronze</t>
        </is>
      </c>
      <c r="B1197" t="inlineStr">
        <is>
          <t>The Steel Path - Saturn</t>
        </is>
      </c>
      <c r="C1197" t="inlineStr">
        <is>
          <t>https://wiki.warframe.com/w/Emotes</t>
        </is>
      </c>
      <c r="D1197" t="inlineStr">
        <is>
          <t>ExportResources</t>
        </is>
      </c>
      <c r="F1197" t="inlineStr">
        <is>
          <t>The Steel Path - Saturn</t>
        </is>
      </c>
      <c r="H1197" t="inlineStr">
        <is>
          <t>Solved: current place verified and archived 2026-10-16.</t>
        </is>
      </c>
      <c r="I1197" t="inlineStr">
        <is>
          <t>Resources</t>
        </is>
      </c>
      <c r="M1197" t="inlineStr">
        <is>
          <t>Awarded for completing all Saturn nodes on The Steel Path.</t>
        </is>
      </c>
      <c r="N1197" t="inlineStr">
        <is>
          <t>Emotes</t>
        </is>
      </c>
      <c r="O1197" t="inlineStr">
        <is>
          <t>Saved a concrete acquisition place from the official Warframe Wiki. Emotes page, Steel Path/Planets gallery.</t>
        </is>
      </c>
    </row>
    <row r="1198">
      <c r="A1198" t="inlineStr">
        <is>
          <t>/Lotus/Types/Items/ShipDecos/PlanetTrophies/PlanetTrophySednaBronze</t>
        </is>
      </c>
      <c r="B1198" t="inlineStr">
        <is>
          <t>The Steel Path - Sedna</t>
        </is>
      </c>
      <c r="C1198" t="inlineStr">
        <is>
          <t>https://wiki.warframe.com/w/Emotes</t>
        </is>
      </c>
      <c r="D1198" t="inlineStr">
        <is>
          <t>ExportResources</t>
        </is>
      </c>
      <c r="F1198" t="inlineStr">
        <is>
          <t>The Steel Path - Sedna</t>
        </is>
      </c>
      <c r="H1198" t="inlineStr">
        <is>
          <t>Solved: current place verified and archived 2026-10-16.</t>
        </is>
      </c>
      <c r="I1198" t="inlineStr">
        <is>
          <t>Resources</t>
        </is>
      </c>
      <c r="M1198" t="inlineStr">
        <is>
          <t>Awarded for completing all Sedna nodes on The Steel Path.</t>
        </is>
      </c>
      <c r="N1198" t="inlineStr">
        <is>
          <t>Emotes</t>
        </is>
      </c>
      <c r="O1198" t="inlineStr">
        <is>
          <t>Saved a concrete acquisition place from the official Warframe Wiki. Emotes page, Steel Path/Planets gallery.</t>
        </is>
      </c>
    </row>
    <row r="1199">
      <c r="A1199" t="inlineStr">
        <is>
          <t>/Lotus/Types/Items/ShipDecos/PlanetTrophies/PlanetTrophyZarimanBronze</t>
        </is>
      </c>
      <c r="B1199" t="inlineStr">
        <is>
          <t>The Steel Path - The Zariman</t>
        </is>
      </c>
      <c r="C1199" t="inlineStr">
        <is>
          <t>https://wiki.warframe.com/w/Update_31</t>
        </is>
      </c>
      <c r="D1199" t="inlineStr">
        <is>
          <t>ExportResources</t>
        </is>
      </c>
      <c r="F1199" t="inlineStr">
        <is>
          <t>The Steel Path - The Zariman</t>
        </is>
      </c>
      <c r="H1199" t="inlineStr">
        <is>
          <t>Solved: current place verified and archived 2026-10-16.</t>
        </is>
      </c>
      <c r="I1199" t="inlineStr">
        <is>
          <t>Resources</t>
        </is>
      </c>
      <c r="M1199" t="inlineStr">
        <is>
          <t>Awarded for completing all Zariman nodes on The Steel Path.</t>
        </is>
      </c>
      <c r="N1199" t="inlineStr">
        <is>
          <t>Emotes</t>
        </is>
      </c>
      <c r="O1199" t="inlineStr">
        <is>
          <t>Saved a concrete acquisition place from the official Warframe Wiki. Emotes page, Steel Path/Planets gallery.</t>
        </is>
      </c>
    </row>
    <row r="1200">
      <c r="A1200" t="inlineStr">
        <is>
          <t>/Lotus/Types/Items/ShipDecos/PlanetTrophies/PlanetTrophyUranusBronze</t>
        </is>
      </c>
      <c r="B1200" t="inlineStr">
        <is>
          <t>The Steel Path - Uranus</t>
        </is>
      </c>
      <c r="C1200" t="inlineStr">
        <is>
          <t>https://wiki.warframe.com/w/Emotes</t>
        </is>
      </c>
      <c r="D1200" t="inlineStr">
        <is>
          <t>ExportResources</t>
        </is>
      </c>
      <c r="F1200" t="inlineStr">
        <is>
          <t>The Steel Path - Uranus</t>
        </is>
      </c>
      <c r="H1200" t="inlineStr">
        <is>
          <t>Solved: current place verified and archived 2026-10-16.</t>
        </is>
      </c>
      <c r="I1200" t="inlineStr">
        <is>
          <t>Resources</t>
        </is>
      </c>
      <c r="M1200" t="inlineStr">
        <is>
          <t>Awarded for completing all Uranus nodes on The Steel Path.</t>
        </is>
      </c>
      <c r="N1200" t="inlineStr">
        <is>
          <t>Emotes</t>
        </is>
      </c>
      <c r="O1200" t="inlineStr">
        <is>
          <t>Saved a concrete acquisition place from the official Warframe Wiki. Emotes page, Steel Path/Planets gallery.</t>
        </is>
      </c>
    </row>
    <row r="1201">
      <c r="A1201" t="inlineStr">
        <is>
          <t>/Lotus/Types/Items/ShipDecos/PlanetTrophies/PlanetTrophyVenusBronze</t>
        </is>
      </c>
      <c r="B1201" t="inlineStr">
        <is>
          <t>The Steel Path - Venus</t>
        </is>
      </c>
      <c r="C1201" t="inlineStr">
        <is>
          <t>https://wiki.warframe.com/w/Emotes</t>
        </is>
      </c>
      <c r="D1201" t="inlineStr">
        <is>
          <t>ExportResources</t>
        </is>
      </c>
      <c r="F1201" t="inlineStr">
        <is>
          <t>The Steel Path - Venus</t>
        </is>
      </c>
      <c r="H1201" t="inlineStr">
        <is>
          <t>Solved: current place verified and archived 2026-10-16.</t>
        </is>
      </c>
      <c r="I1201" t="inlineStr">
        <is>
          <t>Resources</t>
        </is>
      </c>
      <c r="M1201" t="inlineStr">
        <is>
          <t>Awarded for completing all Venus nodes on The Steel Path.</t>
        </is>
      </c>
      <c r="N1201" t="inlineStr">
        <is>
          <t>Emotes</t>
        </is>
      </c>
      <c r="O1201" t="inlineStr">
        <is>
          <t>Saved a concrete acquisition place from the official Warframe Wiki. Emotes page, Steel Path/Planets gallery.</t>
        </is>
      </c>
    </row>
    <row r="1202">
      <c r="A1202" t="inlineStr">
        <is>
          <t>/Lotus/Types/Items/ShipDecos/PlanetTrophies/PlanetTrophyVoidBronze</t>
        </is>
      </c>
      <c r="B1202" t="inlineStr">
        <is>
          <t>The Steel Path - Void</t>
        </is>
      </c>
      <c r="C1202" t="inlineStr">
        <is>
          <t>https://wiki.warframe.com/w/The_Steel_Path | https://wiki.warframe.com/w/Credits | https://wiki.warframe.com/w/Rarity | https://wiki.warframe.com/w/Duel | https://wiki.warframe.com/w/Ability_Range</t>
        </is>
      </c>
      <c r="D1202" t="inlineStr">
        <is>
          <t>ExportResources</t>
        </is>
      </c>
      <c r="F1202" t="inlineStr">
        <is>
          <t>The Steel Path - Void</t>
        </is>
      </c>
      <c r="H1202" t="inlineStr">
        <is>
          <t>Solved: current place verified and archived 2026-10-16.</t>
        </is>
      </c>
      <c r="I1202" t="inlineStr">
        <is>
          <t>Resources</t>
        </is>
      </c>
      <c r="M1202" t="inlineStr">
        <is>
          <t>Awarded for completing all Void nodes on The Steel Path.</t>
        </is>
      </c>
      <c r="N1202" t="inlineStr">
        <is>
          <t>Emotes</t>
        </is>
      </c>
      <c r="O1202" t="inlineStr">
        <is>
          <t>Saved a concrete acquisition place from the official Warframe Wiki. Emotes page, Steel Path/Planets gallery.</t>
        </is>
      </c>
    </row>
    <row r="1203">
      <c r="A1203" t="inlineStr">
        <is>
          <t>/Lotus/Types/Items/ShipDecos/CorpusGreedReliefD</t>
        </is>
      </c>
      <c r="B1203" t="inlineStr">
        <is>
          <t>The Taking</t>
        </is>
      </c>
      <c r="C1203" t="inlineStr">
        <is>
          <t>https://wiki.warframe.com/w/Fragments/The_Tenets | https://wiki.warframe.com/w/Mother | https://wiki.warframe.com/w/Orokin | https://wiki.warframe.com/w/Parvos_Granum | https://wiki.warframe.com/w/Sands_of_Inaros | https://wiki.warframe.com/w/Armor_(Cosmetic)</t>
        </is>
      </c>
      <c r="D1203" t="inlineStr">
        <is>
          <t>ExportResources</t>
        </is>
      </c>
      <c r="F1203" t="inlineStr">
        <is>
          <t>The Taking</t>
        </is>
      </c>
      <c r="H1203" t="inlineStr">
        <is>
          <t>Solved: current place verified and archived 2026-10-16.</t>
        </is>
      </c>
      <c r="I1203" t="inlineStr">
        <is>
          <t>Resources</t>
        </is>
      </c>
      <c r="M1203" t="inlineStr">
        <is>
          <t>Pay tribute with a Granum Crown at the Corpus Temple Reliefs in the Corpus Ship tileset.</t>
        </is>
      </c>
      <c r="N1203" t="inlineStr">
        <is>
          <t>Fragments/The Tenets | Mathila/Quotes | Mother | Orokin | Parvos Granum | Sands of Inaros | Cambion Drift/Quotes | Armor (Cosmetic) | Duviri/Quotes</t>
        </is>
      </c>
      <c r="O1203" t="inlineStr">
        <is>
          <t>We copied where it comes from off the wiki page. See place from wiki page.</t>
        </is>
      </c>
    </row>
    <row r="1204">
      <c r="A1204" t="inlineStr">
        <is>
          <t>/Lotus/Types/Items/PhotoBooth/2025FallUpdate/PhotoboothTheTeacherDojo</t>
        </is>
      </c>
      <c r="B1204" t="inlineStr">
        <is>
          <t>The Teacher Dojo Scene</t>
        </is>
      </c>
      <c r="C1204" t="inlineStr">
        <is>
          <t>https://wiki.warframe.com/w/The_Steel_Path | https://wiki.warframe.com/w/Captura</t>
        </is>
      </c>
      <c r="D1204" t="inlineStr">
        <is>
          <t>ExportResources</t>
        </is>
      </c>
      <c r="F1204" t="inlineStr">
        <is>
          <t>The Teacher Dojo Scene</t>
        </is>
      </c>
      <c r="H1204" t="inlineStr">
        <is>
          <t>Solved: current place verified and archived 2026-10-16.</t>
        </is>
      </c>
      <c r="I1204" t="inlineStr">
        <is>
          <t>Resources</t>
        </is>
      </c>
      <c r="M1204" t="inlineStr">
        <is>
          <t>Purchase from Teshin's Steel Path Honors for 50 Steel Essence (requires The Steel Path and The Teacher quest).</t>
        </is>
      </c>
      <c r="N1204" t="inlineStr">
        <is>
          <t>The Steel Path | Captura</t>
        </is>
      </c>
      <c r="O1204" t="inlineStr">
        <is>
          <t>We copied where it comes from off the wiki page. See place from wiki page.</t>
        </is>
      </c>
    </row>
    <row r="1205">
      <c r="A1205" t="inlineStr">
        <is>
          <t>/Lotus/Types/Items/PhotoBooth/2025FallUpdate/PhotoboothTheTeacherEarth</t>
        </is>
      </c>
      <c r="B1205" t="inlineStr">
        <is>
          <t>The Teacher Earth Scene</t>
        </is>
      </c>
      <c r="C1205" t="inlineStr">
        <is>
          <t>https://wiki.warframe.com/w/The_Steel_Path | https://wiki.warframe.com/w/Captura</t>
        </is>
      </c>
      <c r="D1205" t="inlineStr">
        <is>
          <t>ExportResources</t>
        </is>
      </c>
      <c r="F1205" t="inlineStr">
        <is>
          <t>The Teacher Earth Scene</t>
        </is>
      </c>
      <c r="H1205" t="inlineStr">
        <is>
          <t>Solved: current place verified and archived 2026-10-16.</t>
        </is>
      </c>
      <c r="I1205" t="inlineStr">
        <is>
          <t>Resources</t>
        </is>
      </c>
      <c r="M1205" t="inlineStr">
        <is>
          <t>Purchase from Teshin's Steel Path Honors for 50 Steel Essence (requires The Steel Path and The Teacher quest).</t>
        </is>
      </c>
      <c r="N1205" t="inlineStr">
        <is>
          <t>The Steel Path | Captura</t>
        </is>
      </c>
      <c r="O1205" t="inlineStr">
        <is>
          <t>We copied where it comes from off the wiki page. See place from wiki page.</t>
        </is>
      </c>
    </row>
    <row r="1206">
      <c r="A1206" t="inlineStr">
        <is>
          <t>/Lotus/Types/Items/PhotoBooth/2025FallUpdate/PhotoboothTheTeacherReactor</t>
        </is>
      </c>
      <c r="B1206" t="inlineStr">
        <is>
          <t>The Teacher Reactor Scene</t>
        </is>
      </c>
      <c r="C1206" t="inlineStr">
        <is>
          <t>https://wiki.warframe.com/w/The_Steel_Path | https://wiki.warframe.com/w/Captura</t>
        </is>
      </c>
      <c r="D1206" t="inlineStr">
        <is>
          <t>ExportResources</t>
        </is>
      </c>
      <c r="F1206" t="inlineStr">
        <is>
          <t>The Teacher Reactor Scene</t>
        </is>
      </c>
      <c r="H1206" t="inlineStr">
        <is>
          <t>Solved: current place verified and archived 2026-10-16.</t>
        </is>
      </c>
      <c r="I1206" t="inlineStr">
        <is>
          <t>Resources</t>
        </is>
      </c>
      <c r="M1206" t="inlineStr">
        <is>
          <t>Purchase from Teshin's Steel Path Honors for 50 Steel Essence (requires The Steel Path and The Teacher quest).</t>
        </is>
      </c>
      <c r="N1206" t="inlineStr">
        <is>
          <t>The Steel Path | Captura</t>
        </is>
      </c>
      <c r="O1206" t="inlineStr">
        <is>
          <t>We copied where it comes from off the wiki page. See place from wiki page.</t>
        </is>
      </c>
    </row>
    <row r="1207">
      <c r="A1207" t="inlineStr">
        <is>
          <t>/Lotus/Types/Items/PhotoBooth/2025FallUpdate/PhotoboothTheTeacherShip</t>
        </is>
      </c>
      <c r="B1207" t="inlineStr">
        <is>
          <t>The Teacher Ship Scene</t>
        </is>
      </c>
      <c r="C1207" t="inlineStr">
        <is>
          <t>https://wiki.warframe.com/w/The_Steel_Path | https://wiki.warframe.com/w/Captura</t>
        </is>
      </c>
      <c r="D1207" t="inlineStr">
        <is>
          <t>ExportResources</t>
        </is>
      </c>
      <c r="F1207" t="inlineStr">
        <is>
          <t>The Teacher Ship Scene</t>
        </is>
      </c>
      <c r="H1207" t="inlineStr">
        <is>
          <t>Solved: current place verified and archived 2026-10-16.</t>
        </is>
      </c>
      <c r="I1207" t="inlineStr">
        <is>
          <t>Resources</t>
        </is>
      </c>
      <c r="M1207" t="inlineStr">
        <is>
          <t>Purchase from Teshin's Steel Path Honors for 50 Steel Essence (requires The Steel Path and The Teacher quest).</t>
        </is>
      </c>
      <c r="N1207" t="inlineStr">
        <is>
          <t>The Steel Path | Captura</t>
        </is>
      </c>
      <c r="O1207" t="inlineStr">
        <is>
          <t>We copied where it comes from off the wiki page. See place from wiki page.</t>
        </is>
      </c>
    </row>
    <row r="1208">
      <c r="A1208" t="inlineStr">
        <is>
          <t>/Lotus/Types/Items/MiscItems/PhotoboothTileTWWTeshinEnding</t>
        </is>
      </c>
      <c r="B1208" t="inlineStr">
        <is>
          <t>The War Within Choice Scene</t>
        </is>
      </c>
      <c r="C1208" t="inlineStr">
        <is>
          <t>https://wiki.warframe.com/w/Captura | https://wiki.warframe.com/w/Mutalist_Quanta | https://wiki.warframe.com/w/The_War_Within/Transcript</t>
        </is>
      </c>
      <c r="D1208" t="inlineStr">
        <is>
          <t>ExportResources</t>
        </is>
      </c>
      <c r="F1208" t="inlineStr">
        <is>
          <t>The War Within Choice Scene</t>
        </is>
      </c>
      <c r="H1208" t="inlineStr">
        <is>
          <t>Solved: current place verified and archived 2026-10-16.</t>
        </is>
      </c>
      <c r="I1208" t="inlineStr">
        <is>
          <t>Resources</t>
        </is>
      </c>
      <c r="M1208" t="inlineStr">
        <is>
          <t>Inbox reward after completing The War Within quest.</t>
        </is>
      </c>
      <c r="N1208" t="inlineStr">
        <is>
          <t>Captura</t>
        </is>
      </c>
      <c r="O1208" t="inlineStr">
        <is>
          <t>Saved a concrete acquisition place from the official Warframe Wiki. Captura scene table lists this scene with its acquisition note.</t>
        </is>
      </c>
    </row>
    <row r="1209">
      <c r="A1209" t="inlineStr">
        <is>
          <t>/Lotus/Types/Items/ShipDecos/Venus/TNWGlintTeshinDisplay</t>
        </is>
      </c>
      <c r="B1209" t="inlineStr">
        <is>
          <t>The Worm</t>
        </is>
      </c>
      <c r="C1209" t="inlineStr">
        <is>
          <t>https://wiki.warframe.com/w/Grineer_Queens | https://wiki.warframe.com/w/Kuva_Trokarian | https://wiki.warframe.com/w/Kuva_Hek | https://wiki.warframe.com/w/Zariman_(Tileset)</t>
        </is>
      </c>
      <c r="D1209" t="inlineStr">
        <is>
          <t>ExportResources</t>
        </is>
      </c>
      <c r="F1209" t="inlineStr">
        <is>
          <t>The Worm</t>
        </is>
      </c>
      <c r="H1209" t="inlineStr">
        <is>
          <t>Solved: current place verified and archived 2026-10-16.</t>
        </is>
      </c>
      <c r="I1209" t="inlineStr">
        <is>
          <t>Resources</t>
        </is>
      </c>
      <c r="M1209" t="inlineStr">
        <is>
          <t>In-game Market as part of the We Are Seasons' Poster Series bundle for 300 Platinum.</t>
        </is>
      </c>
      <c r="N1209" t="inlineStr">
        <is>
          <t>Decorations/Orbiter Decorations</t>
        </is>
      </c>
      <c r="O1209" t="inlineStr">
        <is>
          <t>Saved a concrete acquisition place from the official Warframe Wiki. Posters section, Market tab bundle table.</t>
        </is>
      </c>
    </row>
    <row r="1210">
      <c r="A1210" t="inlineStr">
        <is>
          <t>/Lotus/Types/Items/ShipDecos/Props/LisetPropCorpusCanister</t>
        </is>
      </c>
      <c r="B1210" t="inlineStr">
        <is>
          <t>Thermal Sludge Cannister Decoration</t>
        </is>
      </c>
      <c r="C1210" t="inlineStr">
        <is>
          <t>https://wiki.warframe.com/w/Solaris_United</t>
        </is>
      </c>
      <c r="D1210" t="inlineStr">
        <is>
          <t>ExportResources</t>
        </is>
      </c>
      <c r="F1210" t="inlineStr">
        <is>
          <t>Thermal Sludge Cannister Decoration</t>
        </is>
      </c>
      <c r="H1210" t="inlineStr">
        <is>
          <t>Solved: current place verified and archived 2026-10-16.</t>
        </is>
      </c>
      <c r="I1210" t="inlineStr">
        <is>
          <t>Resources</t>
        </is>
      </c>
      <c r="M1210" t="inlineStr">
        <is>
          <t>Purchase from Smokefinger (Solaris United) for 10,000 Standing at Rank 4 (Cove).</t>
        </is>
      </c>
      <c r="N1210" t="inlineStr">
        <is>
          <t>Solaris United</t>
        </is>
      </c>
      <c r="O1210" t="inlineStr">
        <is>
          <t>Saved a concrete acquisition place from the official Warframe Wiki. Solaris United page lists it in Notable Members &gt; [[Smokefinger]].</t>
        </is>
      </c>
    </row>
    <row r="1211">
      <c r="A1211" t="inlineStr">
        <is>
          <t>/Lotus/Types/Items/ShipDecos/Venus/TNWGlintLotusDisplay</t>
        </is>
      </c>
      <c r="B1211" t="inlineStr">
        <is>
          <t>This Is What You Are</t>
        </is>
      </c>
      <c r="C1211" t="inlineStr">
        <is>
          <t>https://wiki.warframe.com/w/This_Is_What_You_Are</t>
        </is>
      </c>
      <c r="D1211" t="inlineStr">
        <is>
          <t>ExportResources</t>
        </is>
      </c>
      <c r="F1211" t="inlineStr">
        <is>
          <t>This Is What You Are</t>
        </is>
      </c>
      <c r="G1211" t="inlineStr">
        <is>
          <t>This Is What You Are</t>
        </is>
      </c>
      <c r="H1211" t="inlineStr">
        <is>
          <t>Solved: current place verified and archived 2026-10-16.</t>
        </is>
      </c>
      <c r="I1211" t="inlineStr">
        <is>
          <t>Resources</t>
        </is>
      </c>
      <c r="J1211" t="inlineStr">
        <is>
          <t>Music_data</t>
        </is>
      </c>
      <c r="K1211" t="inlineStr">
        <is>
          <t>name or path</t>
        </is>
      </c>
      <c r="M1211" t="inlineStr">
        <is>
          <t>In-game Market as part of the We Are Seasons' Poster Series bundle for 300 Platinum.</t>
        </is>
      </c>
      <c r="N1211" t="inlineStr">
        <is>
          <t>Decorations/Orbiter Decorations</t>
        </is>
      </c>
      <c r="O1211" t="inlineStr">
        <is>
          <t>Saved a concrete acquisition place from the official Warframe Wiki. Posters section, Market tab bundle table.</t>
        </is>
      </c>
    </row>
    <row r="1212">
      <c r="A1212" t="inlineStr">
        <is>
          <t>/Lotus/Types/Items/ShipDecos/LisetPropMandolinSentient</t>
        </is>
      </c>
      <c r="B1212" t="inlineStr">
        <is>
          <t>Tiamat Shawzin</t>
        </is>
      </c>
      <c r="C1212" t="inlineStr">
        <is>
          <t>https://wiki.warframe.com/w/Shawzin | https://wiki.warframe.com/w/Decorations/Orbiter_Decorations</t>
        </is>
      </c>
      <c r="D1212" t="inlineStr">
        <is>
          <t>ExportResources</t>
        </is>
      </c>
      <c r="F1212" t="inlineStr">
        <is>
          <t>Tiamat Shawzin</t>
        </is>
      </c>
      <c r="H1212" t="inlineStr">
        <is>
          <t>Solved: current place verified and archived 2026-10-16.</t>
        </is>
      </c>
      <c r="I1212" t="inlineStr">
        <is>
          <t>Resources</t>
        </is>
      </c>
      <c r="M1212" t="inlineStr">
        <is>
          <t>In-game Market for 40 Platinum.</t>
        </is>
      </c>
      <c r="N1212" t="inlineStr">
        <is>
          <t>Shawzin | Decorations/Orbiter Decorations | Update 27</t>
        </is>
      </c>
      <c r="O1212" t="inlineStr">
        <is>
          <t>We copied where it comes from off the wiki page. See place from wiki page.</t>
        </is>
      </c>
    </row>
    <row r="1213">
      <c r="A1213" t="inlineStr">
        <is>
          <t>/Lotus/Types/Items/ShipDecos/Cyte09ExaltedSniperShipDeco</t>
        </is>
      </c>
      <c r="B1213" t="inlineStr">
        <is>
          <t>Timelost Artifact</t>
        </is>
      </c>
      <c r="C1213" t="inlineStr">
        <is>
          <t>https://wiki.warframe.com/w/Base_of_Operations | https://wiki.warframe.com/w/Cyte-09_Espricor_Helmet | https://wiki.warframe.com/w/Decorations | https://wiki.warframe.com/w/1999_Cyte-09_Straightshot_Bundle | https://wiki.warframe.com/w/Decorations/Orbiter_Decorations</t>
        </is>
      </c>
      <c r="D1213" t="inlineStr">
        <is>
          <t>ExportResources</t>
        </is>
      </c>
      <c r="F1213" t="inlineStr">
        <is>
          <t>Timelost Artifact</t>
        </is>
      </c>
      <c r="H1213" t="inlineStr">
        <is>
          <t>Solved: current place verified and archived 2026-10-16.</t>
        </is>
      </c>
      <c r="I1213" t="inlineStr">
        <is>
          <t>Resources</t>
        </is>
      </c>
      <c r="M1213" t="inlineStr">
        <is>
          <t>In-game Market for 35 Platinum, or in the 1999 Cyte-09 Straightshot Bundle.</t>
        </is>
      </c>
      <c r="N1213" t="inlineStr">
        <is>
          <t>Base of Operations | Cyte-09 Espricor Helmet | Decorations | 1999 Cyte-09 Straightshot Bundle | Decorations/Orbiter Decorations</t>
        </is>
      </c>
      <c r="O1213" t="inlineStr">
        <is>
          <t>We found more than one answer for where it comes from. Look at place from wiki page — the answers are separated by | — and pick the right one.</t>
        </is>
      </c>
    </row>
    <row r="1214">
      <c r="A1214" t="inlineStr">
        <is>
          <t>/Lotus/Types/Items/ShipDecos/TarotCardTitania</t>
        </is>
      </c>
      <c r="B1214" t="inlineStr">
        <is>
          <t>Titania Prex</t>
        </is>
      </c>
      <c r="C1214" t="inlineStr">
        <is>
          <t>https://wiki.warframe.com/w/Decorations | https://wiki.warframe.com/w/Relay</t>
        </is>
      </c>
      <c r="D1214" t="inlineStr">
        <is>
          <t>ExportResources</t>
        </is>
      </c>
      <c r="F1214" t="inlineStr">
        <is>
          <t>Titania Prex</t>
        </is>
      </c>
      <c r="H1214" t="inlineStr">
        <is>
          <t>Solved: current place verified and archived 2026-10-16.</t>
        </is>
      </c>
      <c r="I1214" t="inlineStr">
        <is>
          <t>Resources</t>
        </is>
      </c>
      <c r="M1214" t="inlineStr">
        <is>
          <t>Hidden pickup in Kronia Relay, Saturn: inside New Loka's room, on top of the projection of Earth.</t>
        </is>
      </c>
      <c r="N1214" t="inlineStr">
        <is>
          <t>Decorations/Orbiter Decorations</t>
        </is>
      </c>
      <c r="O1214" t="inlineStr">
        <is>
          <t>Saved a concrete acquisition place from the official Warframe Wiki. Orbiter Decorations Prex table and Prex Locations list.</t>
        </is>
      </c>
    </row>
    <row r="1215">
      <c r="A1215" t="inlineStr">
        <is>
          <t>/Lotus/Types/PickUps/LoreCards/LoreCardItem/LoreCardTitaniaItem</t>
        </is>
      </c>
      <c r="B1215" t="inlineStr">
        <is>
          <t>Titania Prex</t>
        </is>
      </c>
      <c r="C1215" t="inlineStr">
        <is>
          <t>https://wiki.warframe.com/w/Decorations | https://wiki.warframe.com/w/Relay</t>
        </is>
      </c>
      <c r="D1215" t="inlineStr">
        <is>
          <t>ExportResources</t>
        </is>
      </c>
      <c r="F1215" t="inlineStr">
        <is>
          <t>Titania Prex</t>
        </is>
      </c>
      <c r="H1215" t="inlineStr">
        <is>
          <t>Solved: current place verified and archived 2026-10-16.</t>
        </is>
      </c>
      <c r="I1215" t="inlineStr">
        <is>
          <t>Resources</t>
        </is>
      </c>
      <c r="M1215" t="inlineStr">
        <is>
          <t>Hidden pickup in Kronia Relay, Saturn: inside New Loka's room, on top of the projection of Earth.</t>
        </is>
      </c>
      <c r="N1215" t="inlineStr">
        <is>
          <t>Decorations/Orbiter Decorations</t>
        </is>
      </c>
      <c r="O1215" t="inlineStr">
        <is>
          <t>Saved a concrete acquisition place from the official Warframe Wiki. Orbiter Decorations Prex table and Prex Locations list.</t>
        </is>
      </c>
    </row>
    <row r="1216">
      <c r="A1216" t="inlineStr">
        <is>
          <t>/Lotus/Types/Items/ShipDecos/CorpusGreedReliefB</t>
        </is>
      </c>
      <c r="B1216" t="inlineStr">
        <is>
          <t>To The City</t>
        </is>
      </c>
      <c r="C1216" t="inlineStr">
        <is>
          <t>https://wiki.warframe.com/w/Fragments/The_Tenets | https://wiki.warframe.com/w/Cladius | https://wiki.warframe.com/w/The_Hex_(Quest) | https://wiki.warframe.com/w/The_Lotus_Eaters | https://wiki.warframe.com/w/Parvos_Granum | https://wiki.warframe.com/w/The_Lotus_Eaters/Transcript | https://wiki.warframe.com/w/Quincy | https://wiki.warframe.com/w/Arthur | https://wiki.warframe.com/w/Ballas | https://wiki.warframe.com/w/The_Hex_(Quest)/Transcript</t>
        </is>
      </c>
      <c r="D1216" t="inlineStr">
        <is>
          <t>ExportResources</t>
        </is>
      </c>
      <c r="F1216" t="inlineStr">
        <is>
          <t>To The City</t>
        </is>
      </c>
      <c r="H1216" t="inlineStr">
        <is>
          <t>Solved: current place verified and archived 2026-10-16.</t>
        </is>
      </c>
      <c r="I1216" t="inlineStr">
        <is>
          <t>Resources</t>
        </is>
      </c>
      <c r="M1216" t="inlineStr">
        <is>
          <t>Pay tribute with a Granum Crown at the Corpus Temple Reliefs in the Corpus Ship tileset.</t>
        </is>
      </c>
      <c r="N1216" t="inlineStr">
        <is>
          <t>Fragments/The Tenets | Cladius | The Hex (Quest) | The Lotus Eaters | Parvos Granum | The Lotus Eaters/Transcript | Quincy | Arthur | Ballas | The Hex (Quest)/Transcript</t>
        </is>
      </c>
      <c r="O1216" t="inlineStr">
        <is>
          <t>We copied where it comes from off the wiki page. See place from wiki page.</t>
        </is>
      </c>
    </row>
    <row r="1217">
      <c r="A1217" t="inlineStr">
        <is>
          <t>/Lotus/Types/Items/ShipDecos/Venus/SolarisPosterF</t>
        </is>
      </c>
      <c r="B1217" t="inlineStr">
        <is>
          <t>Together Poster</t>
        </is>
      </c>
      <c r="C1217" t="inlineStr">
        <is>
          <t>https://wiki.warframe.com/w/Decorations/Orbiter_Decorations</t>
        </is>
      </c>
      <c r="D1217" t="inlineStr">
        <is>
          <t>ExportResources</t>
        </is>
      </c>
      <c r="F1217" t="inlineStr">
        <is>
          <t>Together Poster</t>
        </is>
      </c>
      <c r="H1217" t="inlineStr">
        <is>
          <t>Solved: current place verified and archived 2026-10-16.</t>
        </is>
      </c>
      <c r="I1217" t="inlineStr">
        <is>
          <t>Resources</t>
        </is>
      </c>
      <c r="M1217" t="inlineStr">
        <is>
          <t>In-game Market for 35 Platinum.</t>
        </is>
      </c>
      <c r="N1217" t="inlineStr">
        <is>
          <t>Decorations/Orbiter Decorations</t>
        </is>
      </c>
      <c r="O1217" t="inlineStr">
        <is>
          <t>We copied where it comes from off the wiki page. See place from wiki page.</t>
        </is>
      </c>
    </row>
    <row r="1218">
      <c r="A1218" t="inlineStr">
        <is>
          <t>/Lotus/Types/Items/ShipDecos/LavosDeviceDeco</t>
        </is>
      </c>
      <c r="B1218" t="inlineStr">
        <is>
          <t>Transmutation Probe Decoration</t>
        </is>
      </c>
      <c r="C1218" t="inlineStr">
        <is>
          <t>https://wiki.warframe.com/w/Decorations | https://wiki.warframe.com/w/Decorations/Orbiter_Decorations</t>
        </is>
      </c>
      <c r="D1218" t="inlineStr">
        <is>
          <t>ExportResources</t>
        </is>
      </c>
      <c r="F1218" t="inlineStr">
        <is>
          <t>Transmutation Probe Decoration</t>
        </is>
      </c>
      <c r="H1218" t="inlineStr">
        <is>
          <t>Solved: current place verified and archived 2026-10-16.</t>
        </is>
      </c>
      <c r="I1218" t="inlineStr">
        <is>
          <t>Resources</t>
        </is>
      </c>
      <c r="M1218" t="inlineStr">
        <is>
          <t>Included in the Lavos Collection (Market).</t>
        </is>
      </c>
      <c r="N1218" t="inlineStr">
        <is>
          <t>Decorations/Orbiter Decorations</t>
        </is>
      </c>
      <c r="O1218" t="inlineStr">
        <is>
          <t>Saved a concrete acquisition place from the official Warframe Wiki. Orbiter Decorations Market section, items exclusive to bundles.</t>
        </is>
      </c>
    </row>
    <row r="1219">
      <c r="A1219" t="inlineStr">
        <is>
          <t>/Lotus/Types/Items/ShipDecos/LavosPrimeDeviceDeco</t>
        </is>
      </c>
      <c r="B1219" t="inlineStr">
        <is>
          <t>Transmutation Probe Prime Decoration</t>
        </is>
      </c>
      <c r="C1219" t="inlineStr">
        <is>
          <t>https://wiki.warframe.com/w/Prime | https://wiki.warframe.com/w/Prime_Access | https://wiki.warframe.com/w/Decorations/Orbiter_Decorations | https://wiki.warframe.com/w/Redtext</t>
        </is>
      </c>
      <c r="D1219" t="inlineStr">
        <is>
          <t>ExportResources</t>
        </is>
      </c>
      <c r="F1219" t="inlineStr">
        <is>
          <t>Transmutation Probe Prime Decoration</t>
        </is>
      </c>
      <c r="H1219" t="inlineStr">
        <is>
          <t>Solved: current place verified and archived 2026-10-16.</t>
        </is>
      </c>
      <c r="I1219" t="inlineStr">
        <is>
          <t>Resources</t>
        </is>
      </c>
      <c r="M1219" t="inlineStr">
        <is>
          <t>Included in Lavos Prime Accessories (Prime Access).</t>
        </is>
      </c>
      <c r="N1219" t="inlineStr">
        <is>
          <t>Decorations/Orbiter Decorations | Prime Access</t>
        </is>
      </c>
      <c r="O1219" t="inlineStr">
        <is>
          <t>Saved a concrete acquisition place from the official Warframe Wiki. Orbiter Decorations Miscellaneous section.</t>
        </is>
      </c>
    </row>
    <row r="1220">
      <c r="A1220" t="inlineStr">
        <is>
          <t>/Lotus/Types/Recipes/Weapons/WeaponParts/TrumnaPrimeBarrel</t>
        </is>
      </c>
      <c r="B1220" t="inlineStr">
        <is>
          <t>Trumna Prime Barrel</t>
        </is>
      </c>
      <c r="C1220" t="inlineStr">
        <is>
          <t>https://wiki.warframe.com/w/Trumna_Prime | https://wiki.warframe.com/w/Lith_T14 | https://wiki.warframe.com/w/Axi_T13 | https://wiki.warframe.com/w/Meso_T7 | https://wiki.warframe.com/w/Meso_T8</t>
        </is>
      </c>
      <c r="D1220" t="inlineStr">
        <is>
          <t>ExportResources</t>
        </is>
      </c>
      <c r="F1220" t="inlineStr">
        <is>
          <t>Trumna Prime Barrel</t>
        </is>
      </c>
      <c r="H1220" t="inlineStr">
        <is>
          <t>Solved: current place verified and archived 2026-10-16.</t>
        </is>
      </c>
      <c r="I1220" t="inlineStr">
        <is>
          <t>Resources</t>
        </is>
      </c>
      <c r="J1220" t="inlineStr">
        <is>
          <t>Axi T13 Relic (Rare) | Lith T14 Relic (Rare) | Meso T7 Relic (Rare) | Meso T8 Relic (Rare)</t>
        </is>
      </c>
      <c r="K1220" t="inlineStr">
        <is>
          <t>Void/data</t>
        </is>
      </c>
      <c r="L1220" t="inlineStr">
        <is>
          <t>name</t>
        </is>
      </c>
      <c r="M1220" t="inlineStr">
        <is>
          <t>Lith T14, Axi T13, Meso T7 and Meso T8 relic drops (vaulted; trade only).</t>
        </is>
      </c>
      <c r="N1220" t="inlineStr">
        <is>
          <t>Lith T14 | Axi T13 | Meso T7 | Meso T8</t>
        </is>
      </c>
      <c r="O1220" t="inlineStr">
        <is>
          <t>Saved a concrete acquisition place from the official Warframe Wiki. Relic pages list this part in their reward table.</t>
        </is>
      </c>
    </row>
    <row r="1221">
      <c r="A1221" t="inlineStr">
        <is>
          <t>/Lotus/Types/Recipes/Weapons/WeaponParts/TrumnaPrimeReceiver</t>
        </is>
      </c>
      <c r="B1221" t="inlineStr">
        <is>
          <t>Trumna Prime Receiver</t>
        </is>
      </c>
      <c r="C1221" t="inlineStr">
        <is>
          <t>https://wiki.warframe.com/w/Trumna_Prime | https://wiki.warframe.com/w/Neo_T11 | https://wiki.warframe.com/w/Neo_T9 | https://wiki.warframe.com/w/Axi_T12 | https://wiki.warframe.com/w/Neo_T10</t>
        </is>
      </c>
      <c r="D1221" t="inlineStr">
        <is>
          <t>ExportResources</t>
        </is>
      </c>
      <c r="F1221" t="inlineStr">
        <is>
          <t>Trumna Prime Receiver</t>
        </is>
      </c>
      <c r="H1221" t="inlineStr">
        <is>
          <t>Solved: current place verified and archived 2026-10-16.</t>
        </is>
      </c>
      <c r="I1221" t="inlineStr">
        <is>
          <t>Resources</t>
        </is>
      </c>
      <c r="J1221" t="inlineStr">
        <is>
          <t>Axi T12 Relic (Rare) | Neo T9 Relic (Rare) | Neo T10 Relic (Rare) | Neo T11 Relic (Rare)</t>
        </is>
      </c>
      <c r="K1221" t="inlineStr">
        <is>
          <t>Void/data</t>
        </is>
      </c>
      <c r="L1221" t="inlineStr">
        <is>
          <t>name</t>
        </is>
      </c>
      <c r="M1221" t="inlineStr">
        <is>
          <t>Neo T11, Neo T9, Axi T12 and Neo T10 relic drops (vaulted; trade only).</t>
        </is>
      </c>
      <c r="N1221" t="inlineStr">
        <is>
          <t>Neo T11 | Neo T9 | Axi T12 | Neo T10</t>
        </is>
      </c>
      <c r="O1221" t="inlineStr">
        <is>
          <t>Saved a concrete acquisition place from the official Warframe Wiki. Relic pages list this part in their reward table.</t>
        </is>
      </c>
    </row>
    <row r="1222">
      <c r="A1222" t="inlineStr">
        <is>
          <t>/Lotus/Types/Recipes/Weapons/WeaponParts/TrumnaPrimeStock</t>
        </is>
      </c>
      <c r="B1222" t="inlineStr">
        <is>
          <t>Trumna Prime Stock</t>
        </is>
      </c>
      <c r="C1222" t="inlineStr">
        <is>
          <t>https://wiki.warframe.com/w/Meso_L5 | https://wiki.warframe.com/w/Meso_G9 | https://wiki.warframe.com/w/Lith_Y1 | https://wiki.warframe.com/w/Meso_V14 | https://wiki.warframe.com/w/Lith_N16</t>
        </is>
      </c>
      <c r="D1222" t="inlineStr">
        <is>
          <t>ExportResources</t>
        </is>
      </c>
      <c r="F1222" t="inlineStr">
        <is>
          <t>Trumna Prime Stock</t>
        </is>
      </c>
      <c r="H1222" t="inlineStr">
        <is>
          <t>Solved: current place verified and archived 2026-10-16.</t>
        </is>
      </c>
      <c r="I1222" t="inlineStr">
        <is>
          <t>Resources</t>
        </is>
      </c>
      <c r="J1222" t="inlineStr">
        <is>
          <t>Lith N16 Relic (Uncommon) | Lith Y1 Relic (Uncommon) | Neo P10 Relic (Uncommon) | Meso G9 Relic (Uncommon) | Meso L5 Relic (Uncommon) | Meso V14 Relic (Uncommon)</t>
        </is>
      </c>
      <c r="K1222" t="inlineStr">
        <is>
          <t>Void/data</t>
        </is>
      </c>
      <c r="L1222" t="inlineStr">
        <is>
          <t>name</t>
        </is>
      </c>
      <c r="M1222" t="inlineStr">
        <is>
          <t>Meso L5, Meso G9, Lith Y1, Meso V14 and Lith N16 relic drops (vaulted; trade only).</t>
        </is>
      </c>
      <c r="N1222" t="inlineStr">
        <is>
          <t>Meso L5 | Meso G9 | Lith Y1 | Meso V14 | Lith N16</t>
        </is>
      </c>
      <c r="O1222" t="inlineStr">
        <is>
          <t>Saved a concrete acquisition place from the official Warframe Wiki. Relic pages list this part in their reward table.</t>
        </is>
      </c>
    </row>
    <row r="1223">
      <c r="A1223" t="inlineStr">
        <is>
          <t>/Lotus/Types/Items/ShipDecos/WeGame/LuckyKavat</t>
        </is>
      </c>
      <c r="B1223" t="inlineStr">
        <is>
          <t>Turquoise Lucky Kavat</t>
        </is>
      </c>
      <c r="C1223" t="inlineStr">
        <is>
          <t>https://wiki.warframe.com/w/Lunar_Renewal | https://wiki.warframe.com/w/Start_Anew_Bundle | https://wiki.warframe.com/w/Decorations/Orbiter_Decorations</t>
        </is>
      </c>
      <c r="D1223" t="inlineStr">
        <is>
          <t>ExportResources</t>
        </is>
      </c>
      <c r="F1223" t="inlineStr">
        <is>
          <t>Turquoise Lucky Kavat</t>
        </is>
      </c>
      <c r="H1223" t="inlineStr">
        <is>
          <t>Solved: current place verified and archived 2026-10-16.</t>
        </is>
      </c>
      <c r="I1223" t="inlineStr">
        <is>
          <t>Resources</t>
        </is>
      </c>
      <c r="M1223" t="inlineStr">
        <is>
          <t>In-game Market for 35 Platinum.</t>
        </is>
      </c>
      <c r="N1223" t="inlineStr">
        <is>
          <t>Lunar Renewal | Start Anew Bundle | Decorations/Orbiter Decorations</t>
        </is>
      </c>
      <c r="O1223" t="inlineStr">
        <is>
          <t>We copied where it comes from off the wiki page. See place from wiki page.</t>
        </is>
      </c>
    </row>
    <row r="1224">
      <c r="A1224" t="inlineStr">
        <is>
          <t>/Lotus/Types/Items/ShipDecos/Plushies/PlushyThumperMedium</t>
        </is>
      </c>
      <c r="B1224" t="inlineStr">
        <is>
          <t>Tusk Thumper Bull Floof</t>
        </is>
      </c>
      <c r="C1224" t="inlineStr">
        <is>
          <t>https://wiki.warframe.com/w/Nakak | https://wiki.warframe.com/w/Ostron | https://wiki.warframe.com/w/Nightwave/Series_3</t>
        </is>
      </c>
      <c r="D1224" t="inlineStr">
        <is>
          <t>ExportResources</t>
        </is>
      </c>
      <c r="F1224" t="inlineStr">
        <is>
          <t>Tusk Thumper Bull Floof</t>
        </is>
      </c>
      <c r="H1224" t="inlineStr">
        <is>
          <t>Solved: current place verified and archived 2026-10-16.</t>
        </is>
      </c>
      <c r="I1224" t="inlineStr">
        <is>
          <t>Resources</t>
        </is>
      </c>
      <c r="M1224" t="inlineStr">
        <is>
          <t>Trade Plains of Eidolon resources to Nakak in Cetus; costs change daily.</t>
        </is>
      </c>
      <c r="N1224" t="inlineStr">
        <is>
          <t>Nakak</t>
        </is>
      </c>
      <c r="O1224" t="inlineStr">
        <is>
          <t>Saved a concrete acquisition place from the official Warframe Wiki. Nakak page, Wares &gt; Floofs.</t>
        </is>
      </c>
    </row>
    <row r="1225">
      <c r="A1225" t="inlineStr">
        <is>
          <t>/Lotus/Types/Items/ShipDecos/Plushies/PlushyThumperLarge</t>
        </is>
      </c>
      <c r="B1225" t="inlineStr">
        <is>
          <t>Tusk Thumper Doma Floof</t>
        </is>
      </c>
      <c r="C1225" t="inlineStr">
        <is>
          <t>https://wiki.warframe.com/w/Nakak | https://wiki.warframe.com/w/Ostron</t>
        </is>
      </c>
      <c r="D1225" t="inlineStr">
        <is>
          <t>ExportResources</t>
        </is>
      </c>
      <c r="F1225" t="inlineStr">
        <is>
          <t>Tusk Thumper Doma Floof</t>
        </is>
      </c>
      <c r="H1225" t="inlineStr">
        <is>
          <t>Solved: current place verified and archived 2026-10-16.</t>
        </is>
      </c>
      <c r="I1225" t="inlineStr">
        <is>
          <t>Resources</t>
        </is>
      </c>
      <c r="M1225" t="inlineStr">
        <is>
          <t>Trade Plains of Eidolon resources to Nakak in Cetus; costs change daily.</t>
        </is>
      </c>
      <c r="N1225" t="inlineStr">
        <is>
          <t>Nakak</t>
        </is>
      </c>
      <c r="O1225" t="inlineStr">
        <is>
          <t>Saved a concrete acquisition place from the official Warframe Wiki. Nakak page, Wares &gt; Floofs.</t>
        </is>
      </c>
    </row>
    <row r="1226">
      <c r="A1226" t="inlineStr">
        <is>
          <t>/Lotus/Types/Items/ShipDecos/Plushies/PlushyThumper</t>
        </is>
      </c>
      <c r="B1226" t="inlineStr">
        <is>
          <t>Tusk Thumper Floof</t>
        </is>
      </c>
      <c r="C1226" t="inlineStr">
        <is>
          <t>https://wiki.warframe.com/w/Nakak | https://wiki.warframe.com/w/Ostron</t>
        </is>
      </c>
      <c r="D1226" t="inlineStr">
        <is>
          <t>ExportResources</t>
        </is>
      </c>
      <c r="F1226" t="inlineStr">
        <is>
          <t>Tusk Thumper Floof</t>
        </is>
      </c>
      <c r="H1226" t="inlineStr">
        <is>
          <t>Solved: current place verified and archived 2026-10-16.</t>
        </is>
      </c>
      <c r="I1226" t="inlineStr">
        <is>
          <t>Resources</t>
        </is>
      </c>
      <c r="M1226" t="inlineStr">
        <is>
          <t>Trade Plains of Eidolon resources to Nakak in Cetus; costs change daily.</t>
        </is>
      </c>
      <c r="N1226" t="inlineStr">
        <is>
          <t>Nakak</t>
        </is>
      </c>
      <c r="O1226" t="inlineStr">
        <is>
          <t>Saved a concrete acquisition place from the official Warframe Wiki. Nakak page, Wares &gt; Floofs.</t>
        </is>
      </c>
    </row>
    <row r="1227">
      <c r="A1227" t="inlineStr">
        <is>
          <t>/Lotus/Types/Items/ShipDecos/Props/LisetPropJS2Crib</t>
        </is>
      </c>
      <c r="B1227" t="inlineStr">
        <is>
          <t>Twin Bassinet Decoration</t>
        </is>
      </c>
      <c r="C1227" t="inlineStr">
        <is>
          <t>https://wiki.warframe.com/w/Constellations_Sirius_%26_Orion_Bundle | https://wiki.warframe.com/w/Decorations/Orbiter_Decorations</t>
        </is>
      </c>
      <c r="D1227" t="inlineStr">
        <is>
          <t>ExportResources</t>
        </is>
      </c>
      <c r="F1227" t="inlineStr">
        <is>
          <t>Twin Bassinet Decoration</t>
        </is>
      </c>
      <c r="H1227" t="inlineStr">
        <is>
          <t>Solved: current place verified and archived 2026-10-16.</t>
        </is>
      </c>
      <c r="I1227" t="inlineStr">
        <is>
          <t>Resources</t>
        </is>
      </c>
      <c r="M1227" t="inlineStr">
        <is>
          <t>In-game Market for 35 Platinum.</t>
        </is>
      </c>
      <c r="N1227" t="inlineStr">
        <is>
          <t>Constellations Sirius &amp; Orion Bundle | Decorations/Orbiter Decorations</t>
        </is>
      </c>
      <c r="O1227" t="inlineStr">
        <is>
          <t>We copied where it comes from off the wiki page. See place from wiki page.</t>
        </is>
      </c>
    </row>
    <row r="1228">
      <c r="A1228" t="inlineStr">
        <is>
          <t>/Lotus/Types/Items/Deimos/AnimalTagInfestedZongroCommon</t>
        </is>
      </c>
      <c r="B1228" t="inlineStr">
        <is>
          <t>UMBER UNDAZOA TAG</t>
        </is>
      </c>
      <c r="C1228" t="inlineStr">
        <is>
          <t>https://wiki.warframe.com/w/Conservation</t>
        </is>
      </c>
      <c r="D1228" t="inlineStr">
        <is>
          <t>ExportResources</t>
        </is>
      </c>
      <c r="G1228" t="inlineStr">
        <is>
          <t>Conservation#Undazoa</t>
        </is>
      </c>
      <c r="H1228" t="inlineStr">
        <is>
          <t>Solved: current place verified and archived 2026-10-16.</t>
        </is>
      </c>
      <c r="I1228" t="inlineStr">
        <is>
          <t>Resources</t>
        </is>
      </c>
      <c r="J1228" t="inlineStr">
        <is>
          <t>Resources_data</t>
        </is>
      </c>
      <c r="K1228" t="inlineStr">
        <is>
          <t>Resources/data</t>
        </is>
      </c>
      <c r="L1228" t="inlineStr">
        <is>
          <t>listed, no place</t>
        </is>
      </c>
      <c r="M1228" t="inlineStr">
        <is>
          <t>Capture a Umber Undazoa through Conservation in the Cambion Drift.</t>
        </is>
      </c>
      <c r="N1228" t="inlineStr">
        <is>
          <t>Conservation</t>
        </is>
      </c>
      <c r="O1228" t="inlineStr">
        <is>
          <t>Saved a concrete acquisition place from the official Warframe Wiki.</t>
        </is>
      </c>
    </row>
    <row r="1229">
      <c r="A1229" t="inlineStr">
        <is>
          <t>/Lotus/Types/Items/MiscItems/PhotoboothTileSacrificeCourtyard</t>
        </is>
      </c>
      <c r="B1229" t="inlineStr">
        <is>
          <t>Umbra's Courtyard Scene</t>
        </is>
      </c>
      <c r="C1229" t="inlineStr">
        <is>
          <t>https://wiki.warframe.com/w/Captura | https://wiki.warframe.com/w/The_Sacrifice</t>
        </is>
      </c>
      <c r="D1229" t="inlineStr">
        <is>
          <t>ExportResources</t>
        </is>
      </c>
      <c r="F1229" t="inlineStr">
        <is>
          <t>Umbra's Courtyard Scene</t>
        </is>
      </c>
      <c r="H1229" t="inlineStr">
        <is>
          <t>Solved: current place verified and archived 2026-10-16.</t>
        </is>
      </c>
      <c r="I1229" t="inlineStr">
        <is>
          <t>Resources</t>
        </is>
      </c>
      <c r="M1229" t="inlineStr">
        <is>
          <t>Inbox reward after completing The Sacrifice quest.</t>
        </is>
      </c>
      <c r="N1229" t="inlineStr">
        <is>
          <t>Captura</t>
        </is>
      </c>
      <c r="O1229" t="inlineStr">
        <is>
          <t>Saved a concrete acquisition place from the official Warframe Wiki. Captura scene table lists this scene with its acquisition note.</t>
        </is>
      </c>
    </row>
    <row r="1230">
      <c r="A1230" t="inlineStr">
        <is>
          <t>/Lotus/Types/Items/MiscItems/PhotoboothTileDuviriArenaDaxCamp</t>
        </is>
      </c>
      <c r="B1230" t="inlineStr">
        <is>
          <t>Undercroft Dax Camp Scene</t>
        </is>
      </c>
      <c r="C1230" t="inlineStr">
        <is>
          <t>https://wiki.warframe.com/w/Acrithis | https://wiki.warframe.com/w/Captura</t>
        </is>
      </c>
      <c r="D1230" t="inlineStr">
        <is>
          <t>ExportResources</t>
        </is>
      </c>
      <c r="F1230" t="inlineStr">
        <is>
          <t>Undercroft Dax Camp Scene</t>
        </is>
      </c>
      <c r="H1230" t="inlineStr">
        <is>
          <t>Solved: current place verified and archived 2026-10-16.</t>
        </is>
      </c>
      <c r="I1230" t="inlineStr">
        <is>
          <t>Resources</t>
        </is>
      </c>
      <c r="M1230" t="inlineStr">
        <is>
          <t>Purchase from Acrithis' rotating Wares in Duviri.</t>
        </is>
      </c>
      <c r="N1230" t="inlineStr">
        <is>
          <t>Captura</t>
        </is>
      </c>
      <c r="O1230" t="inlineStr">
        <is>
          <t>Saved a concrete acquisition place from the official Warframe Wiki. Captura scene table lists this scene with its acquisition note.</t>
        </is>
      </c>
    </row>
    <row r="1231">
      <c r="A1231" t="inlineStr">
        <is>
          <t>/Lotus/Types/Items/MiscItems/PhotoboothTileDuviriArenaLivingQuarters</t>
        </is>
      </c>
      <c r="B1231" t="inlineStr">
        <is>
          <t>Undercroft Lodging Scene</t>
        </is>
      </c>
      <c r="C1231" t="inlineStr">
        <is>
          <t>https://wiki.warframe.com/w/Acrithis | https://wiki.warframe.com/w/Captura</t>
        </is>
      </c>
      <c r="D1231" t="inlineStr">
        <is>
          <t>ExportResources</t>
        </is>
      </c>
      <c r="F1231" t="inlineStr">
        <is>
          <t>Undercroft Lodging Scene</t>
        </is>
      </c>
      <c r="H1231" t="inlineStr">
        <is>
          <t>Solved: current place verified and archived 2026-10-16.</t>
        </is>
      </c>
      <c r="I1231" t="inlineStr">
        <is>
          <t>Resources</t>
        </is>
      </c>
      <c r="M1231" t="inlineStr">
        <is>
          <t>Purchase from Acrithis' rotating Wares in Duviri.</t>
        </is>
      </c>
      <c r="N1231" t="inlineStr">
        <is>
          <t>Captura</t>
        </is>
      </c>
      <c r="O1231" t="inlineStr">
        <is>
          <t>Saved a concrete acquisition place from the official Warframe Wiki. Captura scene table lists this scene with its acquisition note.</t>
        </is>
      </c>
    </row>
    <row r="1232">
      <c r="A1232" t="inlineStr">
        <is>
          <t>/Lotus/Types/Items/MiscItems/PhotoboothTileDuviriArenaLunaro</t>
        </is>
      </c>
      <c r="B1232" t="inlineStr">
        <is>
          <t>Undercroft Lunaro Scene</t>
        </is>
      </c>
      <c r="C1232" t="inlineStr">
        <is>
          <t>https://wiki.warframe.com/w/Acrithis | https://wiki.warframe.com/w/Captura</t>
        </is>
      </c>
      <c r="D1232" t="inlineStr">
        <is>
          <t>ExportResources</t>
        </is>
      </c>
      <c r="F1232" t="inlineStr">
        <is>
          <t>Undercroft Lunaro Scene</t>
        </is>
      </c>
      <c r="H1232" t="inlineStr">
        <is>
          <t>Solved: current place verified and archived 2026-10-16.</t>
        </is>
      </c>
      <c r="I1232" t="inlineStr">
        <is>
          <t>Resources</t>
        </is>
      </c>
      <c r="M1232" t="inlineStr">
        <is>
          <t>Purchase from Acrithis' rotating Wares in Duviri.</t>
        </is>
      </c>
      <c r="N1232" t="inlineStr">
        <is>
          <t>Captura</t>
        </is>
      </c>
      <c r="O1232" t="inlineStr">
        <is>
          <t>Saved a concrete acquisition place from the official Warframe Wiki. Captura scene table lists this scene with its acquisition note.</t>
        </is>
      </c>
    </row>
    <row r="1233">
      <c r="A1233" t="inlineStr">
        <is>
          <t>/Lotus/Types/Items/MiscItems/PhotoboothTileDuviriArenaOpera</t>
        </is>
      </c>
      <c r="B1233" t="inlineStr">
        <is>
          <t>Undercroft Opera Scene</t>
        </is>
      </c>
      <c r="C1233" t="inlineStr">
        <is>
          <t>https://wiki.warframe.com/w/Acrithis | https://wiki.warframe.com/w/Captura</t>
        </is>
      </c>
      <c r="D1233" t="inlineStr">
        <is>
          <t>ExportResources</t>
        </is>
      </c>
      <c r="F1233" t="inlineStr">
        <is>
          <t>Undercroft Opera Scene</t>
        </is>
      </c>
      <c r="H1233" t="inlineStr">
        <is>
          <t>Solved: current place verified and archived 2026-10-16.</t>
        </is>
      </c>
      <c r="I1233" t="inlineStr">
        <is>
          <t>Resources</t>
        </is>
      </c>
      <c r="L1233" t="inlineStr">
        <is>
          <t>Vendors_data</t>
        </is>
      </c>
      <c r="M1233" t="inlineStr">
        <is>
          <t>Purchase from Acrithis' rotating Wares in Duviri.</t>
        </is>
      </c>
      <c r="N1233" t="inlineStr">
        <is>
          <t>Captura</t>
        </is>
      </c>
      <c r="O1233" t="inlineStr">
        <is>
          <t>Saved a concrete acquisition place from the official Warframe Wiki. Captura scene table lists this scene with its acquisition note.</t>
        </is>
      </c>
    </row>
    <row r="1234">
      <c r="A1234" t="inlineStr">
        <is>
          <t>/Lotus/Types/Items/MiscItems/PhotoboothTileDuviriArenaVoidNether</t>
        </is>
      </c>
      <c r="B1234" t="inlineStr">
        <is>
          <t>Undercroft Outskirts Scene</t>
        </is>
      </c>
      <c r="C1234" t="inlineStr">
        <is>
          <t>https://wiki.warframe.com/w/Acrithis | https://wiki.warframe.com/w/Captura</t>
        </is>
      </c>
      <c r="D1234" t="inlineStr">
        <is>
          <t>ExportResources</t>
        </is>
      </c>
      <c r="F1234" t="inlineStr">
        <is>
          <t>Undercroft Outskirts Scene</t>
        </is>
      </c>
      <c r="H1234" t="inlineStr">
        <is>
          <t>Solved: current place verified and archived 2026-10-16.</t>
        </is>
      </c>
      <c r="I1234" t="inlineStr">
        <is>
          <t>Resources</t>
        </is>
      </c>
      <c r="M1234" t="inlineStr">
        <is>
          <t>Purchase from Acrithis' rotating Wares in Duviri.</t>
        </is>
      </c>
      <c r="N1234" t="inlineStr">
        <is>
          <t>Captura</t>
        </is>
      </c>
      <c r="O1234" t="inlineStr">
        <is>
          <t>Saved a concrete acquisition place from the official Warframe Wiki. Captura scene table lists this scene with its acquisition note.</t>
        </is>
      </c>
    </row>
    <row r="1235">
      <c r="A1235" t="inlineStr">
        <is>
          <t>/Lotus/Types/Items/MiscItems/PhotoboothTileDuviriArenaPark</t>
        </is>
      </c>
      <c r="B1235" t="inlineStr">
        <is>
          <t>Undercroft Park Scene</t>
        </is>
      </c>
      <c r="C1235" t="inlineStr">
        <is>
          <t>https://wiki.warframe.com/w/Acrithis | https://wiki.warframe.com/w/Captura</t>
        </is>
      </c>
      <c r="D1235" t="inlineStr">
        <is>
          <t>ExportResources</t>
        </is>
      </c>
      <c r="F1235" t="inlineStr">
        <is>
          <t>Undercroft Park Scene</t>
        </is>
      </c>
      <c r="H1235" t="inlineStr">
        <is>
          <t>Solved: current place verified and archived 2026-10-16.</t>
        </is>
      </c>
      <c r="I1235" t="inlineStr">
        <is>
          <t>Resources</t>
        </is>
      </c>
      <c r="L1235" t="inlineStr">
        <is>
          <t>Vendors_data</t>
        </is>
      </c>
      <c r="M1235" t="inlineStr">
        <is>
          <t>Purchase from Acrithis' rotating Wares in Duviri.</t>
        </is>
      </c>
      <c r="N1235" t="inlineStr">
        <is>
          <t>Captura</t>
        </is>
      </c>
      <c r="O1235" t="inlineStr">
        <is>
          <t>Saved a concrete acquisition place from the official Warframe Wiki. Captura scene table lists this scene with its acquisition note.</t>
        </is>
      </c>
    </row>
    <row r="1236">
      <c r="A1236" t="inlineStr">
        <is>
          <t>/Lotus/Types/Items/MiscItems/PhotoboothTileDuviriArenaTown</t>
        </is>
      </c>
      <c r="B1236" t="inlineStr">
        <is>
          <t>Undercroft Township Scene</t>
        </is>
      </c>
      <c r="C1236" t="inlineStr">
        <is>
          <t>https://wiki.warframe.com/w/Acrithis | https://wiki.warframe.com/w/Captura</t>
        </is>
      </c>
      <c r="D1236" t="inlineStr">
        <is>
          <t>ExportResources</t>
        </is>
      </c>
      <c r="F1236" t="inlineStr">
        <is>
          <t>Undercroft Township Scene</t>
        </is>
      </c>
      <c r="H1236" t="inlineStr">
        <is>
          <t>Solved: current place verified and archived 2026-10-16.</t>
        </is>
      </c>
      <c r="I1236" t="inlineStr">
        <is>
          <t>Resources</t>
        </is>
      </c>
      <c r="M1236" t="inlineStr">
        <is>
          <t>Purchase from Acrithis' rotating Wares in Duviri.</t>
        </is>
      </c>
      <c r="N1236" t="inlineStr">
        <is>
          <t>Captura</t>
        </is>
      </c>
      <c r="O1236" t="inlineStr">
        <is>
          <t>Saved a concrete acquisition place from the official Warframe Wiki. Captura scene table lists this scene with its acquisition note.</t>
        </is>
      </c>
    </row>
    <row r="1237">
      <c r="A1237" t="inlineStr">
        <is>
          <t>/Lotus/Types/Items/ShipDecos/NokkoMushroomScrawlPosterC</t>
        </is>
      </c>
      <c r="B1237" t="inlineStr">
        <is>
          <t>Undermind Whispers Cave Art</t>
        </is>
      </c>
      <c r="C1237" t="inlineStr">
        <is>
          <t>https://wiki.warframe.com/w/Ironwood | https://wiki.warframe.com/w/Violet's_Bane | https://wiki.warframe.com/w/Thorn_Tooth | https://wiki.warframe.com/w/Deepmines | https://wiki.warframe.com/w/Decorations/Orbiter_Decorations</t>
        </is>
      </c>
      <c r="D1237" t="inlineStr">
        <is>
          <t>ExportResources</t>
        </is>
      </c>
      <c r="F1237" t="inlineStr">
        <is>
          <t>Undermind Whispers Cave Art</t>
        </is>
      </c>
      <c r="H1237" t="inlineStr">
        <is>
          <t>Solved: current place verified and archived 2026-10-16.</t>
        </is>
      </c>
      <c r="I1237" t="inlineStr">
        <is>
          <t>Resources</t>
        </is>
      </c>
      <c r="M1237" t="inlineStr">
        <is>
          <t>Interact with the Sprodling in the hidden cave in the Deepmines Nutrient Plant tile (Orb Vallis) to get the blueprint.</t>
        </is>
      </c>
      <c r="N1237" t="inlineStr">
        <is>
          <t>Deepmines</t>
        </is>
      </c>
      <c r="O1237" t="inlineStr">
        <is>
          <t>Saved a concrete acquisition place from the official Warframe Wiki. Deepmines page Cave Art and Somachords table gives the location and Foundry cost.</t>
        </is>
      </c>
    </row>
    <row r="1238">
      <c r="A1238" t="inlineStr">
        <is>
          <t>/Lotus/Types/Items/ShipDecos/Venus/SolarisPosterB</t>
        </is>
      </c>
      <c r="B1238" t="inlineStr">
        <is>
          <t>United. Unbreakable. Poster</t>
        </is>
      </c>
      <c r="C1238" t="inlineStr">
        <is>
          <t>https://wiki.warframe.com/w/Decorations/Orbiter_Decorations</t>
        </is>
      </c>
      <c r="D1238" t="inlineStr">
        <is>
          <t>ExportResources</t>
        </is>
      </c>
      <c r="F1238" t="inlineStr">
        <is>
          <t>United. Unbreakable. Poster</t>
        </is>
      </c>
      <c r="H1238" t="inlineStr">
        <is>
          <t>Solved: current place verified and archived 2026-10-16.</t>
        </is>
      </c>
      <c r="I1238" t="inlineStr">
        <is>
          <t>Resources</t>
        </is>
      </c>
      <c r="M1238" t="inlineStr">
        <is>
          <t>In-game Market for 35 Platinum.</t>
        </is>
      </c>
      <c r="N1238" t="inlineStr">
        <is>
          <t>Decorations/Orbiter Decorations</t>
        </is>
      </c>
      <c r="O1238" t="inlineStr">
        <is>
          <t>We copied where it comes from off the wiki page. See place from wiki page.</t>
        </is>
      </c>
    </row>
    <row r="1239">
      <c r="A1239" t="inlineStr">
        <is>
          <t>/Lotus/Types/Items/UnlockArbitrationKeyItem</t>
        </is>
      </c>
      <c r="B1239" t="inlineStr">
        <is>
          <t>Unlock Arbitrations</t>
        </is>
      </c>
      <c r="C1239" t="inlineStr">
        <is>
          <t>https://wiki.warframe.com/w/Junction | https://wiki.warframe.com/w/Eris_Junction</t>
        </is>
      </c>
      <c r="D1239" t="inlineStr">
        <is>
          <t>ExportResources</t>
        </is>
      </c>
      <c r="F1239" t="inlineStr">
        <is>
          <t>Unlock Arbitrations</t>
        </is>
      </c>
      <c r="H1239" t="inlineStr">
        <is>
          <t>Solved: current place verified and archived 2026-10-16.</t>
        </is>
      </c>
      <c r="I1239" t="inlineStr">
        <is>
          <t>Resources</t>
        </is>
      </c>
      <c r="M1239" t="inlineStr">
        <is>
          <t>Reward for completing the Eris Junction.</t>
        </is>
      </c>
      <c r="N1239" t="inlineStr">
        <is>
          <t>Junction | Eris Junction</t>
        </is>
      </c>
      <c r="O1239" t="inlineStr">
        <is>
          <t>Saved a concrete acquisition place from the official Warframe Wiki. Junction page patch notes.</t>
        </is>
      </c>
    </row>
    <row r="1240">
      <c r="A1240" t="inlineStr">
        <is>
          <t>/Lotus/Types/Items/MiscItems/PhotoboothTileDuviriMainlandAWest</t>
        </is>
      </c>
      <c r="B1240" t="inlineStr">
        <is>
          <t>Upperhaven Scene</t>
        </is>
      </c>
      <c r="C1240" t="inlineStr">
        <is>
          <t>https://wiki.warframe.com/w/Acrithis | https://wiki.warframe.com/w/Captura</t>
        </is>
      </c>
      <c r="D1240" t="inlineStr">
        <is>
          <t>ExportResources</t>
        </is>
      </c>
      <c r="F1240" t="inlineStr">
        <is>
          <t>Upperhaven Scene</t>
        </is>
      </c>
      <c r="H1240" t="inlineStr">
        <is>
          <t>Solved: current place verified and archived 2026-10-16.</t>
        </is>
      </c>
      <c r="I1240" t="inlineStr">
        <is>
          <t>Resources</t>
        </is>
      </c>
      <c r="L1240" t="inlineStr">
        <is>
          <t>Vendors_data</t>
        </is>
      </c>
      <c r="M1240" t="inlineStr">
        <is>
          <t>Purchase from Acrithis' rotating Wares in Duviri.</t>
        </is>
      </c>
      <c r="N1240" t="inlineStr">
        <is>
          <t>Captura</t>
        </is>
      </c>
      <c r="O1240" t="inlineStr">
        <is>
          <t>Saved a concrete acquisition place from the official Warframe Wiki. Captura scene table lists this scene with its acquisition note.</t>
        </is>
      </c>
    </row>
    <row r="1241">
      <c r="A1241" t="inlineStr">
        <is>
          <t>/Lotus/Types/Items/ShipDecos/TarotCardUriel</t>
        </is>
      </c>
      <c r="B1241" t="inlineStr">
        <is>
          <t>Uriel Prex</t>
        </is>
      </c>
      <c r="C1241" t="inlineStr">
        <is>
          <t>https://wiki.warframe.com/w/The_Descendia</t>
        </is>
      </c>
      <c r="D1241" t="inlineStr">
        <is>
          <t>ExportResources</t>
        </is>
      </c>
      <c r="F1241" t="inlineStr">
        <is>
          <t>Uriel Prex</t>
        </is>
      </c>
      <c r="H1241" t="inlineStr">
        <is>
          <t>Solved: current place verified and archived 2026-10-16.</t>
        </is>
      </c>
      <c r="I1241" t="inlineStr">
        <is>
          <t>Resources</t>
        </is>
      </c>
      <c r="M1241" t="inlineStr">
        <is>
          <t>Hidden pickup in Floor 21, The Descendia: on the floor near the pyre behind you when you spawn in; only one squad member may collect it per instance.</t>
        </is>
      </c>
      <c r="N1241" t="inlineStr">
        <is>
          <t>Decorations/Orbiter Decorations</t>
        </is>
      </c>
      <c r="O1241" t="inlineStr">
        <is>
          <t>Saved a concrete acquisition place from the official Warframe Wiki. Orbiter Decorations Prex table and Prex Locations list.</t>
        </is>
      </c>
    </row>
    <row r="1242">
      <c r="A1242" t="inlineStr">
        <is>
          <t>/Lotus/Types/Items/Deimos/AnimalTagInfestedZongroUncommon</t>
        </is>
      </c>
      <c r="B1242" t="inlineStr">
        <is>
          <t>VAPOROUS UNDAZOA TAG</t>
        </is>
      </c>
      <c r="C1242" t="inlineStr">
        <is>
          <t>https://wiki.warframe.com/w/Conservation</t>
        </is>
      </c>
      <c r="D1242" t="inlineStr">
        <is>
          <t>ExportResources</t>
        </is>
      </c>
      <c r="G1242" t="inlineStr">
        <is>
          <t>Conservation#Undazoa</t>
        </is>
      </c>
      <c r="H1242" t="inlineStr">
        <is>
          <t>Solved: current place verified and archived 2026-10-16.</t>
        </is>
      </c>
      <c r="I1242" t="inlineStr">
        <is>
          <t>Resources</t>
        </is>
      </c>
      <c r="J1242" t="inlineStr">
        <is>
          <t>Resources_data</t>
        </is>
      </c>
      <c r="K1242" t="inlineStr">
        <is>
          <t>Resources/data</t>
        </is>
      </c>
      <c r="L1242" t="inlineStr">
        <is>
          <t>listed, no place</t>
        </is>
      </c>
      <c r="M1242" t="inlineStr">
        <is>
          <t>Capture a Vaporous Undazoa through Conservation in the Cambion Drift.</t>
        </is>
      </c>
      <c r="N1242" t="inlineStr">
        <is>
          <t>Conservation</t>
        </is>
      </c>
      <c r="O1242" t="inlineStr">
        <is>
          <t>Saved a concrete acquisition place from the official Warframe Wiki.</t>
        </is>
      </c>
    </row>
    <row r="1243">
      <c r="A1243" t="inlineStr">
        <is>
          <t>/Lotus/Types/Items/Deimos/AnimalTagInfestedNexiferaUncommon</t>
        </is>
      </c>
      <c r="B1243" t="inlineStr">
        <is>
          <t>VIRIDIAN NEXIFERA TAG</t>
        </is>
      </c>
      <c r="C1243" t="inlineStr">
        <is>
          <t>https://wiki.warframe.com/w/Conservation</t>
        </is>
      </c>
      <c r="D1243" t="inlineStr">
        <is>
          <t>ExportResources</t>
        </is>
      </c>
      <c r="G1243" t="inlineStr">
        <is>
          <t>Conservation#Nexifera</t>
        </is>
      </c>
      <c r="H1243" t="inlineStr">
        <is>
          <t>Solved: current place verified and archived 2026-10-16.</t>
        </is>
      </c>
      <c r="I1243" t="inlineStr">
        <is>
          <t>Resources</t>
        </is>
      </c>
      <c r="J1243" t="inlineStr">
        <is>
          <t>Resources_data</t>
        </is>
      </c>
      <c r="K1243" t="inlineStr">
        <is>
          <t>Resources/data</t>
        </is>
      </c>
      <c r="L1243" t="inlineStr">
        <is>
          <t>listed, no place</t>
        </is>
      </c>
      <c r="M1243" t="inlineStr">
        <is>
          <t>Capture a Viridian Nexifera through Conservation in the Cambion Drift.</t>
        </is>
      </c>
      <c r="N1243" t="inlineStr">
        <is>
          <t>Conservation</t>
        </is>
      </c>
      <c r="O1243" t="inlineStr">
        <is>
          <t>Saved a concrete acquisition place from the official Warframe Wiki.</t>
        </is>
      </c>
    </row>
    <row r="1244">
      <c r="A1244" t="inlineStr">
        <is>
          <t>/Lotus/Types/Items/ShipFeatureItems/VoidProjectionFeatureItem</t>
        </is>
      </c>
      <c r="B1244" t="inlineStr">
        <is>
          <t>VOID RELIC SEGMENT</t>
        </is>
      </c>
      <c r="C1244" t="inlineStr">
        <is>
          <t>https://wiki.warframe.com/w/Orbiter_Segments | https://wiki.warframe.com/w/Void_Relic | https://wiki.warframe.com/w/Junction</t>
        </is>
      </c>
      <c r="D1244" t="inlineStr">
        <is>
          <t>ExportResources</t>
        </is>
      </c>
      <c r="F1244" t="inlineStr">
        <is>
          <t>VOID RELIC SEGMENT</t>
        </is>
      </c>
      <c r="H1244" t="inlineStr">
        <is>
          <t>Solved: current place verified and archived 2026-10-16.</t>
        </is>
      </c>
      <c r="I1244" t="inlineStr">
        <is>
          <t>Resources</t>
        </is>
      </c>
      <c r="M1244" t="inlineStr">
        <is>
          <t>Reward for completing the Earth Junction (beat the Specter).</t>
        </is>
      </c>
      <c r="N1244" t="inlineStr">
        <is>
          <t>Orbiter Segments</t>
        </is>
      </c>
      <c r="O1244" t="inlineStr">
        <is>
          <t>Saved a concrete acquisition place from the official Warframe Wiki. Orbiter Segments page, Void Relic Segment.</t>
        </is>
      </c>
    </row>
    <row r="1245">
      <c r="A1245" t="inlineStr">
        <is>
          <t>/Lotus/Types/Items/ShipDecos/Plushies/Deimos/PlushyMoonMonsterCommon</t>
        </is>
      </c>
      <c r="B1245" t="inlineStr">
        <is>
          <t>VOME FLOOF</t>
        </is>
      </c>
      <c r="C1245" t="inlineStr">
        <is>
          <t>https://wiki.warframe.com/w/Baro_Ki'Teer/TennoCon_Items</t>
        </is>
      </c>
      <c r="D1245" t="inlineStr">
        <is>
          <t>ExportResources</t>
        </is>
      </c>
      <c r="F1245" t="inlineStr">
        <is>
          <t>VOME FLOOF</t>
        </is>
      </c>
      <c r="H1245" t="inlineStr">
        <is>
          <t>Solved: current place verified and archived 2026-10-16.</t>
        </is>
      </c>
      <c r="I1245" t="inlineStr">
        <is>
          <t>Resources</t>
        </is>
      </c>
      <c r="J1245" t="inlineStr">
        <is>
          <t>Baro Ki'Teer (150 ducats, 125,000 credits)</t>
        </is>
      </c>
      <c r="K1245" t="inlineStr">
        <is>
          <t>Baro/data</t>
        </is>
      </c>
      <c r="L1245" t="inlineStr">
        <is>
          <t>case</t>
        </is>
      </c>
      <c r="M1245" t="inlineStr">
        <is>
          <t>Sold by Baro Ki'Teer at the TennoCon Relay (Baro's Relay Ticket required).</t>
        </is>
      </c>
      <c r="N1245" t="inlineStr">
        <is>
          <t>Baro Ki'Teer/TennoCon Items</t>
        </is>
      </c>
      <c r="O1245" t="inlineStr">
        <is>
          <t>Saved a concrete acquisition place from the official Warframe Wiki. TennoCon Items page lists the item.</t>
        </is>
      </c>
    </row>
    <row r="1246">
      <c r="A1246" t="inlineStr">
        <is>
          <t>/Lotus/Types/Recipes/Weapons/WeaponParts/PrimeLightningGunBarrel</t>
        </is>
      </c>
      <c r="B1246" t="inlineStr">
        <is>
          <t>Vadarya Prime Barrel</t>
        </is>
      </c>
      <c r="C1246" t="inlineStr">
        <is>
          <t>https://wiki.warframe.com/w/Vadarya_Prime | https://wiki.warframe.com/w/Lith_S18 | https://wiki.warframe.com/w/Axi_Y3 | https://wiki.warframe.com/w/Lith_L7 | https://wiki.warframe.com/w/Neo_A15</t>
        </is>
      </c>
      <c r="D1246" t="inlineStr">
        <is>
          <t>ExportResources</t>
        </is>
      </c>
      <c r="F1246" t="inlineStr">
        <is>
          <t>Vadarya Prime Barrel</t>
        </is>
      </c>
      <c r="H1246" t="inlineStr">
        <is>
          <t>Solved: current place verified and archived 2026-10-16.</t>
        </is>
      </c>
      <c r="I1246" t="inlineStr">
        <is>
          <t>Resources</t>
        </is>
      </c>
      <c r="J1246" t="inlineStr">
        <is>
          <t>Lith L7 Relic (Uncommon) | Lith S18 Relic (Uncommon) | Neo A15 Relic (Uncommon) | Axi Y3 Relic (Uncommon)</t>
        </is>
      </c>
      <c r="K1246" t="inlineStr">
        <is>
          <t>Void/data</t>
        </is>
      </c>
      <c r="L1246" t="inlineStr">
        <is>
          <t>name</t>
        </is>
      </c>
      <c r="M1246" t="inlineStr">
        <is>
          <t>Lith S18 relic drop.</t>
        </is>
      </c>
      <c r="N1246" t="inlineStr">
        <is>
          <t>Lith S18 | Axi Y3 | Lith L7 | Neo A15</t>
        </is>
      </c>
      <c r="O1246" t="inlineStr">
        <is>
          <t>Saved a concrete acquisition place from the official Warframe Wiki. Relic pages list this part in their reward table.</t>
        </is>
      </c>
    </row>
    <row r="1247">
      <c r="A1247" t="inlineStr">
        <is>
          <t>/Lotus/Types/Recipes/Weapons/WeaponParts/PrimeLightningGunReceiver</t>
        </is>
      </c>
      <c r="B1247" t="inlineStr">
        <is>
          <t>Vadarya Prime Receiver</t>
        </is>
      </c>
      <c r="C1247" t="inlineStr">
        <is>
          <t>https://wiki.warframe.com/w/Neo_C11 | https://wiki.warframe.com/w/Lith_G14 | https://wiki.warframe.com/w/Neo_C7 | https://wiki.warframe.com/w/Meso_L5 | https://wiki.warframe.com/w/Axi_S18</t>
        </is>
      </c>
      <c r="D1247" t="inlineStr">
        <is>
          <t>ExportResources</t>
        </is>
      </c>
      <c r="F1247" t="inlineStr">
        <is>
          <t>Vadarya Prime Receiver</t>
        </is>
      </c>
      <c r="H1247" t="inlineStr">
        <is>
          <t>Solved: current place verified and archived 2026-10-16.</t>
        </is>
      </c>
      <c r="I1247" t="inlineStr">
        <is>
          <t>Resources</t>
        </is>
      </c>
      <c r="J1247" t="inlineStr">
        <is>
          <t>Axi S18 Relic (Uncommon) | Neo S20 Relic (Uncommon) | Meso L5 Relic (Uncommon) | Lith G14 Relic (Uncommon) | Neo C7 Relic (Uncommon) | Neo C11 Relic (Uncommon)</t>
        </is>
      </c>
      <c r="K1247" t="inlineStr">
        <is>
          <t>Void/data</t>
        </is>
      </c>
      <c r="L1247" t="inlineStr">
        <is>
          <t>name</t>
        </is>
      </c>
      <c r="M1247" t="inlineStr">
        <is>
          <t>Neo C11, Lith G14 and Neo C7 relic drops.</t>
        </is>
      </c>
      <c r="N1247" t="inlineStr">
        <is>
          <t>Neo C11 | Lith G14 | Neo C7 | Meso L5 | Axi S18</t>
        </is>
      </c>
      <c r="O1247" t="inlineStr">
        <is>
          <t>Saved a concrete acquisition place from the official Warframe Wiki. Relic pages list this part in their reward table.</t>
        </is>
      </c>
    </row>
    <row r="1248">
      <c r="A1248" t="inlineStr">
        <is>
          <t>/Lotus/Types/Recipes/Weapons/WeaponParts/PrimeLightningGunStock</t>
        </is>
      </c>
      <c r="B1248" t="inlineStr">
        <is>
          <t>Vadarya Prime Stock</t>
        </is>
      </c>
      <c r="C1248" t="inlineStr">
        <is>
          <t>https://wiki.warframe.com/w/Axi_C12 | https://wiki.warframe.com/w/Axi_A21 | https://wiki.warframe.com/w/Meso_X1 | https://wiki.warframe.com/w/Lith_O4 | https://wiki.warframe.com/w/Lith_N19</t>
        </is>
      </c>
      <c r="D1248" t="inlineStr">
        <is>
          <t>ExportResources</t>
        </is>
      </c>
      <c r="F1248" t="inlineStr">
        <is>
          <t>Vadarya Prime Stock</t>
        </is>
      </c>
      <c r="H1248" t="inlineStr">
        <is>
          <t>Solved: current place verified and archived 2026-10-16.</t>
        </is>
      </c>
      <c r="I1248" t="inlineStr">
        <is>
          <t>Resources</t>
        </is>
      </c>
      <c r="J1248" t="inlineStr">
        <is>
          <t>Lith N19 Relic (Common) | Lith O4 Relic (Common) | Axi A21 Relic (Common) | Axi C12 Relic (Common) | Meso X1 Relic (Common)</t>
        </is>
      </c>
      <c r="K1248" t="inlineStr">
        <is>
          <t>Void/data</t>
        </is>
      </c>
      <c r="L1248" t="inlineStr">
        <is>
          <t>name</t>
        </is>
      </c>
      <c r="M1248" t="inlineStr">
        <is>
          <t>Axi C12 and Axi A21 relic drops.</t>
        </is>
      </c>
      <c r="N1248" t="inlineStr">
        <is>
          <t>Axi C12 | Axi A21 | Meso X1 | Lith O4 | Lith N19</t>
        </is>
      </c>
      <c r="O1248" t="inlineStr">
        <is>
          <t>Saved a concrete acquisition place from the official Warframe Wiki. Relic pages list this part in their reward table.</t>
        </is>
      </c>
    </row>
    <row r="1249">
      <c r="A1249" t="inlineStr">
        <is>
          <t>/Lotus/Types/Items/ShipDecos/Venus/ValaParvosCommunityDisplay</t>
        </is>
      </c>
      <c r="B1249" t="inlineStr">
        <is>
          <t>Vala and Parvos Community Display</t>
        </is>
      </c>
      <c r="C1249" t="inlineStr">
        <is>
          <t>https://wiki.warframe.com/w/Decorations | https://wiki.warframe.com/w/Decorations/Orbiter_Decorations</t>
        </is>
      </c>
      <c r="D1249" t="inlineStr">
        <is>
          <t>ExportResources</t>
        </is>
      </c>
      <c r="F1249" t="inlineStr">
        <is>
          <t>Vala and Parvos Community Display</t>
        </is>
      </c>
      <c r="H1249" t="inlineStr">
        <is>
          <t>Solved: current place verified and archived 2026-10-16.</t>
        </is>
      </c>
      <c r="I1249" t="inlineStr">
        <is>
          <t>Resources</t>
        </is>
      </c>
      <c r="M1249" t="inlineStr">
        <is>
          <t>In-game Market for 30 Platinum.</t>
        </is>
      </c>
      <c r="N1249" t="inlineStr">
        <is>
          <t>Decorations | Decorations/Orbiter Decorations | Update 30 | Update 32</t>
        </is>
      </c>
      <c r="O1249" t="inlineStr">
        <is>
          <t>We copied where it comes from off the wiki page. See place from wiki page.</t>
        </is>
      </c>
    </row>
    <row r="1250">
      <c r="A1250" t="inlineStr">
        <is>
          <t>/Lotus/Types/Items/ShipDecos/Plushies/PlushyValkyr</t>
        </is>
      </c>
      <c r="B1250" t="inlineStr">
        <is>
          <t>Valkyr Floof</t>
        </is>
      </c>
      <c r="C1250" t="inlineStr">
        <is>
          <t>https://wiki.warframe.com/w/Conquera</t>
        </is>
      </c>
      <c r="D1250" t="inlineStr">
        <is>
          <t>ExportResources</t>
        </is>
      </c>
      <c r="F1250" t="inlineStr">
        <is>
          <t>Valkyr Floof</t>
        </is>
      </c>
      <c r="H1250" t="inlineStr">
        <is>
          <t>Solved: current place verified and archived 2026-10-16.</t>
        </is>
      </c>
      <c r="I1250" t="inlineStr">
        <is>
          <t>Resources</t>
        </is>
      </c>
      <c r="M1250" t="inlineStr">
        <is>
          <t>Sold in-game for Platinum during Conquera 2026 (Quest to Conquer Cancer).</t>
        </is>
      </c>
      <c r="N1250" t="inlineStr">
        <is>
          <t>Conquera</t>
        </is>
      </c>
      <c r="O1250" t="inlineStr">
        <is>
          <t>Saved a concrete acquisition place from the official Warframe Wiki. Conquera page, 2026 section.</t>
        </is>
      </c>
    </row>
    <row r="1251">
      <c r="A1251" t="inlineStr">
        <is>
          <t>/Lotus/Types/Items/ShipDecos/TarotCardValkyrHeirloom</t>
        </is>
      </c>
      <c r="B1251" t="inlineStr">
        <is>
          <t>Valkyr Heirloom Prex</t>
        </is>
      </c>
      <c r="C1251" t="inlineStr">
        <is>
          <t>https://wiki.warframe.com/w/Valkyr_Heirloom_Collection | https://wiki.warframe.com/w/Heirloom_Skins</t>
        </is>
      </c>
      <c r="D1251" t="inlineStr">
        <is>
          <t>ExportResources</t>
        </is>
      </c>
      <c r="F1251" t="inlineStr">
        <is>
          <t>Valkyr Heirloom Prex</t>
        </is>
      </c>
      <c r="H1251" t="inlineStr">
        <is>
          <t>Solved: current place verified and archived 2026-10-16.</t>
        </is>
      </c>
      <c r="I1251" t="inlineStr">
        <is>
          <t>Resources</t>
        </is>
      </c>
      <c r="M1251" t="inlineStr">
        <is>
          <t>In-game Market for 35 Platinum.</t>
        </is>
      </c>
      <c r="N1251" t="inlineStr">
        <is>
          <t>Valkyr Heirloom Collection | Heirloom Skins</t>
        </is>
      </c>
      <c r="O1251" t="inlineStr">
        <is>
          <t>We copied where it comes from off the wiki page. See place from wiki page.</t>
        </is>
      </c>
    </row>
    <row r="1252">
      <c r="A1252" t="inlineStr">
        <is>
          <t>/Lotus/Types/Items/ShipDecos/Plants/Nokko/LisetPropSVFoliagePurpleLarge</t>
        </is>
      </c>
      <c r="B1252" t="inlineStr">
        <is>
          <t>Vallis Fern</t>
        </is>
      </c>
      <c r="C1252" t="inlineStr">
        <is>
          <t>https://wiki.warframe.com/w/Nightcap</t>
        </is>
      </c>
      <c r="D1252" t="inlineStr">
        <is>
          <t>ExportResources</t>
        </is>
      </c>
      <c r="F1252" t="inlineStr">
        <is>
          <t>Vallis Fern</t>
        </is>
      </c>
      <c r="H1252" t="inlineStr">
        <is>
          <t>Solved: current place verified and archived 2026-10-16.</t>
        </is>
      </c>
      <c r="I1252" t="inlineStr">
        <is>
          <t>Resources</t>
        </is>
      </c>
      <c r="M1252" t="inlineStr">
        <is>
          <t>Purchase from Nightcap's Nursery for 10 Fergolyte.</t>
        </is>
      </c>
      <c r="N1252" t="inlineStr">
        <is>
          <t>Nightcap</t>
        </is>
      </c>
      <c r="O1252" t="inlineStr">
        <is>
          <t>Saved a concrete acquisition place from the official Warframe Wiki. Nightcap page lists it in Offerings &gt; Nursery.</t>
        </is>
      </c>
    </row>
    <row r="1253">
      <c r="A1253" t="inlineStr">
        <is>
          <t>/Lotus/Types/Items/ShipDecos/Plants/Nokko/LisetPropSvCaveMushroomE</t>
        </is>
      </c>
      <c r="B1253" t="inlineStr">
        <is>
          <t>Vallis Mushrooms (Small Group)</t>
        </is>
      </c>
      <c r="C1253" t="inlineStr">
        <is>
          <t>https://wiki.warframe.com/w/Nightcap</t>
        </is>
      </c>
      <c r="D1253" t="inlineStr">
        <is>
          <t>ExportResources</t>
        </is>
      </c>
      <c r="F1253" t="inlineStr">
        <is>
          <t>Vallis Mushrooms (Small Group)</t>
        </is>
      </c>
      <c r="H1253" t="inlineStr">
        <is>
          <t>Solved: current place verified and archived 2026-10-16.</t>
        </is>
      </c>
      <c r="I1253" t="inlineStr">
        <is>
          <t>Resources</t>
        </is>
      </c>
      <c r="M1253" t="inlineStr">
        <is>
          <t>Purchase from Nightcap's Nursery for 10 Fergolyte.</t>
        </is>
      </c>
      <c r="N1253" t="inlineStr">
        <is>
          <t>Nightcap</t>
        </is>
      </c>
      <c r="O1253" t="inlineStr">
        <is>
          <t>Saved a concrete acquisition place from the official Warframe Wiki. Nightcap page lists it in Offerings &gt; Nursery.</t>
        </is>
      </c>
    </row>
    <row r="1254">
      <c r="A1254" t="inlineStr">
        <is>
          <t>/Lotus/Types/Items/ShipDecos/TarotCardVaubanHeirloom</t>
        </is>
      </c>
      <c r="B1254" t="inlineStr">
        <is>
          <t>Vauban Heirloom Prex</t>
        </is>
      </c>
      <c r="C1254" t="inlineStr">
        <is>
          <t>https://wiki.warframe.com/w/Vauban_Heirloom_Collection | https://wiki.warframe.com/w/Heirloom_Skins</t>
        </is>
      </c>
      <c r="D1254" t="inlineStr">
        <is>
          <t>ExportResources</t>
        </is>
      </c>
      <c r="F1254" t="inlineStr">
        <is>
          <t>Vauban Heirloom Prex</t>
        </is>
      </c>
      <c r="H1254" t="inlineStr">
        <is>
          <t>Solved: current place verified and archived 2026-10-16.</t>
        </is>
      </c>
      <c r="I1254" t="inlineStr">
        <is>
          <t>Resources</t>
        </is>
      </c>
      <c r="M1254" t="inlineStr">
        <is>
          <t>In-game Market for 35 Platinum.</t>
        </is>
      </c>
      <c r="N1254" t="inlineStr">
        <is>
          <t>Vauban Heirloom Collection | Heirloom Skins | Update 41: The Old Peace</t>
        </is>
      </c>
      <c r="O1254" t="inlineStr">
        <is>
          <t>We copied where it comes from off the wiki page. See place from wiki page.</t>
        </is>
      </c>
    </row>
    <row r="1255">
      <c r="A1255" t="inlineStr">
        <is>
          <t>/Lotus/Types/Items/ShipDecos/TarotCardVauban</t>
        </is>
      </c>
      <c r="B1255" t="inlineStr">
        <is>
          <t>Vauban Prex</t>
        </is>
      </c>
      <c r="C1255" t="inlineStr">
        <is>
          <t>https://wiki.warframe.com/w/Decorations | https://wiki.warframe.com/w/Relay</t>
        </is>
      </c>
      <c r="D1255" t="inlineStr">
        <is>
          <t>ExportResources</t>
        </is>
      </c>
      <c r="F1255" t="inlineStr">
        <is>
          <t>Vauban Prex</t>
        </is>
      </c>
      <c r="H1255" t="inlineStr">
        <is>
          <t>Solved: current place verified and archived 2026-10-16.</t>
        </is>
      </c>
      <c r="I1255" t="inlineStr">
        <is>
          <t>Resources</t>
        </is>
      </c>
      <c r="M1255" t="inlineStr">
        <is>
          <t>Hidden pickup in Kronia Relay, Saturn: inside Steel Meridian's room, on top of barrels above and to the left of the entrance.</t>
        </is>
      </c>
      <c r="N1255" t="inlineStr">
        <is>
          <t>Decorations/Orbiter Decorations</t>
        </is>
      </c>
      <c r="O1255" t="inlineStr">
        <is>
          <t>Saved a concrete acquisition place from the official Warframe Wiki. Orbiter Decorations Prex table and Prex Locations list.</t>
        </is>
      </c>
    </row>
    <row r="1256">
      <c r="A1256" t="inlineStr">
        <is>
          <t>/Lotus/Types/PickUps/LoreCards/LoreCardItem/LoreCardVaubanItem</t>
        </is>
      </c>
      <c r="B1256" t="inlineStr">
        <is>
          <t>Vauban Prex</t>
        </is>
      </c>
      <c r="C1256" t="inlineStr">
        <is>
          <t>https://wiki.warframe.com/w/Decorations | https://wiki.warframe.com/w/Relay</t>
        </is>
      </c>
      <c r="D1256" t="inlineStr">
        <is>
          <t>ExportResources</t>
        </is>
      </c>
      <c r="F1256" t="inlineStr">
        <is>
          <t>Vauban Prex</t>
        </is>
      </c>
      <c r="H1256" t="inlineStr">
        <is>
          <t>Solved: current place verified and archived 2026-10-16.</t>
        </is>
      </c>
      <c r="I1256" t="inlineStr">
        <is>
          <t>Resources</t>
        </is>
      </c>
      <c r="M1256" t="inlineStr">
        <is>
          <t>Hidden pickup in Kronia Relay, Saturn: inside Steel Meridian's room, on top of barrels above and to the left of the entrance.</t>
        </is>
      </c>
      <c r="N1256" t="inlineStr">
        <is>
          <t>Decorations/Orbiter Decorations</t>
        </is>
      </c>
      <c r="O1256" t="inlineStr">
        <is>
          <t>Saved a concrete acquisition place from the official Warframe Wiki. Orbiter Decorations Prex table and Prex Locations list.</t>
        </is>
      </c>
    </row>
    <row r="1257">
      <c r="A1257" t="inlineStr">
        <is>
          <t>/Lotus/Types/Items/PhotoBooth/PhotoboothTileVeilbreakerVallis</t>
        </is>
      </c>
      <c r="B1257" t="inlineStr">
        <is>
          <t>Veilbreak Factory Scene</t>
        </is>
      </c>
      <c r="C1257" t="inlineStr">
        <is>
          <t>https://wiki.warframe.com/w/Kahl's_Garrison | https://wiki.warframe.com/w/Chipper | https://wiki.warframe.com/w/Captura | https://wiki.warframe.com/w/Break_Narmer</t>
        </is>
      </c>
      <c r="D1257" t="inlineStr">
        <is>
          <t>ExportResources</t>
        </is>
      </c>
      <c r="F1257" t="inlineStr">
        <is>
          <t>Veilbreak Factory Scene</t>
        </is>
      </c>
      <c r="H1257" t="inlineStr">
        <is>
          <t>Solved: current place verified and archived 2026-10-16.</t>
        </is>
      </c>
      <c r="I1257" t="inlineStr">
        <is>
          <t>Resources</t>
        </is>
      </c>
      <c r="M1257" t="inlineStr">
        <is>
          <t>Purchase from Chipper for 45 Stock (Kahl) at Rank 5 (Home).</t>
        </is>
      </c>
      <c r="N1257" t="inlineStr">
        <is>
          <t>Captura</t>
        </is>
      </c>
      <c r="O1257" t="inlineStr">
        <is>
          <t>Saved a concrete acquisition place from the official Warframe Wiki. Captura scene table lists this scene with its acquisition note.</t>
        </is>
      </c>
    </row>
    <row r="1258">
      <c r="A1258" t="inlineStr">
        <is>
          <t>/Lotus/Types/Items/PhotoBooth/PhotoboothTileVeilbreakerForest</t>
        </is>
      </c>
      <c r="B1258" t="inlineStr">
        <is>
          <t>Veilbreak Forest Scene</t>
        </is>
      </c>
      <c r="C1258" t="inlineStr">
        <is>
          <t>https://wiki.warframe.com/w/Kahl's_Garrison | https://wiki.warframe.com/w/Chipper | https://wiki.warframe.com/w/Captura | https://wiki.warframe.com/w/Break_Narmer</t>
        </is>
      </c>
      <c r="D1258" t="inlineStr">
        <is>
          <t>ExportResources</t>
        </is>
      </c>
      <c r="F1258" t="inlineStr">
        <is>
          <t>Veilbreak Forest Scene</t>
        </is>
      </c>
      <c r="H1258" t="inlineStr">
        <is>
          <t>Solved: current place verified and archived 2026-10-16.</t>
        </is>
      </c>
      <c r="I1258" t="inlineStr">
        <is>
          <t>Resources</t>
        </is>
      </c>
      <c r="M1258" t="inlineStr">
        <is>
          <t>Purchase from Chipper for 45 Stock (Kahl) at Rank 5 (Home).</t>
        </is>
      </c>
      <c r="N1258" t="inlineStr">
        <is>
          <t>Captura</t>
        </is>
      </c>
      <c r="O1258" t="inlineStr">
        <is>
          <t>Saved a concrete acquisition place from the official Warframe Wiki. Captura scene table lists this scene with its acquisition note.</t>
        </is>
      </c>
    </row>
    <row r="1259">
      <c r="A1259" t="inlineStr">
        <is>
          <t>/Lotus/Types/Items/PhotoBooth/PhotoboothTileVeilbreakerMurex</t>
        </is>
      </c>
      <c r="B1259" t="inlineStr">
        <is>
          <t>Veilbreak Murex Scene</t>
        </is>
      </c>
      <c r="C1259" t="inlineStr">
        <is>
          <t>https://wiki.warframe.com/w/Kahl's_Garrison | https://wiki.warframe.com/w/Chipper | https://wiki.warframe.com/w/Captura | https://wiki.warframe.com/w/Break_Narmer</t>
        </is>
      </c>
      <c r="D1259" t="inlineStr">
        <is>
          <t>ExportResources</t>
        </is>
      </c>
      <c r="F1259" t="inlineStr">
        <is>
          <t>Veilbreak Murex Scene</t>
        </is>
      </c>
      <c r="H1259" t="inlineStr">
        <is>
          <t>Solved: current place verified and archived 2026-10-16.</t>
        </is>
      </c>
      <c r="I1259" t="inlineStr">
        <is>
          <t>Resources</t>
        </is>
      </c>
      <c r="M1259" t="inlineStr">
        <is>
          <t>Purchase from Chipper for 45 Stock (Kahl) at Rank 5 (Home).</t>
        </is>
      </c>
      <c r="N1259" t="inlineStr">
        <is>
          <t>Captura</t>
        </is>
      </c>
      <c r="O1259" t="inlineStr">
        <is>
          <t>Saved a concrete acquisition place from the official Warframe Wiki. Captura scene table lists this scene with its acquisition note.</t>
        </is>
      </c>
    </row>
    <row r="1260">
      <c r="A1260" t="inlineStr">
        <is>
          <t>/Lotus/Types/Recipes/Weapons/WeaponParts/VeloxPrimeBarrel</t>
        </is>
      </c>
      <c r="B1260" t="inlineStr">
        <is>
          <t>Velox Prime Barrel</t>
        </is>
      </c>
      <c r="C1260" t="inlineStr">
        <is>
          <t>https://wiki.warframe.com/w/Velox_Prime | https://wiki.warframe.com/w/Meso_V11 | https://wiki.warframe.com/w/Meso_V16 | https://wiki.warframe.com/w/Meso_V14 | https://wiki.warframe.com/w/Meso_V9</t>
        </is>
      </c>
      <c r="D1260" t="inlineStr">
        <is>
          <t>ExportResources</t>
        </is>
      </c>
      <c r="F1260" t="inlineStr">
        <is>
          <t>Velox Prime Barrel</t>
        </is>
      </c>
      <c r="H1260" t="inlineStr">
        <is>
          <t>Solved: current place verified and archived 2026-10-16.</t>
        </is>
      </c>
      <c r="I1260" t="inlineStr">
        <is>
          <t>Resources</t>
        </is>
      </c>
      <c r="J1260" t="inlineStr">
        <is>
          <t>Axi V12 Relic (Rare) | Meso V9 Relic (Rare) | Meso V10 Relic (Rare) | Meso V11 Relic (Rare) | Meso V14 Relic (Rare) | Meso V16 Relic (Rare)</t>
        </is>
      </c>
      <c r="K1260" t="inlineStr">
        <is>
          <t>Void/data</t>
        </is>
      </c>
      <c r="L1260" t="inlineStr">
        <is>
          <t>name</t>
        </is>
      </c>
      <c r="M1260" t="inlineStr">
        <is>
          <t>Meso V11, Meso V16, Meso V14 and Meso V9 relic drops (vaulted; trade only).</t>
        </is>
      </c>
      <c r="N1260" t="inlineStr">
        <is>
          <t>Meso V11 | Meso V16 | Meso V14 | Meso V9</t>
        </is>
      </c>
      <c r="O1260" t="inlineStr">
        <is>
          <t>Saved a concrete acquisition place from the official Warframe Wiki. Relic pages list this part in their reward table.</t>
        </is>
      </c>
    </row>
    <row r="1261">
      <c r="A1261" t="inlineStr">
        <is>
          <t>/Lotus/Types/Recipes/Weapons/WeaponParts/VeloxPrimeReceiver</t>
        </is>
      </c>
      <c r="B1261" t="inlineStr">
        <is>
          <t>Velox Prime Receiver</t>
        </is>
      </c>
      <c r="C1261" t="inlineStr">
        <is>
          <t>https://wiki.warframe.com/w/Axi_P8 | https://wiki.warframe.com/w/Axi_A20 | https://wiki.warframe.com/w/Meso_V12 | https://wiki.warframe.com/w/Neo_L4 | https://wiki.warframe.com/w/Lith_T12</t>
        </is>
      </c>
      <c r="D1261" t="inlineStr">
        <is>
          <t>ExportResources</t>
        </is>
      </c>
      <c r="F1261" t="inlineStr">
        <is>
          <t>Velox Prime Receiver</t>
        </is>
      </c>
      <c r="H1261" t="inlineStr">
        <is>
          <t>Solved: current place verified and archived 2026-10-16.</t>
        </is>
      </c>
      <c r="I1261" t="inlineStr">
        <is>
          <t>Resources</t>
        </is>
      </c>
      <c r="J1261" t="inlineStr">
        <is>
          <t>Lith T12 Relic (Common) | Lith Z4 Relic (Common) | Axi A20 Relic (Common) | Axi A23 Relic (Common) | Neo L4 Relic (Common) | Meso V12 Relic (Common) | Neo B9 Relic (Common) | Axi P8 Relic (Common)</t>
        </is>
      </c>
      <c r="K1261" t="inlineStr">
        <is>
          <t>Void/data</t>
        </is>
      </c>
      <c r="L1261" t="inlineStr">
        <is>
          <t>name</t>
        </is>
      </c>
      <c r="M1261" t="inlineStr">
        <is>
          <t>Axi P8, Axi A20, Meso V12, Neo L4 and Lith T12 relic drops (vaulted; trade only).</t>
        </is>
      </c>
      <c r="N1261" t="inlineStr">
        <is>
          <t>Axi P8 | Axi A20 | Meso V12 | Neo L4 | Lith T12</t>
        </is>
      </c>
      <c r="O1261" t="inlineStr">
        <is>
          <t>Saved a concrete acquisition place from the official Warframe Wiki. Relic pages list this part in their reward table.</t>
        </is>
      </c>
    </row>
    <row r="1262">
      <c r="A1262" t="inlineStr">
        <is>
          <t>/Lotus/Types/Recipes/Weapons/WeaponParts/VentoPrimeBlade</t>
        </is>
      </c>
      <c r="B1262" t="inlineStr">
        <is>
          <t>Venato Prime Blade</t>
        </is>
      </c>
      <c r="C1262" t="inlineStr">
        <is>
          <t>https://wiki.warframe.com/w/Venato_Prime | https://wiki.warframe.com/w/Meso_V13 | https://wiki.warframe.com/w/Axi_V13 | https://wiki.warframe.com/w/Void_Relic/ByRarity | https://wiki.warframe.com/w/Void_Relic/ByRelic</t>
        </is>
      </c>
      <c r="D1262" t="inlineStr">
        <is>
          <t>ExportResources</t>
        </is>
      </c>
      <c r="F1262" t="inlineStr">
        <is>
          <t>Venato Prime Blade</t>
        </is>
      </c>
      <c r="H1262" t="inlineStr">
        <is>
          <t>Solved: current place verified and archived 2026-10-16.</t>
        </is>
      </c>
      <c r="I1262" t="inlineStr">
        <is>
          <t>Resources</t>
        </is>
      </c>
      <c r="J1262" t="inlineStr">
        <is>
          <t>Axi V13 Relic (Rare) | Meso V13 Relic (Rare)</t>
        </is>
      </c>
      <c r="K1262" t="inlineStr">
        <is>
          <t>Void/data</t>
        </is>
      </c>
      <c r="L1262" t="inlineStr">
        <is>
          <t>name</t>
        </is>
      </c>
      <c r="M1262" t="inlineStr">
        <is>
          <t>Meso V13 relic drop.</t>
        </is>
      </c>
      <c r="N1262" t="inlineStr">
        <is>
          <t>Meso V13 | Axi V13</t>
        </is>
      </c>
      <c r="O1262" t="inlineStr">
        <is>
          <t>Saved a concrete acquisition place from the official Warframe Wiki. Relic pages list this part in their reward table.</t>
        </is>
      </c>
    </row>
    <row r="1263">
      <c r="A1263" t="inlineStr">
        <is>
          <t>/Lotus/Types/Recipes/Weapons/WeaponParts/VentoPrimeHandle</t>
        </is>
      </c>
      <c r="B1263" t="inlineStr">
        <is>
          <t>Venato Prime Handle</t>
        </is>
      </c>
      <c r="C1263" t="inlineStr">
        <is>
          <t>https://wiki.warframe.com/w/Neo_Y2 | https://wiki.warframe.com/w/Axi_A22 | https://wiki.warframe.com/w/Meso_V15 | https://wiki.warframe.com/w/Meso_G9 | https://wiki.warframe.com/w/Meso_P17</t>
        </is>
      </c>
      <c r="D1263" t="inlineStr">
        <is>
          <t>ExportResources</t>
        </is>
      </c>
      <c r="F1263" t="inlineStr">
        <is>
          <t>Venato Prime Handle</t>
        </is>
      </c>
      <c r="H1263" t="inlineStr">
        <is>
          <t>Solved: current place verified and archived 2026-10-16.</t>
        </is>
      </c>
      <c r="I1263" t="inlineStr">
        <is>
          <t>Resources</t>
        </is>
      </c>
      <c r="J1263" t="inlineStr">
        <is>
          <t>Axi A22 Relic (Common) | Neo N24 Relic (Common) | Neo Y2 Relic (Common) | Meso G9 Relic (Common) | Meso P17 Relic (Common) | Meso V15 Relic (Common)</t>
        </is>
      </c>
      <c r="K1263" t="inlineStr">
        <is>
          <t>Void/data</t>
        </is>
      </c>
      <c r="L1263" t="inlineStr">
        <is>
          <t>name</t>
        </is>
      </c>
      <c r="M1263" t="inlineStr">
        <is>
          <t>Neo Y2 and Axi A22 relic drops.</t>
        </is>
      </c>
      <c r="N1263" t="inlineStr">
        <is>
          <t>Neo Y2 | Axi A22 | Meso V15 | Meso G9 | Meso P17</t>
        </is>
      </c>
      <c r="O1263" t="inlineStr">
        <is>
          <t>Saved a concrete acquisition place from the official Warframe Wiki. Relic pages list this part in their reward table.</t>
        </is>
      </c>
    </row>
    <row r="1264">
      <c r="A1264" t="inlineStr">
        <is>
          <t>/Lotus/Types/Items/ShipDecos/Venus/VenusBountyTrap</t>
        </is>
      </c>
      <c r="B1264" t="inlineStr">
        <is>
          <t>Venus Bounty Trap</t>
        </is>
      </c>
      <c r="C1264" t="inlineStr">
        <is>
          <t>https://wiki.warframe.com/w/Ticker | https://wiki.warframe.com/w/Decorations/Orbiter_Decorations</t>
        </is>
      </c>
      <c r="D1264" t="inlineStr">
        <is>
          <t>ExportResources</t>
        </is>
      </c>
      <c r="F1264" t="inlineStr">
        <is>
          <t>Venus Bounty Trap</t>
        </is>
      </c>
      <c r="H1264" t="inlineStr">
        <is>
          <t>Solved: current place verified and archived 2026-10-16.</t>
        </is>
      </c>
      <c r="I1264" t="inlineStr">
        <is>
          <t>Resources</t>
        </is>
      </c>
      <c r="M1264" t="inlineStr">
        <is>
          <t>Purchase from Ticker's Secondhand in Fortuna with Debt-Bonds; stock and price rotate daily (Expensive tier).</t>
        </is>
      </c>
      <c r="N1264" t="inlineStr">
        <is>
          <t>Ticker</t>
        </is>
      </c>
      <c r="O1264" t="inlineStr">
        <is>
          <t>Saved a concrete acquisition place from the official Warframe Wiki. Ticker page Secondhand section.</t>
        </is>
      </c>
    </row>
    <row r="1265">
      <c r="A1265" t="inlineStr">
        <is>
          <t>/Lotus/Types/Items/ShipDecos/Venus/TheNewWarVesoCommunityDisplay</t>
        </is>
      </c>
      <c r="B1265" t="inlineStr">
        <is>
          <t>Veso Community Display</t>
        </is>
      </c>
      <c r="C1265" t="inlineStr">
        <is>
          <t>https://wiki.warframe.com/w/Decorations | https://wiki.warframe.com/w/Decorations/Orbiter_Decorations</t>
        </is>
      </c>
      <c r="D1265" t="inlineStr">
        <is>
          <t>ExportResources</t>
        </is>
      </c>
      <c r="F1265" t="inlineStr">
        <is>
          <t>Veso Community Display</t>
        </is>
      </c>
      <c r="H1265" t="inlineStr">
        <is>
          <t>Solved: current place verified and archived 2026-10-16.</t>
        </is>
      </c>
      <c r="I1265" t="inlineStr">
        <is>
          <t>Resources</t>
        </is>
      </c>
      <c r="M1265" t="inlineStr">
        <is>
          <t>In-game Market for 30 Platinum.</t>
        </is>
      </c>
      <c r="N1265" t="inlineStr">
        <is>
          <t>Decorations | Decorations/Orbiter Decorations | Update 32 | Update 31</t>
        </is>
      </c>
      <c r="O1265" t="inlineStr">
        <is>
          <t>We copied where it comes from off the wiki page. See place from wiki page.</t>
        </is>
      </c>
    </row>
    <row r="1266">
      <c r="A1266" t="inlineStr">
        <is>
          <t>/Lotus/Types/Items/ShipDecos/Plants/Nokko/LisetPropMossGroundCoverA</t>
        </is>
      </c>
      <c r="B1266" t="inlineStr">
        <is>
          <t>Vestan Moss Decoration</t>
        </is>
      </c>
      <c r="C1266" t="inlineStr">
        <is>
          <t>https://wiki.warframe.com/w/Nightcap | https://wiki.warframe.com/w/Decorations</t>
        </is>
      </c>
      <c r="D1266" t="inlineStr">
        <is>
          <t>ExportResources</t>
        </is>
      </c>
      <c r="F1266" t="inlineStr">
        <is>
          <t>Vestan Moss Decoration</t>
        </is>
      </c>
      <c r="H1266" t="inlineStr">
        <is>
          <t>Solved: current place verified and archived 2026-10-16.</t>
        </is>
      </c>
      <c r="I1266" t="inlineStr">
        <is>
          <t>Resources</t>
        </is>
      </c>
      <c r="M1266" t="inlineStr">
        <is>
          <t>Purchase from Nightcap's Nursery for 10 Fergolyte.</t>
        </is>
      </c>
      <c r="N1266" t="inlineStr">
        <is>
          <t>Nightcap</t>
        </is>
      </c>
      <c r="O1266" t="inlineStr">
        <is>
          <t>Saved a concrete acquisition place from the official Warframe Wiki. Nightcap page lists it in Offerings &gt; Nursery.</t>
        </is>
      </c>
    </row>
    <row r="1267">
      <c r="A1267" t="inlineStr">
        <is>
          <t>/Lotus/Types/Items/ShipDecos/LisetPropOldLocker</t>
        </is>
      </c>
      <c r="B1267" t="inlineStr">
        <is>
          <t>Vintage Corpus Locker</t>
        </is>
      </c>
      <c r="C1267" t="inlineStr">
        <is>
          <t>https://wiki.warframe.com/w/Decorations/Orbiter_Decorations</t>
        </is>
      </c>
      <c r="D1267" t="inlineStr">
        <is>
          <t>ExportResources</t>
        </is>
      </c>
      <c r="F1267" t="inlineStr">
        <is>
          <t>Vintage Corpus Locker</t>
        </is>
      </c>
      <c r="H1267" t="inlineStr">
        <is>
          <t>Solved: current place verified and archived 2026-10-16.</t>
        </is>
      </c>
      <c r="I1267" t="inlineStr">
        <is>
          <t>Resources</t>
        </is>
      </c>
      <c r="M1267" t="inlineStr">
        <is>
          <t>In-game Market for 35 Platinum.</t>
        </is>
      </c>
      <c r="N1267" t="inlineStr">
        <is>
          <t>Decorations/Orbiter Decorations | Update 25 | Market/Patch History</t>
        </is>
      </c>
      <c r="O1267" t="inlineStr">
        <is>
          <t>We copied where it comes from off the wiki page. See place from wiki page.</t>
        </is>
      </c>
    </row>
    <row r="1268">
      <c r="A1268" t="inlineStr">
        <is>
          <t>/Lotus/Types/Items/Deimos/AnimalTagInfestedMergooRare</t>
        </is>
      </c>
      <c r="B1268" t="inlineStr">
        <is>
          <t>Viscid Avichaea Tag</t>
        </is>
      </c>
      <c r="C1268" t="inlineStr">
        <is>
          <t>https://wiki.warframe.com/w/Conservation</t>
        </is>
      </c>
      <c r="D1268" t="inlineStr">
        <is>
          <t>ExportResources</t>
        </is>
      </c>
      <c r="G1268" t="inlineStr">
        <is>
          <t>Conservation#Avichaea</t>
        </is>
      </c>
      <c r="H1268" t="inlineStr">
        <is>
          <t>Solved: current place verified and archived 2026-10-16.</t>
        </is>
      </c>
      <c r="I1268" t="inlineStr">
        <is>
          <t>Resources</t>
        </is>
      </c>
      <c r="J1268" t="inlineStr">
        <is>
          <t>Resources_data</t>
        </is>
      </c>
      <c r="K1268" t="inlineStr">
        <is>
          <t>Resources/data</t>
        </is>
      </c>
      <c r="L1268" t="inlineStr">
        <is>
          <t>listed, no place</t>
        </is>
      </c>
      <c r="M1268" t="inlineStr">
        <is>
          <t>Capture a Viscid Avichaea through Conservation in the Cambion Drift.</t>
        </is>
      </c>
      <c r="N1268" t="inlineStr">
        <is>
          <t>Conservation</t>
        </is>
      </c>
      <c r="O1268" t="inlineStr">
        <is>
          <t>Saved a concrete acquisition place from the official Warframe Wiki.</t>
        </is>
      </c>
    </row>
    <row r="1269">
      <c r="A1269" t="inlineStr">
        <is>
          <t>/Lotus/Types/Items/ShipDecos/Props/LisetPropOrbStone</t>
        </is>
      </c>
      <c r="B1269" t="inlineStr">
        <is>
          <t>Vitrific Outcrop Decoration</t>
        </is>
      </c>
      <c r="C1269" t="inlineStr">
        <is>
          <t>https://wiki.warframe.com/w/Entrati | https://wiki.warframe.com/w/Decorations</t>
        </is>
      </c>
      <c r="D1269" t="inlineStr">
        <is>
          <t>ExportResources</t>
        </is>
      </c>
      <c r="F1269" t="inlineStr">
        <is>
          <t>Vitrific Outcrop Decoration</t>
        </is>
      </c>
      <c r="H1269" t="inlineStr">
        <is>
          <t>Solved: current place verified and archived 2026-10-16.</t>
        </is>
      </c>
      <c r="I1269" t="inlineStr">
        <is>
          <t>Resources</t>
        </is>
      </c>
      <c r="M1269" t="inlineStr">
        <is>
          <t>Purchase from Grandmother in Necralisk (Entrati) with tokens; price is randomized daily at 5-20 tokens.</t>
        </is>
      </c>
      <c r="N1269" t="inlineStr">
        <is>
          <t>Entrati</t>
        </is>
      </c>
      <c r="O1269" t="inlineStr">
        <is>
          <t>Saved a concrete acquisition place from the official Warframe Wiki. Entrati page, Grandmother wares.</t>
        </is>
      </c>
    </row>
    <row r="1270">
      <c r="A1270" t="inlineStr">
        <is>
          <t>/Lotus/Types/Items/Deimos/AnimalTagInfestedPredatorCommon</t>
        </is>
      </c>
      <c r="B1270" t="inlineStr">
        <is>
          <t>Vizier Predasite Tag</t>
        </is>
      </c>
      <c r="C1270" t="inlineStr">
        <is>
          <t>https://wiki.warframe.com/w/Conservation</t>
        </is>
      </c>
      <c r="D1270" t="inlineStr">
        <is>
          <t>ExportResources</t>
        </is>
      </c>
      <c r="G1270" t="inlineStr">
        <is>
          <t>Conservation#Predasite</t>
        </is>
      </c>
      <c r="H1270" t="inlineStr">
        <is>
          <t>Solved: current place verified and archived 2026-10-16.</t>
        </is>
      </c>
      <c r="I1270" t="inlineStr">
        <is>
          <t>Resources</t>
        </is>
      </c>
      <c r="J1270" t="inlineStr">
        <is>
          <t>Resources_data</t>
        </is>
      </c>
      <c r="K1270" t="inlineStr">
        <is>
          <t>Resources/data</t>
        </is>
      </c>
      <c r="L1270" t="inlineStr">
        <is>
          <t>listed, no place</t>
        </is>
      </c>
      <c r="M1270" t="inlineStr">
        <is>
          <t>Capture a Vizier Predasite through Conservation in the Cambion Drift.</t>
        </is>
      </c>
      <c r="N1270" t="inlineStr">
        <is>
          <t>Conservation</t>
        </is>
      </c>
      <c r="O1270" t="inlineStr">
        <is>
          <t>Saved a concrete acquisition place from the official Warframe Wiki.</t>
        </is>
      </c>
    </row>
    <row r="1271">
      <c r="A1271" t="inlineStr">
        <is>
          <t>/Lotus/Types/Items/ShipDecos/LisetPropShawzinZarimanVoid</t>
        </is>
      </c>
      <c r="B1271" t="inlineStr">
        <is>
          <t>Void's Song Shawzin</t>
        </is>
      </c>
      <c r="C1271" t="inlineStr">
        <is>
          <t>https://wiki.warframe.com/w/Kira | https://wiki.warframe.com/w/Shawzin | https://wiki.warframe.com/w/Decorations/Orbiter_Decorations</t>
        </is>
      </c>
      <c r="D1271" t="inlineStr">
        <is>
          <t>ExportResources</t>
        </is>
      </c>
      <c r="F1271" t="inlineStr">
        <is>
          <t>Void's Song Shawzin</t>
        </is>
      </c>
      <c r="H1271" t="inlineStr">
        <is>
          <t>Solved: current place verified and archived 2026-10-16.</t>
        </is>
      </c>
      <c r="I1271" t="inlineStr">
        <is>
          <t>Resources</t>
        </is>
      </c>
      <c r="M1271" t="inlineStr">
        <is>
          <t>In-game Market for 40 Platinum.</t>
        </is>
      </c>
      <c r="N1271" t="inlineStr">
        <is>
          <t>Kira | Shawzin | Decorations/Orbiter Decorations</t>
        </is>
      </c>
      <c r="O1271" t="inlineStr">
        <is>
          <t>We copied where it comes from off the wiki page. See place from wiki page.</t>
        </is>
      </c>
    </row>
    <row r="1272">
      <c r="A1272" t="inlineStr">
        <is>
          <t>/Lotus/Types/Items/ShipDecos/Plushies/PlushyVoruna</t>
        </is>
      </c>
      <c r="B1272" t="inlineStr">
        <is>
          <t>Voruna Floof</t>
        </is>
      </c>
      <c r="C1272" t="inlineStr">
        <is>
          <t>https://wiki.warframe.com/w/Conquera</t>
        </is>
      </c>
      <c r="D1272" t="inlineStr">
        <is>
          <t>ExportResources</t>
        </is>
      </c>
      <c r="F1272" t="inlineStr">
        <is>
          <t>Voruna Floof</t>
        </is>
      </c>
      <c r="H1272" t="inlineStr">
        <is>
          <t>Solved: current place verified and archived 2026-10-16.</t>
        </is>
      </c>
      <c r="I1272" t="inlineStr">
        <is>
          <t>Resources</t>
        </is>
      </c>
      <c r="M1272" t="inlineStr">
        <is>
          <t>Sold in-game for Platinum during Conquera 2026 (Quest to Conquer Cancer).</t>
        </is>
      </c>
      <c r="N1272" t="inlineStr">
        <is>
          <t>Conquera</t>
        </is>
      </c>
      <c r="O1272" t="inlineStr">
        <is>
          <t>Saved a concrete acquisition place from the official Warframe Wiki. Conquera page, 2026 section.</t>
        </is>
      </c>
    </row>
    <row r="1273">
      <c r="A1273" t="inlineStr">
        <is>
          <t>/Lotus/Types/Items/ShipDecos/TarotCardVoruna</t>
        </is>
      </c>
      <c r="B1273" t="inlineStr">
        <is>
          <t>Voruna Prex</t>
        </is>
      </c>
      <c r="C1273" t="inlineStr">
        <is>
          <t>https://wiki.warframe.com/w/Decorations</t>
        </is>
      </c>
      <c r="D1273" t="inlineStr">
        <is>
          <t>ExportResources</t>
        </is>
      </c>
      <c r="F1273" t="inlineStr">
        <is>
          <t>Voruna Prex</t>
        </is>
      </c>
      <c r="H1273" t="inlineStr">
        <is>
          <t>Solved: current place verified and archived 2026-10-16.</t>
        </is>
      </c>
      <c r="I1273" t="inlineStr">
        <is>
          <t>Resources</t>
        </is>
      </c>
      <c r="M1273" t="inlineStr">
        <is>
          <t>Hidden pickup in the Leverian; not visible until you've mastered Voruna / Voruna Prime.</t>
        </is>
      </c>
      <c r="N1273" t="inlineStr">
        <is>
          <t>Decorations/Orbiter Decorations</t>
        </is>
      </c>
      <c r="O1273" t="inlineStr">
        <is>
          <t>Saved a concrete acquisition place from the official Warframe Wiki. Orbiter Decorations Prex table and Prex Locations list.</t>
        </is>
      </c>
    </row>
    <row r="1274">
      <c r="A1274" t="inlineStr">
        <is>
          <t>/Lotus/Types/Items/ShipDecos/Vignettes/Warframes/WarframeAFItem</t>
        </is>
      </c>
      <c r="B1274" t="inlineStr">
        <is>
          <t>Warframe Articula</t>
        </is>
      </c>
      <c r="C1274" t="inlineStr">
        <is>
          <t>https://wiki.warframe.com/w/Pride_(Event) | https://wiki.warframe.com/w/Melee_Retaliation | https://wiki.warframe.com/w/Decorations/Orbiter_Decorations</t>
        </is>
      </c>
      <c r="D1274" t="inlineStr">
        <is>
          <t>ExportResources</t>
        </is>
      </c>
      <c r="F1274" t="inlineStr">
        <is>
          <t>Warframe Articula</t>
        </is>
      </c>
      <c r="H1274" t="inlineStr">
        <is>
          <t>Solved: current place verified and archived 2026-10-16.</t>
        </is>
      </c>
      <c r="I1274" t="inlineStr">
        <is>
          <t>Resources</t>
        </is>
      </c>
      <c r="M1274" t="inlineStr">
        <is>
          <t>In-game Market for 35 Platinum.</t>
        </is>
      </c>
      <c r="N1274" t="inlineStr">
        <is>
          <t>Pride (Event) | Melee Retaliation | Decorations/Orbiter Decorations | Solaris_United_ARG/Main</t>
        </is>
      </c>
      <c r="O1274" t="inlineStr">
        <is>
          <t>We copied where it comes from off the wiki page. See place from wiki page.</t>
        </is>
      </c>
    </row>
    <row r="1275">
      <c r="A1275" t="inlineStr">
        <is>
          <t>/Lotus/Types/Items/ShipDecos/1999ComicCoverPoster</t>
        </is>
      </c>
      <c r="B1275" t="inlineStr">
        <is>
          <t>Warframe: 1999 Graphica Cover Display</t>
        </is>
      </c>
      <c r="C1275" t="inlineStr">
        <is>
          <t>https://wiki.warframe.com/w/Decorations/Orbiter_Decorations</t>
        </is>
      </c>
      <c r="D1275" t="inlineStr">
        <is>
          <t>ExportResources</t>
        </is>
      </c>
      <c r="F1275" t="inlineStr">
        <is>
          <t>Warframe: 1999 Graphica Cover Display</t>
        </is>
      </c>
      <c r="H1275" t="inlineStr">
        <is>
          <t>Solved: current place verified and archived 2026-10-16.</t>
        </is>
      </c>
      <c r="I1275" t="inlineStr">
        <is>
          <t>Resources</t>
        </is>
      </c>
      <c r="M1275" t="inlineStr">
        <is>
          <t>In-game Market for 1 Credit.</t>
        </is>
      </c>
      <c r="N1275" t="inlineStr">
        <is>
          <t>Decorations/Orbiter Decorations</t>
        </is>
      </c>
      <c r="O1275" t="inlineStr">
        <is>
          <t>There is a wiki page that mentions this name, but that page never says where you get the item.</t>
        </is>
      </c>
    </row>
    <row r="1276">
      <c r="A1276" t="inlineStr">
        <is>
          <t>/Lotus/Types/Items/ShipDecos/1999BoybandPoster</t>
        </is>
      </c>
      <c r="B1276" t="inlineStr">
        <is>
          <t>Warframe: 1999 On-lyne Poster</t>
        </is>
      </c>
      <c r="C1276" t="inlineStr">
        <is>
          <t>https://wiki.warframe.com/w/1999_ARG | https://wiki.warframe.com/w/Promo_Codes</t>
        </is>
      </c>
      <c r="D1276" t="inlineStr">
        <is>
          <t>ExportResources</t>
        </is>
      </c>
      <c r="F1276" t="inlineStr">
        <is>
          <t>Warframe: 1999 On-lyne Poster</t>
        </is>
      </c>
      <c r="H1276" t="inlineStr">
        <is>
          <t>Solved: current place verified and archived 2026-10-16.</t>
        </is>
      </c>
      <c r="I1276" t="inlineStr">
        <is>
          <t>Resources</t>
        </is>
      </c>
      <c r="M1276" t="inlineStr">
        <is>
          <t>Redeem the promo code TH3GR8D3SP41R.</t>
        </is>
      </c>
      <c r="N1276" t="inlineStr">
        <is>
          <t>1999 ARG | Promo Codes | Update 38</t>
        </is>
      </c>
      <c r="O1276" t="inlineStr">
        <is>
          <t>We copied where it comes from off the wiki page. See place from wiki page.</t>
        </is>
      </c>
    </row>
    <row r="1277">
      <c r="A1277" t="inlineStr">
        <is>
          <t>/Lotus/Types/Items/ShipDecos/YareliAltCoverPoster</t>
        </is>
      </c>
      <c r="B1277" t="inlineStr">
        <is>
          <t>Waverider #1 Poster</t>
        </is>
      </c>
      <c r="C1277" t="inlineStr">
        <is>
          <t>https://wiki.warframe.com/w/Sisters_of_Parvos_Riptide_Pack | https://wiki.warframe.com/w/Decorations/Orbiter_Decorations</t>
        </is>
      </c>
      <c r="D1277" t="inlineStr">
        <is>
          <t>ExportResources</t>
        </is>
      </c>
      <c r="F1277" t="inlineStr">
        <is>
          <t>Waverider #1 Poster</t>
        </is>
      </c>
      <c r="H1277" t="inlineStr">
        <is>
          <t>Solved: current place verified and archived 2026-10-16.</t>
        </is>
      </c>
      <c r="I1277" t="inlineStr">
        <is>
          <t>Resources</t>
        </is>
      </c>
      <c r="M1277" t="inlineStr">
        <is>
          <t>Reward for completing The Waverider quest.</t>
        </is>
      </c>
      <c r="N1277" t="inlineStr">
        <is>
          <t>Sisters of Parvos Riptide Pack | Decorations/Orbiter Decorations</t>
        </is>
      </c>
      <c r="O1277" t="inlineStr">
        <is>
          <t>Saved a concrete acquisition place from the official Warframe Wiki. Pack page Acquisition; Orbiter Decorations Miscellaneous section.</t>
        </is>
      </c>
    </row>
    <row r="1278">
      <c r="A1278" t="inlineStr">
        <is>
          <t>/Lotus/Types/Items/ShipDecos/YareliEffectDeco</t>
        </is>
      </c>
      <c r="B1278" t="inlineStr">
        <is>
          <t>Waverider's Heart Decoration</t>
        </is>
      </c>
      <c r="C1278" t="inlineStr">
        <is>
          <t>https://wiki.warframe.com/w/Decorations/Orbiter_Decorations</t>
        </is>
      </c>
      <c r="D1278" t="inlineStr">
        <is>
          <t>ExportResources</t>
        </is>
      </c>
      <c r="F1278" t="inlineStr">
        <is>
          <t>Waverider's Heart Decoration</t>
        </is>
      </c>
      <c r="H1278" t="inlineStr">
        <is>
          <t>Solved: current place verified and archived 2026-10-16.</t>
        </is>
      </c>
      <c r="I1278" t="inlineStr">
        <is>
          <t>Resources</t>
        </is>
      </c>
      <c r="M1278" t="inlineStr">
        <is>
          <t>Only in the Waverider Collection bundle (Market).</t>
        </is>
      </c>
      <c r="N1278" t="inlineStr">
        <is>
          <t>Decorations/Orbiter Decorations</t>
        </is>
      </c>
      <c r="O1278" t="inlineStr">
        <is>
          <t>Saved a concrete acquisition place from the official Warframe Wiki. Market section, items exclusive to bundles.</t>
        </is>
      </c>
    </row>
    <row r="1279">
      <c r="A1279" t="inlineStr">
        <is>
          <t>/Lotus/Types/Items/ShipDecos/Venus/SolarisPosterE</t>
        </is>
      </c>
      <c r="B1279" t="inlineStr">
        <is>
          <t>We All Lift Poster</t>
        </is>
      </c>
      <c r="C1279" t="inlineStr">
        <is>
          <t>https://wiki.warframe.com/w/Decorations/Orbiter_Decorations</t>
        </is>
      </c>
      <c r="D1279" t="inlineStr">
        <is>
          <t>ExportResources</t>
        </is>
      </c>
      <c r="F1279" t="inlineStr">
        <is>
          <t>We All Lift Poster</t>
        </is>
      </c>
      <c r="H1279" t="inlineStr">
        <is>
          <t>Solved: current place verified and archived 2026-10-16.</t>
        </is>
      </c>
      <c r="I1279" t="inlineStr">
        <is>
          <t>Resources</t>
        </is>
      </c>
      <c r="M1279" t="inlineStr">
        <is>
          <t>In-game Market for 35 Platinum.</t>
        </is>
      </c>
      <c r="N1279" t="inlineStr">
        <is>
          <t>Decorations/Orbiter Decorations</t>
        </is>
      </c>
      <c r="O1279" t="inlineStr">
        <is>
          <t>We copied where it comes from off the wiki page. See place from wiki page.</t>
        </is>
      </c>
    </row>
    <row r="1280">
      <c r="A1280" t="inlineStr">
        <is>
          <t>/Lotus/Types/Items/ShipDecos/CorpusGreedReliefK</t>
        </is>
      </c>
      <c r="B1280" t="inlineStr">
        <is>
          <t>We Are Corpus</t>
        </is>
      </c>
      <c r="C1280" t="inlineStr">
        <is>
          <t>https://wiki.warframe.com/w/Fragments/The_Tenets | https://wiki.warframe.com/w/Parvos_Granum | https://wiki.warframe.com/w/Corpus | https://wiki.warframe.com/w/Decorations/Orbiter_Decorations | https://wiki.warframe.com/w/Story_and_History</t>
        </is>
      </c>
      <c r="D1280" t="inlineStr">
        <is>
          <t>ExportResources</t>
        </is>
      </c>
      <c r="F1280" t="inlineStr">
        <is>
          <t>We Are Corpus</t>
        </is>
      </c>
      <c r="H1280" t="inlineStr">
        <is>
          <t>Solved: current place verified and archived 2026-10-16.</t>
        </is>
      </c>
      <c r="I1280" t="inlineStr">
        <is>
          <t>Resources</t>
        </is>
      </c>
      <c r="M1280" t="inlineStr">
        <is>
          <t>Pay tribute with a Granum Crown at the Corpus Temple Reliefs in the Corpus Ship tileset.</t>
        </is>
      </c>
      <c r="N1280" t="inlineStr">
        <is>
          <t>Fragments/The Tenets</t>
        </is>
      </c>
      <c r="O1280" t="inlineStr">
        <is>
          <t>Saved a concrete acquisition place from the official Warframe Wiki. Fragments/The Tenets page intro.</t>
        </is>
      </c>
    </row>
    <row r="1281">
      <c r="A1281" t="inlineStr">
        <is>
          <t>/Lotus/Types/Items/SongItems/WhatIsMyFateSongItem</t>
        </is>
      </c>
      <c r="B1281" t="inlineStr">
        <is>
          <t>What Is My Fate</t>
        </is>
      </c>
      <c r="C1281" t="inlineStr">
        <is>
          <t>https://wiki.warframe.com/w/What_is_My_Fate%3F</t>
        </is>
      </c>
      <c r="D1281" t="inlineStr">
        <is>
          <t>ExportResources</t>
        </is>
      </c>
      <c r="F1281" t="inlineStr">
        <is>
          <t>What Is My Fate</t>
        </is>
      </c>
      <c r="H1281" t="inlineStr">
        <is>
          <t>Solved: current place verified and archived 2026-10-16.</t>
        </is>
      </c>
      <c r="I1281" t="inlineStr">
        <is>
          <t>Resources</t>
        </is>
      </c>
      <c r="M1281" t="inlineStr">
        <is>
          <t>Purchase from Koumei's Shrine for 100 Fate Pearls.</t>
        </is>
      </c>
      <c r="N1281" t="inlineStr">
        <is>
          <t>What is My Fate?</t>
        </is>
      </c>
      <c r="O1281" t="inlineStr">
        <is>
          <t>Saved a concrete acquisition place from the official Warframe Wiki. Track page states the Somachord price.</t>
        </is>
      </c>
    </row>
    <row r="1282">
      <c r="A1282" t="inlineStr">
        <is>
          <t>/Lotus/Types/Items/ShipDecos/CorpusGreedReliefC</t>
        </is>
      </c>
      <c r="B1282" t="inlineStr">
        <is>
          <t>What Right Do They Have?</t>
        </is>
      </c>
      <c r="C1282" t="inlineStr">
        <is>
          <t>https://wiki.warframe.com/w/Fragments/The_Tenets</t>
        </is>
      </c>
      <c r="D1282" t="inlineStr">
        <is>
          <t>ExportResources</t>
        </is>
      </c>
      <c r="F1282" t="inlineStr">
        <is>
          <t>What Right Do They Have?</t>
        </is>
      </c>
      <c r="H1282" t="inlineStr">
        <is>
          <t>Solved: current place verified and archived 2026-10-16.</t>
        </is>
      </c>
      <c r="I1282" t="inlineStr">
        <is>
          <t>Resources</t>
        </is>
      </c>
      <c r="M1282" t="inlineStr">
        <is>
          <t>Pay tribute with a Granum Crown at the Corpus Temple Reliefs in the Corpus Ship tileset.</t>
        </is>
      </c>
      <c r="N1282" t="inlineStr">
        <is>
          <t>Fragments/The Tenets</t>
        </is>
      </c>
      <c r="O1282" t="inlineStr">
        <is>
          <t>We copied where it comes from off the wiki page. See place from wiki page.</t>
        </is>
      </c>
    </row>
    <row r="1283">
      <c r="A1283" t="inlineStr">
        <is>
          <t>/Lotus/Types/Items/ShipDecos/OlliesCrashCoursePoster</t>
        </is>
      </c>
      <c r="B1283" t="inlineStr">
        <is>
          <t>Wheelie To The Stars Poster</t>
        </is>
      </c>
      <c r="C1283" t="inlineStr">
        <is>
          <t>https://wiki.warframe.com/w/Ollie's_Crash_Course | https://wiki.warframe.com/w/Decorations/Orbiter_Decorations</t>
        </is>
      </c>
      <c r="D1283" t="inlineStr">
        <is>
          <t>ExportResources</t>
        </is>
      </c>
      <c r="F1283" t="inlineStr">
        <is>
          <t>Wheelie To The Stars Poster</t>
        </is>
      </c>
      <c r="H1283" t="inlineStr">
        <is>
          <t>Solved: current place verified and archived 2026-10-16.</t>
        </is>
      </c>
      <c r="I1283" t="inlineStr">
        <is>
          <t>Resources</t>
        </is>
      </c>
      <c r="M1283" t="inlineStr">
        <is>
          <t>Awarded for completing Ollie's Crash Course.</t>
        </is>
      </c>
      <c r="N1283" t="inlineStr">
        <is>
          <t>Decorations/Orbiter Decorations</t>
        </is>
      </c>
      <c r="O1283" t="inlineStr">
        <is>
          <t>Saved a concrete acquisition place from the official Warframe Wiki. Orbiter Decorations Posters section.</t>
        </is>
      </c>
    </row>
    <row r="1284">
      <c r="A1284" t="inlineStr">
        <is>
          <t>/Lotus/Types/Items/ShipDecos/WeGame/LuckyKavatWhite</t>
        </is>
      </c>
      <c r="B1284" t="inlineStr">
        <is>
          <t>White Lucky Kavat</t>
        </is>
      </c>
      <c r="C1284" t="inlineStr">
        <is>
          <t>https://wiki.warframe.com/w/Lunar_Renewal | https://wiki.warframe.com/w/Blessing_%26_Fortune_Bundle | https://wiki.warframe.com/w/Decorations/Orbiter_Decorations</t>
        </is>
      </c>
      <c r="D1284" t="inlineStr">
        <is>
          <t>ExportResources</t>
        </is>
      </c>
      <c r="F1284" t="inlineStr">
        <is>
          <t>White Lucky Kavat</t>
        </is>
      </c>
      <c r="H1284" t="inlineStr">
        <is>
          <t>Solved: current place verified and archived 2026-10-16.</t>
        </is>
      </c>
      <c r="I1284" t="inlineStr">
        <is>
          <t>Resources</t>
        </is>
      </c>
      <c r="M1284" t="inlineStr">
        <is>
          <t>In-game Market for 35 Platinum.</t>
        </is>
      </c>
      <c r="N1284" t="inlineStr">
        <is>
          <t>Lunar Renewal | Blessing &amp; Fortune Bundle | Decorations/Orbiter Decorations</t>
        </is>
      </c>
      <c r="O1284" t="inlineStr">
        <is>
          <t>We copied where it comes from off the wiki page. See place from wiki page.</t>
        </is>
      </c>
    </row>
    <row r="1285">
      <c r="A1285" t="inlineStr">
        <is>
          <t>/Lotus/Types/Items/ShipDecos/Duviri/DUVxPlanterPotC</t>
        </is>
      </c>
      <c r="B1285" t="inlineStr">
        <is>
          <t>Wide Green Artisan Pot</t>
        </is>
      </c>
      <c r="C1285" t="inlineStr">
        <is>
          <t>https://wiki.warframe.com/w/Acrithis</t>
        </is>
      </c>
      <c r="D1285" t="inlineStr">
        <is>
          <t>ExportResources</t>
        </is>
      </c>
      <c r="F1285" t="inlineStr">
        <is>
          <t>Wide Green Artisan Pot</t>
        </is>
      </c>
      <c r="H1285" t="inlineStr">
        <is>
          <t>Solved: current place verified and archived 2026-10-16.</t>
        </is>
      </c>
      <c r="I1285" t="inlineStr">
        <is>
          <t>Resources</t>
        </is>
      </c>
      <c r="M1285" t="inlineStr">
        <is>
          <t>Purchase from Acrithis in Duviri; decorations rotate every few hours.</t>
        </is>
      </c>
      <c r="N1285" t="inlineStr">
        <is>
          <t>Acrithis</t>
        </is>
      </c>
      <c r="O1285" t="inlineStr">
        <is>
          <t>Saved a concrete acquisition place from the official Warframe Wiki. Acrithis page Wares section lists it among the decorations.</t>
        </is>
      </c>
    </row>
    <row r="1286">
      <c r="A1286" t="inlineStr">
        <is>
          <t>/Lotus/Types/Items/ShipDecos/Duviri/DUVxPlanterPotE</t>
        </is>
      </c>
      <c r="B1286" t="inlineStr">
        <is>
          <t>Wide White Artisan Pot</t>
        </is>
      </c>
      <c r="C1286" t="inlineStr">
        <is>
          <t>https://wiki.warframe.com/w/Acrithis</t>
        </is>
      </c>
      <c r="D1286" t="inlineStr">
        <is>
          <t>ExportResources</t>
        </is>
      </c>
      <c r="F1286" t="inlineStr">
        <is>
          <t>Wide White Artisan Pot</t>
        </is>
      </c>
      <c r="H1286" t="inlineStr">
        <is>
          <t>Solved: current place verified and archived 2026-10-16.</t>
        </is>
      </c>
      <c r="I1286" t="inlineStr">
        <is>
          <t>Resources</t>
        </is>
      </c>
      <c r="M1286" t="inlineStr">
        <is>
          <t>Purchase from Acrithis in Duviri; decorations rotate every few hours.</t>
        </is>
      </c>
      <c r="N1286" t="inlineStr">
        <is>
          <t>Acrithis</t>
        </is>
      </c>
      <c r="O1286" t="inlineStr">
        <is>
          <t>Saved a concrete acquisition place from the official Warframe Wiki. Acrithis page Wares section lists it among the decorations.</t>
        </is>
      </c>
    </row>
    <row r="1287">
      <c r="A1287" t="inlineStr">
        <is>
          <t>/Lotus/Types/Items/ShipDecos/Venus/SUTruckSmall</t>
        </is>
      </c>
      <c r="B1287" t="inlineStr">
        <is>
          <t>Widebody Ore Transport Decoration</t>
        </is>
      </c>
      <c r="C1287" t="inlineStr">
        <is>
          <t>https://wiki.warframe.com/w/Ticker | https://wiki.warframe.com/w/Decorations/Orbiter_Decorations</t>
        </is>
      </c>
      <c r="D1287" t="inlineStr">
        <is>
          <t>ExportResources</t>
        </is>
      </c>
      <c r="F1287" t="inlineStr">
        <is>
          <t>Widebody Ore Transport Decoration</t>
        </is>
      </c>
      <c r="H1287" t="inlineStr">
        <is>
          <t>Solved: current place verified and archived 2026-10-16.</t>
        </is>
      </c>
      <c r="I1287" t="inlineStr">
        <is>
          <t>Resources</t>
        </is>
      </c>
      <c r="M1287" t="inlineStr">
        <is>
          <t>Purchase from Ticker's Secondhand in Fortuna with Debt-Bonds; stock and price rotate daily (Mid-range tier).</t>
        </is>
      </c>
      <c r="N1287" t="inlineStr">
        <is>
          <t>Ticker</t>
        </is>
      </c>
      <c r="O1287" t="inlineStr">
        <is>
          <t>Saved a concrete acquisition place from the official Warframe Wiki. Ticker page Secondhand section.</t>
        </is>
      </c>
    </row>
    <row r="1288">
      <c r="A1288" t="inlineStr">
        <is>
          <t>/Lotus/Types/Items/ShipDecos/Deimos/Halloween2024ShipDeco</t>
        </is>
      </c>
      <c r="B1288" t="inlineStr">
        <is>
          <t>Wild Hunt Totem</t>
        </is>
      </c>
      <c r="C1288" t="inlineStr">
        <is>
          <t>https://wiki.warframe.com/w/Naberus | https://wiki.warframe.com/w/Nights_of_Naberus | https://wiki.warframe.com/w/Decorations/Orbiter_Decorations</t>
        </is>
      </c>
      <c r="D1288" t="inlineStr">
        <is>
          <t>ExportResources</t>
        </is>
      </c>
      <c r="F1288" t="inlineStr">
        <is>
          <t>Wild Hunt Totem</t>
        </is>
      </c>
      <c r="H1288" t="inlineStr">
        <is>
          <t>Solved: current place verified and archived 2026-10-16.</t>
        </is>
      </c>
      <c r="I1288" t="inlineStr">
        <is>
          <t>Resources</t>
        </is>
      </c>
      <c r="M1288" t="inlineStr">
        <is>
          <t>Purchase from Daughter for 100 Mother Tokens during Nights of Naberus.</t>
        </is>
      </c>
      <c r="N1288" t="inlineStr">
        <is>
          <t>Naberus | Nights of Naberus | Decorations/Orbiter Decorations | Update 37</t>
        </is>
      </c>
      <c r="O1288" t="inlineStr">
        <is>
          <t>We copied where it comes from off the wiki page. See place from wiki page.</t>
        </is>
      </c>
    </row>
    <row r="1289">
      <c r="A1289" t="inlineStr">
        <is>
          <t>/Lotus/Types/Items/MiscItems/PhotoboothTileDuviriIsleCapC</t>
        </is>
      </c>
      <c r="B1289" t="inlineStr">
        <is>
          <t>Winding Isles Scene</t>
        </is>
      </c>
      <c r="C1289" t="inlineStr">
        <is>
          <t>https://wiki.warframe.com/w/Acrithis | https://wiki.warframe.com/w/Captura</t>
        </is>
      </c>
      <c r="D1289" t="inlineStr">
        <is>
          <t>ExportResources</t>
        </is>
      </c>
      <c r="F1289" t="inlineStr">
        <is>
          <t>Winding Isles Scene</t>
        </is>
      </c>
      <c r="H1289" t="inlineStr">
        <is>
          <t>Solved: current place verified and archived 2026-10-16.</t>
        </is>
      </c>
      <c r="I1289" t="inlineStr">
        <is>
          <t>Resources</t>
        </is>
      </c>
      <c r="M1289" t="inlineStr">
        <is>
          <t>Purchase from Acrithis' rotating Wares in Duviri.</t>
        </is>
      </c>
      <c r="N1289" t="inlineStr">
        <is>
          <t>Captura</t>
        </is>
      </c>
      <c r="O1289" t="inlineStr">
        <is>
          <t>Saved a concrete acquisition place from the official Warframe Wiki. Captura scene table lists this scene with its acquisition note.</t>
        </is>
      </c>
    </row>
    <row r="1290">
      <c r="A1290" t="inlineStr">
        <is>
          <t>/Lotus/Types/Items/MiscItems/NoraWolfCreds</t>
        </is>
      </c>
      <c r="B1290" t="inlineStr">
        <is>
          <t>Wolf Cred</t>
        </is>
      </c>
      <c r="C1290" t="inlineStr">
        <is>
          <t>https://wiki.warframe.com/w/Nightwave/Series_1</t>
        </is>
      </c>
      <c r="D1290" t="inlineStr">
        <is>
          <t>ExportResources</t>
        </is>
      </c>
      <c r="G1290" t="inlineStr">
        <is>
          <t>Nightwave/Series 1</t>
        </is>
      </c>
      <c r="H1290" t="inlineStr">
        <is>
          <t>Solved: current place verified and archived 2026-10-16.</t>
        </is>
      </c>
      <c r="I1290" t="inlineStr">
        <is>
          <t>Resources</t>
        </is>
      </c>
      <c r="J1290" t="inlineStr">
        <is>
          <t>Enemies_data, Enemies_data_pre-U36, Enemies_data_pre_U36, Enemies_data_unaffiliated, Resources_data</t>
        </is>
      </c>
      <c r="K1290" t="inlineStr">
        <is>
          <t>Resources/data</t>
        </is>
      </c>
      <c r="L1290" t="inlineStr">
        <is>
          <t>listed, no place</t>
        </is>
      </c>
      <c r="M1290" t="inlineStr">
        <is>
          <t>Not currently obtainable.</t>
        </is>
      </c>
      <c r="N1290" t="inlineStr">
        <is>
          <t>Nightwave/Series 1</t>
        </is>
      </c>
      <c r="O1290" t="inlineStr">
        <is>
          <t>Saved a concrete acquisition place from the official Warframe Wiki.</t>
        </is>
      </c>
    </row>
    <row r="1291">
      <c r="A1291" t="inlineStr">
        <is>
          <t>/Lotus/Types/Recipes/Weapons/WeaponParts/OrionScytheBlade</t>
        </is>
      </c>
      <c r="B1291" t="inlineStr">
        <is>
          <t>Wrath Blade</t>
        </is>
      </c>
      <c r="C1291" t="inlineStr">
        <is>
          <t>https://wiki.warframe.com/w/Crimson_Talent | https://wiki.warframe.com/w/Hunhow | https://wiki.warframe.com/w/Star_Crimzian | https://wiki.warframe.com/w/Alloy_Plate | https://wiki.warframe.com/w/Ticor_Plate</t>
        </is>
      </c>
      <c r="D1291" t="inlineStr">
        <is>
          <t>ExportResources</t>
        </is>
      </c>
      <c r="F1291" t="inlineStr">
        <is>
          <t>Wrath Blade</t>
        </is>
      </c>
      <c r="H1291" t="inlineStr">
        <is>
          <t>Solved: current place verified and archived 2026-10-16.</t>
        </is>
      </c>
      <c r="I1291" t="inlineStr">
        <is>
          <t>Resources</t>
        </is>
      </c>
      <c r="M1291" t="inlineStr">
        <is>
          <t>Purchase Wrath Blade Blueprint from Hunhow's Keepsakes in Pontis Tower for 45 Crimson Talents (unlocked after Jade Shadows: Constellations).</t>
        </is>
      </c>
      <c r="N1291" t="inlineStr">
        <is>
          <t>Hunhow</t>
        </is>
      </c>
      <c r="O1291" t="inlineStr">
        <is>
          <t>Saved a concrete acquisition place from the official Warframe Wiki. Hunhow page lists the blueprint under Keepsakes.</t>
        </is>
      </c>
    </row>
    <row r="1292">
      <c r="A1292" t="inlineStr">
        <is>
          <t>/Lotus/Types/Recipes/Weapons/WeaponParts/OrionScytheHandle</t>
        </is>
      </c>
      <c r="B1292" t="inlineStr">
        <is>
          <t>Wrath Handle</t>
        </is>
      </c>
      <c r="C1292" t="inlineStr">
        <is>
          <t>https://wiki.warframe.com/w/Crimson_Talent | https://wiki.warframe.com/w/Hunhow | https://wiki.warframe.com/w/Salvage</t>
        </is>
      </c>
      <c r="D1292" t="inlineStr">
        <is>
          <t>ExportResources</t>
        </is>
      </c>
      <c r="F1292" t="inlineStr">
        <is>
          <t>Wrath Handle</t>
        </is>
      </c>
      <c r="H1292" t="inlineStr">
        <is>
          <t>Solved: current place verified and archived 2026-10-16.</t>
        </is>
      </c>
      <c r="I1292" t="inlineStr">
        <is>
          <t>Resources</t>
        </is>
      </c>
      <c r="L1292" t="inlineStr">
        <is>
          <t>DropTables_data, drop_reverse_index_v2</t>
        </is>
      </c>
      <c r="M1292" t="inlineStr">
        <is>
          <t>Purchase Wrath Handle Blueprint from Hunhow's Keepsakes in Pontis Tower for 45 Crimson Talents (unlocked after Jade Shadows: Constellations).</t>
        </is>
      </c>
      <c r="N1292" t="inlineStr">
        <is>
          <t>Hunhow</t>
        </is>
      </c>
      <c r="O1292" t="inlineStr">
        <is>
          <t>Saved a concrete acquisition place from the official Warframe Wiki. Hunhow page lists the blueprint under Keepsakes.</t>
        </is>
      </c>
    </row>
    <row r="1293">
      <c r="A1293" t="inlineStr">
        <is>
          <t>/Lotus/Types/Items/ShipDecos/WyrmiusPoster</t>
        </is>
      </c>
      <c r="B1293" t="inlineStr">
        <is>
          <t>Wyrmius Poster</t>
        </is>
      </c>
      <c r="C1293" t="inlineStr">
        <is>
          <t>https://wiki.warframe.com/w/Wyrmius | https://wiki.warframe.com/w/Decorations/Orbiter_Decorations</t>
        </is>
      </c>
      <c r="D1293" t="inlineStr">
        <is>
          <t>ExportResources</t>
        </is>
      </c>
      <c r="F1293" t="inlineStr">
        <is>
          <t>Wyrmius Poster</t>
        </is>
      </c>
      <c r="H1293" t="inlineStr">
        <is>
          <t>Solved: current place verified and archived 2026-10-16.</t>
        </is>
      </c>
      <c r="I1293" t="inlineStr">
        <is>
          <t>Resources</t>
        </is>
      </c>
      <c r="M1293" t="inlineStr">
        <is>
          <t>Reward for completing Wyrmius.</t>
        </is>
      </c>
      <c r="N1293" t="inlineStr">
        <is>
          <t>Decorations/Orbiter Decorations</t>
        </is>
      </c>
      <c r="O1293" t="inlineStr">
        <is>
          <t>Saved a concrete acquisition place from the official Warframe Wiki. Orbiter Decorations Posters section.</t>
        </is>
      </c>
    </row>
    <row r="1294">
      <c r="A1294" t="inlineStr">
        <is>
          <t>/Lotus/Types/Items/ShipDecos/LisetPropOstLanternGround</t>
        </is>
      </c>
      <c r="B1294" t="inlineStr">
        <is>
          <t>Xartaan Lamp</t>
        </is>
      </c>
      <c r="C1294" t="inlineStr">
        <is>
          <t>https://wiki.warframe.com/w/Decorations/Orbiter_Decorations</t>
        </is>
      </c>
      <c r="D1294" t="inlineStr">
        <is>
          <t>ExportResources</t>
        </is>
      </c>
      <c r="F1294" t="inlineStr">
        <is>
          <t>Xartaan Lamp</t>
        </is>
      </c>
      <c r="H1294" t="inlineStr">
        <is>
          <t>Solved: current place verified and archived 2026-10-16.</t>
        </is>
      </c>
      <c r="I1294" t="inlineStr">
        <is>
          <t>Resources</t>
        </is>
      </c>
      <c r="M1294" t="inlineStr">
        <is>
          <t>In-game Market as part of the Artisan Pack for 55 Platinum.</t>
        </is>
      </c>
      <c r="N1294" t="inlineStr">
        <is>
          <t>Decorations/Orbiter Decorations</t>
        </is>
      </c>
      <c r="O1294" t="inlineStr">
        <is>
          <t>We copied where it comes from off the wiki page. See place from wiki page.</t>
        </is>
      </c>
    </row>
    <row r="1295">
      <c r="A1295" t="inlineStr">
        <is>
          <t>/Lotus/Types/Items/ShipDecos/Tau/LisetPropMetalLotusSingle</t>
        </is>
      </c>
      <c r="B1295" t="inlineStr">
        <is>
          <t>Xenoflora Decoration</t>
        </is>
      </c>
      <c r="C1295" t="inlineStr">
        <is>
          <t>https://wiki.warframe.com/w/War_Stories_Bundle | https://wiki.warframe.com/w/Decorations/Orbiter_Decorations</t>
        </is>
      </c>
      <c r="D1295" t="inlineStr">
        <is>
          <t>ExportResources</t>
        </is>
      </c>
      <c r="F1295" t="inlineStr">
        <is>
          <t>Xenoflora Decoration</t>
        </is>
      </c>
      <c r="H1295" t="inlineStr">
        <is>
          <t>Solved: current place verified and archived 2026-10-16.</t>
        </is>
      </c>
      <c r="I1295" t="inlineStr">
        <is>
          <t>Resources</t>
        </is>
      </c>
      <c r="M1295" t="inlineStr">
        <is>
          <t>In-game Market for 35 Platinum.</t>
        </is>
      </c>
      <c r="N1295" t="inlineStr">
        <is>
          <t>War Stories Bundle | Decorations/Orbiter Decorations | Update 41: The Old Peace</t>
        </is>
      </c>
      <c r="O1295" t="inlineStr">
        <is>
          <t>We copied where it comes from off the wiki page. See place from wiki page.</t>
        </is>
      </c>
    </row>
    <row r="1296">
      <c r="A1296" t="inlineStr">
        <is>
          <t>/Lotus/Types/Items/ShipDecos/Tau/LisetPropMetalLotus1mPatch</t>
        </is>
      </c>
      <c r="B1296" t="inlineStr">
        <is>
          <t>Xenoflora Patch (1m)</t>
        </is>
      </c>
      <c r="C1296" t="inlineStr">
        <is>
          <t>https://wiki.warframe.com/w/War_Stories_Bundle | https://wiki.warframe.com/w/Decorations/Orbiter_Decorations</t>
        </is>
      </c>
      <c r="D1296" t="inlineStr">
        <is>
          <t>ExportResources</t>
        </is>
      </c>
      <c r="F1296" t="inlineStr">
        <is>
          <t>Xenoflora Patch (1m)</t>
        </is>
      </c>
      <c r="H1296" t="inlineStr">
        <is>
          <t>Solved: current place verified and archived 2026-10-16.</t>
        </is>
      </c>
      <c r="I1296" t="inlineStr">
        <is>
          <t>Resources</t>
        </is>
      </c>
      <c r="M1296" t="inlineStr">
        <is>
          <t>In-game Market for 35 Platinum.</t>
        </is>
      </c>
      <c r="N1296" t="inlineStr">
        <is>
          <t>War Stories Bundle | Decorations/Orbiter Decorations</t>
        </is>
      </c>
      <c r="O1296" t="inlineStr">
        <is>
          <t>We copied where it comes from off the wiki page. See place from wiki page.</t>
        </is>
      </c>
    </row>
    <row r="1297">
      <c r="A1297" t="inlineStr">
        <is>
          <t>/Lotus/Types/Items/ShipDecos/Tau/LisetPropMetalLotus2mPatch</t>
        </is>
      </c>
      <c r="B1297" t="inlineStr">
        <is>
          <t>Xenoflora Patch (2m)</t>
        </is>
      </c>
      <c r="C1297" t="inlineStr">
        <is>
          <t>https://wiki.warframe.com/w/War_Stories_Bundle | https://wiki.warframe.com/w/Decorations/Orbiter_Decorations</t>
        </is>
      </c>
      <c r="D1297" t="inlineStr">
        <is>
          <t>ExportResources</t>
        </is>
      </c>
      <c r="F1297" t="inlineStr">
        <is>
          <t>Xenoflora Patch (2m)</t>
        </is>
      </c>
      <c r="H1297" t="inlineStr">
        <is>
          <t>Solved: current place verified and archived 2026-10-16.</t>
        </is>
      </c>
      <c r="I1297" t="inlineStr">
        <is>
          <t>Resources</t>
        </is>
      </c>
      <c r="M1297" t="inlineStr">
        <is>
          <t>In-game Market for 35 Platinum.</t>
        </is>
      </c>
      <c r="N1297" t="inlineStr">
        <is>
          <t>War Stories Bundle | Decorations/Orbiter Decorations</t>
        </is>
      </c>
      <c r="O1297" t="inlineStr">
        <is>
          <t>We copied where it comes from off the wiki page. See place from wiki page.</t>
        </is>
      </c>
    </row>
    <row r="1298">
      <c r="A1298" t="inlineStr">
        <is>
          <t>/Lotus/Types/Recipes/LandingCraftRecipes/Gyroscope/GyroscopeAvionicsComponent</t>
        </is>
      </c>
      <c r="B1298" t="inlineStr">
        <is>
          <t>Xiphos Avionics</t>
        </is>
      </c>
      <c r="C1298" t="inlineStr">
        <is>
          <t>https://wiki.warframe.com/w/Xiphos | https://wiki.warframe.com/w/Mission_Rewards | https://wiki.warframe.com/w/Resource_Cache | https://wiki.warframe.com/w/Sabotage | https://wiki.warframe.com/w/Sabotage/Orokin</t>
        </is>
      </c>
      <c r="D1298" t="inlineStr">
        <is>
          <t>ExportResources</t>
        </is>
      </c>
      <c r="F1298" t="inlineStr">
        <is>
          <t>Xiphos Avionics</t>
        </is>
      </c>
      <c r="H1298" t="inlineStr">
        <is>
          <t>Solved: current place verified and archived 2026-10-16.</t>
        </is>
      </c>
      <c r="I1298" t="inlineStr">
        <is>
          <t>Resources</t>
        </is>
      </c>
      <c r="L1298" t="inlineStr">
        <is>
          <t>DropTablesJSON_Missions, DropTables_JSON_Missions, DropTables_JSON_slim, DropTables_data, Flaicher_Conv_data, Flaicher_DropTables_data, FormatingTool_data2, drop_reverse_index_v2</t>
        </is>
      </c>
      <c r="M1298" t="inlineStr">
        <is>
          <t>Very low chance blueprint drop from opening all 3 Resource Caches in some Sabotage or Exterminate missions.</t>
        </is>
      </c>
      <c r="N1298" t="inlineStr">
        <is>
          <t>Xiphos</t>
        </is>
      </c>
      <c r="O1298" t="inlineStr">
        <is>
          <t>Saved a concrete acquisition place from the official Warframe Wiki. Xiphos page Acquisition.</t>
        </is>
      </c>
    </row>
    <row r="1299">
      <c r="A1299" t="inlineStr">
        <is>
          <t>/Lotus/Types/Recipes/LandingCraftRecipes/Gyroscope/GyroscopeEnginesComponent</t>
        </is>
      </c>
      <c r="B1299" t="inlineStr">
        <is>
          <t>Xiphos Engines</t>
        </is>
      </c>
      <c r="C1299" t="inlineStr">
        <is>
          <t>https://wiki.warframe.com/w/Sabotage/Reactor</t>
        </is>
      </c>
      <c r="D1299" t="inlineStr">
        <is>
          <t>ExportResources</t>
        </is>
      </c>
      <c r="F1299" t="inlineStr">
        <is>
          <t>Xiphos Engines</t>
        </is>
      </c>
      <c r="H1299" t="inlineStr">
        <is>
          <t>Solved: current place verified and archived 2026-10-16.</t>
        </is>
      </c>
      <c r="I1299" t="inlineStr">
        <is>
          <t>Resources</t>
        </is>
      </c>
      <c r="L1299" t="inlineStr">
        <is>
          <t>DropTablesJSON_Missions, DropTables_JSON_Missions, DropTables_JSON_slim, DropTables_data, Flaicher_Conv_data, Flaicher_DropTables_data, FormatingTool_data2, drop_reverse_index_v2</t>
        </is>
      </c>
      <c r="M1299" t="inlineStr">
        <is>
          <t>Very low chance blueprint drop from opening all 3 Resource Caches in some Sabotage or Exterminate missions.</t>
        </is>
      </c>
      <c r="N1299" t="inlineStr">
        <is>
          <t>Xiphos</t>
        </is>
      </c>
      <c r="O1299" t="inlineStr">
        <is>
          <t>Saved a concrete acquisition place from the official Warframe Wiki. Xiphos page Acquisition.</t>
        </is>
      </c>
    </row>
    <row r="1300">
      <c r="A1300" t="inlineStr">
        <is>
          <t>/Lotus/Types/Recipes/LandingCraftRecipes/Gyroscope/GyroscopeFuselageComponent</t>
        </is>
      </c>
      <c r="B1300" t="inlineStr">
        <is>
          <t>Xiphos Fuselage</t>
        </is>
      </c>
      <c r="C1300" t="inlineStr">
        <is>
          <t>https://wiki.warframe.com/w/Sabotage/Reactor | https://wiki.warframe.com/w/Circuits | https://wiki.warframe.com/w/Cryotic | https://wiki.warframe.com/w/Ferrite</t>
        </is>
      </c>
      <c r="D1300" t="inlineStr">
        <is>
          <t>ExportResources</t>
        </is>
      </c>
      <c r="F1300" t="inlineStr">
        <is>
          <t>Xiphos Fuselage</t>
        </is>
      </c>
      <c r="H1300" t="inlineStr">
        <is>
          <t>Solved: current place verified and archived 2026-10-16.</t>
        </is>
      </c>
      <c r="I1300" t="inlineStr">
        <is>
          <t>Resources</t>
        </is>
      </c>
      <c r="L1300" t="inlineStr">
        <is>
          <t>DropTablesJSON_Missions, DropTables_JSON_Missions, DropTables_JSON_slim, DropTables_data, Flaicher_Conv_data, Flaicher_DropTables_data, FormatingTool_data2, drop_reverse_index_v2</t>
        </is>
      </c>
      <c r="M1300" t="inlineStr">
        <is>
          <t>Very low chance blueprint drop from opening all 3 Resource Caches in some Sabotage or Exterminate missions.</t>
        </is>
      </c>
      <c r="N1300" t="inlineStr">
        <is>
          <t>Xiphos</t>
        </is>
      </c>
      <c r="O1300" t="inlineStr">
        <is>
          <t>Saved a concrete acquisition place from the official Warframe Wiki. Xiphos page Acquisition.</t>
        </is>
      </c>
    </row>
    <row r="1301">
      <c r="A1301" t="inlineStr">
        <is>
          <t>/Lotus/Types/Gameplay/Duviri/Resource/Fish/DuviriFishBItem</t>
        </is>
      </c>
      <c r="B1301" t="inlineStr">
        <is>
          <t>Xiran</t>
        </is>
      </c>
      <c r="C1301" t="inlineStr">
        <is>
          <t>https://wiki.warframe.com/w/Fishing</t>
        </is>
      </c>
      <c r="D1301" t="inlineStr">
        <is>
          <t>ExportResources</t>
        </is>
      </c>
      <c r="G1301" t="inlineStr">
        <is>
          <t>Xiran</t>
        </is>
      </c>
      <c r="H1301" t="inlineStr">
        <is>
          <t>Solved: current place verified and archived 2026-10-16.</t>
        </is>
      </c>
      <c r="I1301" t="inlineStr">
        <is>
          <t>Resources</t>
        </is>
      </c>
      <c r="J1301" t="inlineStr">
        <is>
          <t>Resources_data</t>
        </is>
      </c>
      <c r="K1301" t="inlineStr">
        <is>
          <t>Resources/data</t>
        </is>
      </c>
      <c r="L1301" t="inlineStr">
        <is>
          <t>listed, no place</t>
        </is>
      </c>
      <c r="M1301" t="inlineStr">
        <is>
          <t>Caught while fishing in Duviri.</t>
        </is>
      </c>
      <c r="N1301" t="inlineStr">
        <is>
          <t>Fishing</t>
        </is>
      </c>
      <c r="O1301" t="inlineStr">
        <is>
          <t>Saved a concrete acquisition place from the official Warframe Wiki.</t>
        </is>
      </c>
    </row>
    <row r="1302">
      <c r="A1302" t="inlineStr">
        <is>
          <t>/Lotus/Types/Items/Fish/Duviri/DuviriFishBItem</t>
        </is>
      </c>
      <c r="B1302" t="inlineStr">
        <is>
          <t>Xiran</t>
        </is>
      </c>
      <c r="C1302" t="inlineStr">
        <is>
          <t>https://wiki.warframe.com/w/Fishing</t>
        </is>
      </c>
      <c r="D1302" t="inlineStr">
        <is>
          <t>ExportResources</t>
        </is>
      </c>
      <c r="F1302" t="inlineStr">
        <is>
          <t>Xiran</t>
        </is>
      </c>
      <c r="G1302" t="inlineStr">
        <is>
          <t>Xiran</t>
        </is>
      </c>
      <c r="H1302" t="inlineStr">
        <is>
          <t>Solved: current place verified and archived 2026-10-16.</t>
        </is>
      </c>
      <c r="I1302" t="inlineStr">
        <is>
          <t>Resources</t>
        </is>
      </c>
      <c r="J1302" t="inlineStr">
        <is>
          <t>Resources_data</t>
        </is>
      </c>
      <c r="K1302" t="inlineStr">
        <is>
          <t>Resources/data</t>
        </is>
      </c>
      <c r="L1302" t="inlineStr">
        <is>
          <t>listed, no place</t>
        </is>
      </c>
      <c r="M1302" t="inlineStr">
        <is>
          <t>Caught while fishing in Duviri.</t>
        </is>
      </c>
      <c r="N1302" t="inlineStr">
        <is>
          <t>Fishing</t>
        </is>
      </c>
      <c r="O1302" t="inlineStr">
        <is>
          <t>Saved a concrete acquisition place from the official Warframe Wiki.</t>
        </is>
      </c>
    </row>
    <row r="1303">
      <c r="A1303" t="inlineStr">
        <is>
          <t>/Lotus/Types/Items/ShipDecos/Venus/YareliCommunityDisplay</t>
        </is>
      </c>
      <c r="B1303" t="inlineStr">
        <is>
          <t>Yareli Community Display</t>
        </is>
      </c>
      <c r="C1303" t="inlineStr">
        <is>
          <t>https://wiki.warframe.com/w/Decorations | https://wiki.warframe.com/w/Decorations/Orbiter_Decorations</t>
        </is>
      </c>
      <c r="D1303" t="inlineStr">
        <is>
          <t>ExportResources</t>
        </is>
      </c>
      <c r="F1303" t="inlineStr">
        <is>
          <t>Yareli Community Display</t>
        </is>
      </c>
      <c r="H1303" t="inlineStr">
        <is>
          <t>Solved: current place verified and archived 2026-10-16.</t>
        </is>
      </c>
      <c r="I1303" t="inlineStr">
        <is>
          <t>Resources</t>
        </is>
      </c>
      <c r="M1303" t="inlineStr">
        <is>
          <t>In-game Market for 30 Platinum.</t>
        </is>
      </c>
      <c r="N1303" t="inlineStr">
        <is>
          <t>Decorations | Decorations/Orbiter Decorations | Update 30 | Update 32</t>
        </is>
      </c>
      <c r="O1303" t="inlineStr">
        <is>
          <t>We copied where it comes from off the wiki page. See place from wiki page.</t>
        </is>
      </c>
    </row>
    <row r="1304">
      <c r="A1304" t="inlineStr">
        <is>
          <t>/Lotus/Types/Items/PhotoBooth/CinematicTiles/YareliPrimeEndPose</t>
        </is>
      </c>
      <c r="B1304" t="inlineStr">
        <is>
          <t>Yareli and Merulina Prime Scene</t>
        </is>
      </c>
      <c r="C1304" t="inlineStr">
        <is>
          <t>https://wiki.warframe.com/w/Captura</t>
        </is>
      </c>
      <c r="D1304" t="inlineStr">
        <is>
          <t>ExportResources</t>
        </is>
      </c>
      <c r="F1304" t="inlineStr">
        <is>
          <t>Yareli and Merulina Prime Scene</t>
        </is>
      </c>
      <c r="H1304" t="inlineStr">
        <is>
          <t>Solved: current place verified and archived 2026-10-16.</t>
        </is>
      </c>
      <c r="I1304" t="inlineStr">
        <is>
          <t>Resources</t>
        </is>
      </c>
      <c r="M1304" t="inlineStr">
        <is>
          <t>Unlocked by acquiring Yareli Prime.</t>
        </is>
      </c>
      <c r="N1304" t="inlineStr">
        <is>
          <t>Captura</t>
        </is>
      </c>
      <c r="O1304" t="inlineStr">
        <is>
          <t>Saved a concrete acquisition place from the official Warframe Wiki. Captura scene table lists this scene with its acquisition note.</t>
        </is>
      </c>
    </row>
    <row r="1305">
      <c r="A1305" t="inlineStr">
        <is>
          <t>/Lotus/Types/Items/ShipDecos/Plants/Nokko/LisetPropDuvxZarimanPlantE</t>
        </is>
      </c>
      <c r="B1305" t="inlineStr">
        <is>
          <t>Yellow Daisy Cluster</t>
        </is>
      </c>
      <c r="C1305" t="inlineStr">
        <is>
          <t>https://wiki.warframe.com/w/Nightcap</t>
        </is>
      </c>
      <c r="D1305" t="inlineStr">
        <is>
          <t>ExportResources</t>
        </is>
      </c>
      <c r="F1305" t="inlineStr">
        <is>
          <t>Yellow Daisy Cluster</t>
        </is>
      </c>
      <c r="H1305" t="inlineStr">
        <is>
          <t>Solved: current place verified and archived 2026-10-16.</t>
        </is>
      </c>
      <c r="I1305" t="inlineStr">
        <is>
          <t>Resources</t>
        </is>
      </c>
      <c r="M1305" t="inlineStr">
        <is>
          <t>Purchase from Nightcap's Nursery for 10 Fergolyte.</t>
        </is>
      </c>
      <c r="N1305" t="inlineStr">
        <is>
          <t>Nightcap</t>
        </is>
      </c>
      <c r="O1305" t="inlineStr">
        <is>
          <t>Saved a concrete acquisition place from the official Warframe Wiki. Nightcap page lists it in Offerings &gt; Nursery.</t>
        </is>
      </c>
    </row>
    <row r="1306">
      <c r="A1306" t="inlineStr">
        <is>
          <t>/Lotus/Types/Items/ShipDecos/Plushies/PlushyKoala</t>
        </is>
      </c>
      <c r="B1306" t="inlineStr">
        <is>
          <t>Yooka Floof</t>
        </is>
      </c>
      <c r="C1306" t="inlineStr">
        <is>
          <t>https://wiki.warframe.com/w/Backroom | https://wiki.warframe.com/w/Decorations</t>
        </is>
      </c>
      <c r="D1306" t="inlineStr">
        <is>
          <t>ExportResources</t>
        </is>
      </c>
      <c r="F1306" t="inlineStr">
        <is>
          <t>Yooka Floof</t>
        </is>
      </c>
      <c r="H1306" t="inlineStr">
        <is>
          <t>Solved: current place verified and archived 2026-10-16.</t>
        </is>
      </c>
      <c r="I1306" t="inlineStr">
        <is>
          <t>Resources</t>
        </is>
      </c>
      <c r="M1306" t="inlineStr">
        <is>
          <t>In-game Market for 1 Credit.</t>
        </is>
      </c>
      <c r="N1306" t="inlineStr">
        <is>
          <t>Backroom | Decorations | Update 27 | Update 38</t>
        </is>
      </c>
      <c r="O1306" t="inlineStr">
        <is>
          <t>We copied where it comes from off the wiki page. See place from wiki page.</t>
        </is>
      </c>
    </row>
    <row r="1307">
      <c r="A1307" t="inlineStr">
        <is>
          <t>/Lotus/Types/Items/ShipDecos/Venus/TNWGlintOperatorDisplay</t>
        </is>
      </c>
      <c r="B1307" t="inlineStr">
        <is>
          <t>You Cannot Kill The Devil</t>
        </is>
      </c>
      <c r="C1307" t="inlineStr">
        <is>
          <t>https://wiki.warframe.com/w/The_New_War/Transcript | https://wiki.warframe.com/w/Decorations/Orbiter_Decorations</t>
        </is>
      </c>
      <c r="D1307" t="inlineStr">
        <is>
          <t>ExportResources</t>
        </is>
      </c>
      <c r="F1307" t="inlineStr">
        <is>
          <t>You Cannot Kill The Devil</t>
        </is>
      </c>
      <c r="H1307" t="inlineStr">
        <is>
          <t>Solved: current place verified and archived 2026-10-16.</t>
        </is>
      </c>
      <c r="I1307" t="inlineStr">
        <is>
          <t>Resources</t>
        </is>
      </c>
      <c r="M1307" t="inlineStr">
        <is>
          <t>In-game Market as part of the We Are Seasons' Poster Series bundle for 300 Platinum.</t>
        </is>
      </c>
      <c r="N1307" t="inlineStr">
        <is>
          <t>Decorations/Orbiter Decorations</t>
        </is>
      </c>
      <c r="O1307" t="inlineStr">
        <is>
          <t>Saved a concrete acquisition place from the official Warframe Wiki. Posters section, Market tab bundle table.</t>
        </is>
      </c>
    </row>
    <row r="1308">
      <c r="A1308" t="inlineStr">
        <is>
          <t>/Lotus/Types/Items/MiscItems/PhotoboothTileTWWMountainPeakHub</t>
        </is>
      </c>
      <c r="B1308" t="inlineStr">
        <is>
          <t>Yuvan Peak Scene</t>
        </is>
      </c>
      <c r="C1308" t="inlineStr">
        <is>
          <t>https://wiki.warframe.com/w/Entropic_Kuva | https://wiki.warframe.com/w/Cephalon_Melica</t>
        </is>
      </c>
      <c r="D1308" t="inlineStr">
        <is>
          <t>ExportResources</t>
        </is>
      </c>
      <c r="F1308" t="inlineStr">
        <is>
          <t>Yuvan Peak Scene</t>
        </is>
      </c>
      <c r="H1308" t="inlineStr">
        <is>
          <t>Solved: current place verified and archived 2026-10-16.</t>
        </is>
      </c>
      <c r="I1308" t="inlineStr">
        <is>
          <t>Resources</t>
        </is>
      </c>
      <c r="M1308" t="inlineStr">
        <is>
          <t>Purchase from Cephalon Melica for 500 Entropic Kuva.</t>
        </is>
      </c>
      <c r="N1308" t="inlineStr">
        <is>
          <t>Entropic Kuva | Cephalon Melica | Update 44: Iceblade of Narin</t>
        </is>
      </c>
      <c r="O1308" t="inlineStr">
        <is>
          <t>We copied where it comes from off the wiki page. See place from wiki page.</t>
        </is>
      </c>
    </row>
    <row r="1309">
      <c r="A1309" t="inlineStr">
        <is>
          <t>/Lotus/Types/Items/ShipDecos/NewWar/LisetPropZarPlantA</t>
        </is>
      </c>
      <c r="B1309" t="inlineStr">
        <is>
          <t>Zariman Broadleaf Plant</t>
        </is>
      </c>
      <c r="C1309" t="inlineStr">
        <is>
          <t>https://wiki.warframe.com/w/Dormizone | https://wiki.warframe.com/w/Decorations/Orbiter_Decorations</t>
        </is>
      </c>
      <c r="D1309" t="inlineStr">
        <is>
          <t>ExportResources</t>
        </is>
      </c>
      <c r="F1309" t="inlineStr">
        <is>
          <t>Zariman Broadleaf Plant</t>
        </is>
      </c>
      <c r="H1309" t="inlineStr">
        <is>
          <t>Solved: current place verified and archived 2026-10-16.</t>
        </is>
      </c>
      <c r="I1309" t="inlineStr">
        <is>
          <t>Resources</t>
        </is>
      </c>
      <c r="M1309" t="inlineStr">
        <is>
          <t>In-game Market for 35 Platinum.</t>
        </is>
      </c>
      <c r="N1309" t="inlineStr">
        <is>
          <t>Dormizone | Decorations/Orbiter Decorations</t>
        </is>
      </c>
      <c r="O1309" t="inlineStr">
        <is>
          <t>We copied where it comes from off the wiki page. See place from wiki page.</t>
        </is>
      </c>
    </row>
    <row r="1310">
      <c r="A1310" t="inlineStr">
        <is>
          <t>/Lotus/Types/Items/ShipDecos/NewWar/LisetPropZarCube</t>
        </is>
      </c>
      <c r="B1310" t="inlineStr">
        <is>
          <t>Zariman Cube</t>
        </is>
      </c>
      <c r="C1310" t="inlineStr">
        <is>
          <t>https://wiki.warframe.com/w/Dormizone | https://wiki.warframe.com/w/Decorations/Orbiter_Decorations</t>
        </is>
      </c>
      <c r="D1310" t="inlineStr">
        <is>
          <t>ExportResources</t>
        </is>
      </c>
      <c r="F1310" t="inlineStr">
        <is>
          <t>Zariman Cube</t>
        </is>
      </c>
      <c r="H1310" t="inlineStr">
        <is>
          <t>Solved: current place verified and archived 2026-10-16.</t>
        </is>
      </c>
      <c r="I1310" t="inlineStr">
        <is>
          <t>Resources</t>
        </is>
      </c>
      <c r="M1310" t="inlineStr">
        <is>
          <t>In-game Market for 35 Platinum.</t>
        </is>
      </c>
      <c r="N1310" t="inlineStr">
        <is>
          <t>Dormizone | Decorations/Orbiter Decorations</t>
        </is>
      </c>
      <c r="O1310" t="inlineStr">
        <is>
          <t>We copied where it comes from off the wiki page. See place from wiki page.</t>
        </is>
      </c>
    </row>
    <row r="1311">
      <c r="A1311" t="inlineStr">
        <is>
          <t>/Lotus/Types/Items/ShipDecos/Plants/Nokko/LisetPropZARxFlowerBouquetC</t>
        </is>
      </c>
      <c r="B1311" t="inlineStr">
        <is>
          <t>Zariman Flowers</t>
        </is>
      </c>
      <c r="C1311" t="inlineStr">
        <is>
          <t>https://wiki.warframe.com/w/The_Holdfasts | https://wiki.warframe.com/w/Hombask | https://wiki.warframe.com/w/Decorations</t>
        </is>
      </c>
      <c r="D1311" t="inlineStr">
        <is>
          <t>ExportResources</t>
        </is>
      </c>
      <c r="F1311" t="inlineStr">
        <is>
          <t>Zariman Flowers</t>
        </is>
      </c>
      <c r="H1311" t="inlineStr">
        <is>
          <t>Solved: current place verified and archived 2026-10-16.</t>
        </is>
      </c>
      <c r="I1311" t="inlineStr">
        <is>
          <t>Resources</t>
        </is>
      </c>
      <c r="M1311" t="inlineStr">
        <is>
          <t>Purchase from Hombask (The Holdfasts) in the Chrysalith for 3,500 Standing at Rank 0 (Neutral).</t>
        </is>
      </c>
      <c r="N1311" t="inlineStr">
        <is>
          <t>Hombask</t>
        </is>
      </c>
      <c r="O1311" t="inlineStr">
        <is>
          <t>Saved a concrete acquisition place from the official Warframe Wiki. Hombask page lists it in Offerings &gt; Dormizone Items.</t>
        </is>
      </c>
    </row>
    <row r="1312">
      <c r="A1312" t="inlineStr">
        <is>
          <t>/Lotus/Types/Items/ShipDecos/NewWar/LisetPropCabinMattress</t>
        </is>
      </c>
      <c r="B1312" t="inlineStr">
        <is>
          <t>Zariman Mattress</t>
        </is>
      </c>
      <c r="C1312" t="inlineStr">
        <is>
          <t>https://wiki.warframe.com/w/Decorations/Orbiter_Decorations</t>
        </is>
      </c>
      <c r="D1312" t="inlineStr">
        <is>
          <t>ExportResources</t>
        </is>
      </c>
      <c r="F1312" t="inlineStr">
        <is>
          <t>Zariman Mattress</t>
        </is>
      </c>
      <c r="H1312" t="inlineStr">
        <is>
          <t>Solved: current place verified and archived 2026-10-16.</t>
        </is>
      </c>
      <c r="I1312" t="inlineStr">
        <is>
          <t>Resources</t>
        </is>
      </c>
      <c r="M1312" t="inlineStr">
        <is>
          <t>In-game Market for 35 Platinum.</t>
        </is>
      </c>
      <c r="N1312" t="inlineStr">
        <is>
          <t>Decorations/Orbiter Decorations</t>
        </is>
      </c>
      <c r="O1312" t="inlineStr">
        <is>
          <t>We copied where it comes from off the wiki page. See place from wiki page.</t>
        </is>
      </c>
    </row>
    <row r="1313">
      <c r="A1313" t="inlineStr">
        <is>
          <t>/Lotus/Types/Items/ShipDecos/NewWar/LisetPropZarFoodRack</t>
        </is>
      </c>
      <c r="B1313" t="inlineStr">
        <is>
          <t>Zariman Nutrient Dispenser</t>
        </is>
      </c>
      <c r="C1313" t="inlineStr">
        <is>
          <t>https://wiki.warframe.com/w/Dormizone | https://wiki.warframe.com/w/Decorations/Orbiter_Decorations</t>
        </is>
      </c>
      <c r="D1313" t="inlineStr">
        <is>
          <t>ExportResources</t>
        </is>
      </c>
      <c r="F1313" t="inlineStr">
        <is>
          <t>Zariman Nutrient Dispenser</t>
        </is>
      </c>
      <c r="H1313" t="inlineStr">
        <is>
          <t>Solved: current place verified and archived 2026-10-16.</t>
        </is>
      </c>
      <c r="I1313" t="inlineStr">
        <is>
          <t>Resources</t>
        </is>
      </c>
      <c r="M1313" t="inlineStr">
        <is>
          <t>In-game Market.</t>
        </is>
      </c>
      <c r="N1313" t="inlineStr">
        <is>
          <t>Decorations/Orbiter Decorations | Dormizone</t>
        </is>
      </c>
      <c r="O1313" t="inlineStr">
        <is>
          <t>Saved a concrete acquisition place from the official Warframe Wiki. Orbiter Decorations Market section and Dormizone list.</t>
        </is>
      </c>
    </row>
    <row r="1314">
      <c r="A1314" t="inlineStr">
        <is>
          <t>/Lotus/Types/Items/ShipDecos/NewWar/LisetPropZarPlantB</t>
        </is>
      </c>
      <c r="B1314" t="inlineStr">
        <is>
          <t>Zariman Palm Plant</t>
        </is>
      </c>
      <c r="C1314" t="inlineStr">
        <is>
          <t>https://wiki.warframe.com/w/Dormizone | https://wiki.warframe.com/w/Decorations/Orbiter_Decorations</t>
        </is>
      </c>
      <c r="D1314" t="inlineStr">
        <is>
          <t>ExportResources</t>
        </is>
      </c>
      <c r="F1314" t="inlineStr">
        <is>
          <t>Zariman Palm Plant</t>
        </is>
      </c>
      <c r="H1314" t="inlineStr">
        <is>
          <t>Solved: current place verified and archived 2026-10-16.</t>
        </is>
      </c>
      <c r="I1314" t="inlineStr">
        <is>
          <t>Resources</t>
        </is>
      </c>
      <c r="M1314" t="inlineStr">
        <is>
          <t>In-game Market for 35 Platinum.</t>
        </is>
      </c>
      <c r="N1314" t="inlineStr">
        <is>
          <t>Dormizone | Decorations/Orbiter Decorations</t>
        </is>
      </c>
      <c r="O1314" t="inlineStr">
        <is>
          <t>We copied where it comes from off the wiki page. See place from wiki page.</t>
        </is>
      </c>
    </row>
    <row r="1315">
      <c r="A1315" t="inlineStr">
        <is>
          <t>/Lotus/Types/Items/ShipDecos/NewWar/LisetPropCabinPillow</t>
        </is>
      </c>
      <c r="B1315" t="inlineStr">
        <is>
          <t>Zariman Pillow</t>
        </is>
      </c>
      <c r="C1315" t="inlineStr">
        <is>
          <t>https://wiki.warframe.com/w/Decorations/Orbiter_Decorations</t>
        </is>
      </c>
      <c r="D1315" t="inlineStr">
        <is>
          <t>ExportResources</t>
        </is>
      </c>
      <c r="F1315" t="inlineStr">
        <is>
          <t>Zariman Pillow</t>
        </is>
      </c>
      <c r="H1315" t="inlineStr">
        <is>
          <t>Solved: current place verified and archived 2026-10-16.</t>
        </is>
      </c>
      <c r="I1315" t="inlineStr">
        <is>
          <t>Resources</t>
        </is>
      </c>
      <c r="M1315" t="inlineStr">
        <is>
          <t>In-game Market for 35 Platinum.</t>
        </is>
      </c>
      <c r="N1315" t="inlineStr">
        <is>
          <t>Decorations/Orbiter Decorations</t>
        </is>
      </c>
      <c r="O1315" t="inlineStr">
        <is>
          <t>We copied where it comes from off the wiki page. See place from wiki page.</t>
        </is>
      </c>
    </row>
    <row r="1316">
      <c r="A1316" t="inlineStr">
        <is>
          <t>/Lotus/Types/Items/ShipDecos/Props/Nokko/LisetPropZARxPrpPlanterClipOnLargeA</t>
        </is>
      </c>
      <c r="B1316" t="inlineStr">
        <is>
          <t>Zariman Planter (Hanging)</t>
        </is>
      </c>
      <c r="C1316" t="inlineStr">
        <is>
          <t>https://wiki.warframe.com/w/The_Holdfasts | https://wiki.warframe.com/w/Hombask | https://wiki.warframe.com/w/Decorations</t>
        </is>
      </c>
      <c r="D1316" t="inlineStr">
        <is>
          <t>ExportResources</t>
        </is>
      </c>
      <c r="F1316" t="inlineStr">
        <is>
          <t>Zariman Planter (Hanging)</t>
        </is>
      </c>
      <c r="H1316" t="inlineStr">
        <is>
          <t>Solved: current place verified and archived 2026-10-16.</t>
        </is>
      </c>
      <c r="I1316" t="inlineStr">
        <is>
          <t>Resources</t>
        </is>
      </c>
      <c r="M1316" t="inlineStr">
        <is>
          <t>Purchase from Hombask (The Holdfasts) in the Chrysalith for 3,500 Standing at Rank 0 (Neutral).</t>
        </is>
      </c>
      <c r="N1316" t="inlineStr">
        <is>
          <t>Hombask</t>
        </is>
      </c>
      <c r="O1316" t="inlineStr">
        <is>
          <t>Saved a concrete acquisition place from the official Warframe Wiki. Hombask page lists it in Offerings &gt; Dormizone Items.</t>
        </is>
      </c>
    </row>
    <row r="1317">
      <c r="A1317" t="inlineStr">
        <is>
          <t>/Lotus/Types/Items/ShipDecos/Props/Nokko/LisetPropZARxPrpPlanterMedC</t>
        </is>
      </c>
      <c r="B1317" t="inlineStr">
        <is>
          <t>Zariman Planter (High-rise, Small)</t>
        </is>
      </c>
      <c r="C1317" t="inlineStr">
        <is>
          <t>https://wiki.warframe.com/w/The_Holdfasts | https://wiki.warframe.com/w/Hombask | https://wiki.warframe.com/w/Decorations</t>
        </is>
      </c>
      <c r="D1317" t="inlineStr">
        <is>
          <t>ExportResources</t>
        </is>
      </c>
      <c r="F1317" t="inlineStr">
        <is>
          <t>Zariman Planter (High-rise, Small)</t>
        </is>
      </c>
      <c r="H1317" t="inlineStr">
        <is>
          <t>Solved: current place verified and archived 2026-10-16.</t>
        </is>
      </c>
      <c r="I1317" t="inlineStr">
        <is>
          <t>Resources</t>
        </is>
      </c>
      <c r="M1317" t="inlineStr">
        <is>
          <t>Purchase from Hombask (The Holdfasts) in the Chrysalith for 3,500 Standing at Rank 0 (Neutral).</t>
        </is>
      </c>
      <c r="N1317" t="inlineStr">
        <is>
          <t>Hombask</t>
        </is>
      </c>
      <c r="O1317" t="inlineStr">
        <is>
          <t>Saved a concrete acquisition place from the official Warframe Wiki. Hombask page lists it in Offerings &gt; Dormizone Items.</t>
        </is>
      </c>
    </row>
    <row r="1318">
      <c r="A1318" t="inlineStr">
        <is>
          <t>/Lotus/Types/Items/ShipDecos/Props/Nokko/LisetPropZARxPrpPlanterTroughStraight</t>
        </is>
      </c>
      <c r="B1318" t="inlineStr">
        <is>
          <t>Zariman Planter (Straight)</t>
        </is>
      </c>
      <c r="C1318" t="inlineStr">
        <is>
          <t>https://wiki.warframe.com/w/The_Holdfasts | https://wiki.warframe.com/w/Hombask | https://wiki.warframe.com/w/Decorations</t>
        </is>
      </c>
      <c r="D1318" t="inlineStr">
        <is>
          <t>ExportResources</t>
        </is>
      </c>
      <c r="F1318" t="inlineStr">
        <is>
          <t>Zariman Planter (Straight)</t>
        </is>
      </c>
      <c r="H1318" t="inlineStr">
        <is>
          <t>Solved: current place verified and archived 2026-10-16.</t>
        </is>
      </c>
      <c r="I1318" t="inlineStr">
        <is>
          <t>Resources</t>
        </is>
      </c>
      <c r="M1318" t="inlineStr">
        <is>
          <t>Purchase from Hombask (The Holdfasts) in the Chrysalith for 3,500 Standing at Rank 0 (Neutral).</t>
        </is>
      </c>
      <c r="N1318" t="inlineStr">
        <is>
          <t>Hombask</t>
        </is>
      </c>
      <c r="O1318" t="inlineStr">
        <is>
          <t>Saved a concrete acquisition place from the official Warframe Wiki. Hombask page lists it in Offerings &gt; Dormizone Items.</t>
        </is>
      </c>
    </row>
    <row r="1319">
      <c r="A1319" t="inlineStr">
        <is>
          <t>/Lotus/Types/Items/ShipDecos/Props/Nokko/LisetPropZARxPrpPlanterWallMountedA</t>
        </is>
      </c>
      <c r="B1319" t="inlineStr">
        <is>
          <t>Zariman Planter (Wall Mounted)</t>
        </is>
      </c>
      <c r="C1319" t="inlineStr">
        <is>
          <t>https://wiki.warframe.com/w/The_Holdfasts | https://wiki.warframe.com/w/Hombask | https://wiki.warframe.com/w/Decorations</t>
        </is>
      </c>
      <c r="D1319" t="inlineStr">
        <is>
          <t>ExportResources</t>
        </is>
      </c>
      <c r="F1319" t="inlineStr">
        <is>
          <t>Zariman Planter (Wall Mounted)</t>
        </is>
      </c>
      <c r="H1319" t="inlineStr">
        <is>
          <t>Solved: current place verified and archived 2026-10-16.</t>
        </is>
      </c>
      <c r="I1319" t="inlineStr">
        <is>
          <t>Resources</t>
        </is>
      </c>
      <c r="M1319" t="inlineStr">
        <is>
          <t>Purchase from Hombask (The Holdfasts) in the Chrysalith for 3,500 Standing at Rank 0 (Neutral).</t>
        </is>
      </c>
      <c r="N1319" t="inlineStr">
        <is>
          <t>Hombask</t>
        </is>
      </c>
      <c r="O1319" t="inlineStr">
        <is>
          <t>Saved a concrete acquisition place from the official Warframe Wiki. Hombask page lists it in Offerings &gt; Dormizone Items.</t>
        </is>
      </c>
    </row>
    <row r="1320">
      <c r="A1320" t="inlineStr">
        <is>
          <t>/Lotus/Types/Items/ShipDecos/ZarimanApartment/ZARxPrpClassRoomPostersAh</t>
        </is>
      </c>
      <c r="B1320" t="inlineStr">
        <is>
          <t xml:space="preserve">Zariman Poster Arrangement </t>
        </is>
      </c>
      <c r="C1320" t="inlineStr">
        <is>
          <t>https://wiki.warframe.com/w/Hombask | https://wiki.warframe.com/w/The_Holdfasts | https://wiki.warframe.com/w/Decorations/Orbiter_Decorations</t>
        </is>
      </c>
      <c r="D1320" t="inlineStr">
        <is>
          <t>ExportResources</t>
        </is>
      </c>
      <c r="F1320" t="inlineStr">
        <is>
          <t xml:space="preserve">Zariman Poster Arrangement </t>
        </is>
      </c>
      <c r="H1320" t="inlineStr">
        <is>
          <t>Solved: current place verified and archived 2026-10-16.</t>
        </is>
      </c>
      <c r="I1320" t="inlineStr">
        <is>
          <t>Resources</t>
        </is>
      </c>
      <c r="M1320" t="inlineStr">
        <is>
          <t>Purchase from Hombask (The Holdfasts) in the Chrysalith for 2,500 Standing at Rank 4 (Seraph).</t>
        </is>
      </c>
      <c r="N1320" t="inlineStr">
        <is>
          <t>Hombask</t>
        </is>
      </c>
      <c r="O1320" t="inlineStr">
        <is>
          <t>Saved a concrete acquisition place from the official Warframe Wiki. Hombask page Dormizone Items.</t>
        </is>
      </c>
    </row>
    <row r="1321">
      <c r="A1321" t="inlineStr">
        <is>
          <t>/Lotus/Types/Items/ShipDecos/NewWar/LisetPropCabinBench</t>
        </is>
      </c>
      <c r="B1321" t="inlineStr">
        <is>
          <t>Zariman Seating</t>
        </is>
      </c>
      <c r="C1321" t="inlineStr">
        <is>
          <t>https://wiki.warframe.com/w/Dormizone | https://wiki.warframe.com/w/Decorations/Orbiter_Decorations</t>
        </is>
      </c>
      <c r="D1321" t="inlineStr">
        <is>
          <t>ExportResources</t>
        </is>
      </c>
      <c r="F1321" t="inlineStr">
        <is>
          <t>Zariman Seating</t>
        </is>
      </c>
      <c r="H1321" t="inlineStr">
        <is>
          <t>Solved: current place verified and archived 2026-10-16.</t>
        </is>
      </c>
      <c r="I1321" t="inlineStr">
        <is>
          <t>Resources</t>
        </is>
      </c>
      <c r="M1321" t="inlineStr">
        <is>
          <t>In-game Market for 35 Platinum.</t>
        </is>
      </c>
      <c r="N1321" t="inlineStr">
        <is>
          <t>Dormizone | Decorations/Orbiter Decorations</t>
        </is>
      </c>
      <c r="O1321" t="inlineStr">
        <is>
          <t>We copied where it comes from off the wiki page. See place from wiki page.</t>
        </is>
      </c>
    </row>
    <row r="1322">
      <c r="A1322" t="inlineStr">
        <is>
          <t>/Lotus/Types/Items/ShipDecos/NewWar/LisetPropZarPlantC</t>
        </is>
      </c>
      <c r="B1322" t="inlineStr">
        <is>
          <t>Zariman Spider Plant</t>
        </is>
      </c>
      <c r="C1322" t="inlineStr">
        <is>
          <t>https://wiki.warframe.com/w/Dormizone | https://wiki.warframe.com/w/Decorations/Orbiter_Decorations</t>
        </is>
      </c>
      <c r="D1322" t="inlineStr">
        <is>
          <t>ExportResources</t>
        </is>
      </c>
      <c r="F1322" t="inlineStr">
        <is>
          <t>Zariman Spider Plant</t>
        </is>
      </c>
      <c r="H1322" t="inlineStr">
        <is>
          <t>Solved: current place verified and archived 2026-10-16.</t>
        </is>
      </c>
      <c r="I1322" t="inlineStr">
        <is>
          <t>Resources</t>
        </is>
      </c>
      <c r="M1322" t="inlineStr">
        <is>
          <t>In-game Market for 35 Platinum.</t>
        </is>
      </c>
      <c r="N1322" t="inlineStr">
        <is>
          <t>Dormizone | Decorations/Orbiter Decorations</t>
        </is>
      </c>
      <c r="O1322" t="inlineStr">
        <is>
          <t>We copied where it comes from off the wiki page. See place from wiki page.</t>
        </is>
      </c>
    </row>
    <row r="1323">
      <c r="A1323" t="inlineStr">
        <is>
          <t>/Lotus/Types/Items/ShipDecos/NewWar/LisetPropCabinStool</t>
        </is>
      </c>
      <c r="B1323" t="inlineStr">
        <is>
          <t>Zariman Stool</t>
        </is>
      </c>
      <c r="C1323" t="inlineStr">
        <is>
          <t>https://wiki.warframe.com/w/Dormizone | https://wiki.warframe.com/w/Decorations/Orbiter_Decorations</t>
        </is>
      </c>
      <c r="D1323" t="inlineStr">
        <is>
          <t>ExportResources</t>
        </is>
      </c>
      <c r="F1323" t="inlineStr">
        <is>
          <t>Zariman Stool</t>
        </is>
      </c>
      <c r="H1323" t="inlineStr">
        <is>
          <t>Solved: current place verified and archived 2026-10-16.</t>
        </is>
      </c>
      <c r="I1323" t="inlineStr">
        <is>
          <t>Resources</t>
        </is>
      </c>
      <c r="M1323" t="inlineStr">
        <is>
          <t>In-game Market for 35 Platinum.</t>
        </is>
      </c>
      <c r="N1323" t="inlineStr">
        <is>
          <t>Dormizone | Decorations/Orbiter Decorations</t>
        </is>
      </c>
      <c r="O1323" t="inlineStr">
        <is>
          <t>We copied where it comes from off the wiki page. See place from wiki page.</t>
        </is>
      </c>
    </row>
    <row r="1324">
      <c r="A1324" t="inlineStr">
        <is>
          <t>/Lotus/Types/Items/ShipDecos/NewWar/LisetPropCabinTable</t>
        </is>
      </c>
      <c r="B1324" t="inlineStr">
        <is>
          <t>Zariman Table</t>
        </is>
      </c>
      <c r="C1324" t="inlineStr">
        <is>
          <t>https://wiki.warframe.com/w/Hombask | https://wiki.warframe.com/w/Decorations/Orbiter_Decorations</t>
        </is>
      </c>
      <c r="D1324" t="inlineStr">
        <is>
          <t>ExportResources</t>
        </is>
      </c>
      <c r="F1324" t="inlineStr">
        <is>
          <t>Zariman Table</t>
        </is>
      </c>
      <c r="H1324" t="inlineStr">
        <is>
          <t>Solved: current place verified and archived 2026-10-16.</t>
        </is>
      </c>
      <c r="I1324" t="inlineStr">
        <is>
          <t>Resources</t>
        </is>
      </c>
      <c r="L1324" t="inlineStr">
        <is>
          <t>Vendors_data</t>
        </is>
      </c>
      <c r="M1324" t="inlineStr">
        <is>
          <t>In-game Market for 35 Platinum.</t>
        </is>
      </c>
      <c r="N1324" t="inlineStr">
        <is>
          <t>Hombask | Decorations/Orbiter Decorations</t>
        </is>
      </c>
      <c r="O1324" t="inlineStr">
        <is>
          <t>We copied where it comes from off the wiki page. See place from wiki page.</t>
        </is>
      </c>
    </row>
    <row r="1325">
      <c r="A1325" t="inlineStr">
        <is>
          <t>/Lotus/Types/Items/ShipDecos/NewWar/LisetPropZarTechTablet</t>
        </is>
      </c>
      <c r="B1325" t="inlineStr">
        <is>
          <t>Zariman Tablet</t>
        </is>
      </c>
      <c r="C1325" t="inlineStr">
        <is>
          <t>https://wiki.warframe.com/w/Voidtongue | https://wiki.warframe.com/w/Lephantis | https://wiki.warframe.com/w/Galleria | https://wiki.warframe.com/w/Decorations/Orbiter_Decorations</t>
        </is>
      </c>
      <c r="D1325" t="inlineStr">
        <is>
          <t>ExportResources</t>
        </is>
      </c>
      <c r="F1325" t="inlineStr">
        <is>
          <t>Zariman Tablet</t>
        </is>
      </c>
      <c r="H1325" t="inlineStr">
        <is>
          <t>Solved: current place verified and archived 2026-10-16.</t>
        </is>
      </c>
      <c r="I1325" t="inlineStr">
        <is>
          <t>Resources</t>
        </is>
      </c>
      <c r="M1325" t="inlineStr">
        <is>
          <t>In-game Market for 35 Platinum.</t>
        </is>
      </c>
      <c r="N1325" t="inlineStr">
        <is>
          <t>Voidtongue | Lephantis | Galleria | Decorations/Orbiter Decorations</t>
        </is>
      </c>
      <c r="O1325" t="inlineStr">
        <is>
          <t>We copied where it comes from off the wiki page. See place from wiki page.</t>
        </is>
      </c>
    </row>
    <row r="1326">
      <c r="A1326" t="inlineStr">
        <is>
          <t>/Lotus/Types/Items/MiscItems/AntiSerumInjector</t>
        </is>
      </c>
      <c r="B1326" t="inlineStr">
        <is>
          <t>Zealot Derelict Code</t>
        </is>
      </c>
      <c r="C1326" t="inlineStr">
        <is>
          <t>https://wiki.warframe.com/w/Zealot_Derelict_Code</t>
        </is>
      </c>
      <c r="D1326" t="inlineStr">
        <is>
          <t>ExportResources</t>
        </is>
      </c>
      <c r="G1326" t="inlineStr">
        <is>
          <t>Zealot Derelict Code</t>
        </is>
      </c>
      <c r="H1326" t="inlineStr">
        <is>
          <t>Solved: current place verified and archived 2026-10-16.</t>
        </is>
      </c>
      <c r="I1326" t="inlineStr">
        <is>
          <t>Resources</t>
        </is>
      </c>
      <c r="J1326" t="inlineStr">
        <is>
          <t>Resources_data</t>
        </is>
      </c>
      <c r="K1326" t="inlineStr">
        <is>
          <t>Resources/data</t>
        </is>
      </c>
      <c r="L1326" t="inlineStr">
        <is>
          <t>listed, no place</t>
        </is>
      </c>
      <c r="M1326" t="inlineStr">
        <is>
          <t>Not currently obtainable.</t>
        </is>
      </c>
      <c r="N1326" t="inlineStr">
        <is>
          <t>Zealot Derelict Code</t>
        </is>
      </c>
      <c r="O1326" t="inlineStr">
        <is>
          <t>Saved a concrete acquisition place from the official Warframe Wiki.</t>
        </is>
      </c>
    </row>
    <row r="1327">
      <c r="A1327" t="inlineStr">
        <is>
          <t>/Lotus/Types/Items/ShipDecos/Plushies/PlushyZekeHuman</t>
        </is>
      </c>
      <c r="B1327" t="inlineStr">
        <is>
          <t>Zeke Floof</t>
        </is>
      </c>
      <c r="C1327" t="inlineStr">
        <is>
          <t>https://wiki.warframe.com/w/Technocyte_Coda/Rewards | https://wiki.warframe.com/w/Adversary_System | https://wiki.warframe.com/w/Decorations/Orbiter_Decorations</t>
        </is>
      </c>
      <c r="D1327" t="inlineStr">
        <is>
          <t>ExportResources</t>
        </is>
      </c>
      <c r="F1327" t="inlineStr">
        <is>
          <t>Zeke Floof</t>
        </is>
      </c>
      <c r="H1327" t="inlineStr">
        <is>
          <t>Solved: current place verified and archived 2026-10-16.</t>
        </is>
      </c>
      <c r="I1327" t="inlineStr">
        <is>
          <t>Resources</t>
        </is>
      </c>
      <c r="M1327" t="inlineStr">
        <is>
          <t>Reward from vanquishing a Technocyte Coda (each Coda drops one Floof or Poster).</t>
        </is>
      </c>
      <c r="N1327" t="inlineStr">
        <is>
          <t>Technocyte Coda/Rewards</t>
        </is>
      </c>
      <c r="O1327" t="inlineStr">
        <is>
          <t>Saved a concrete acquisition place from the official Warframe Wiki. Rewards page: Coda pulls its second cosmetic drop from a Floof or Poster pool.</t>
        </is>
      </c>
    </row>
    <row r="1328">
      <c r="A1328" t="inlineStr">
        <is>
          <t>/Lotus/Types/Items/MiscItems/CustomizationSlotUnlocker</t>
        </is>
      </c>
      <c r="B1328" t="inlineStr">
        <is>
          <t>additional appearance config slot for this item</t>
        </is>
      </c>
      <c r="D1328" t="inlineStr">
        <is>
          <t>ExportResources</t>
        </is>
      </c>
      <c r="F1328" t="inlineStr">
        <is>
          <t>additional appearance config slot for this item</t>
        </is>
      </c>
      <c r="H1328" t="inlineStr">
        <is>
          <t>Solved: current place verified and archived 2026-10-16.</t>
        </is>
      </c>
      <c r="I1328" t="inlineStr">
        <is>
          <t>Resources</t>
        </is>
      </c>
      <c r="M1328" t="inlineStr">
        <is>
          <t>In-game Arsenal for 10 Platinum, at Mastery Rank 10 or above.</t>
        </is>
      </c>
      <c r="O1328" t="inlineStr">
        <is>
          <t>No wiki page uses this exact name.</t>
        </is>
      </c>
    </row>
    <row r="1329">
      <c r="A1329" t="inlineStr">
        <is>
          <t>/Lotus/Types/Items/MiscItems/ModSlotUnlocker</t>
        </is>
      </c>
      <c r="B1329" t="inlineStr">
        <is>
          <t>additional mod config slot for this item</t>
        </is>
      </c>
      <c r="D1329" t="inlineStr">
        <is>
          <t>ExportResources</t>
        </is>
      </c>
      <c r="F1329" t="inlineStr">
        <is>
          <t>additional mod config slot for this item</t>
        </is>
      </c>
      <c r="H1329" t="inlineStr">
        <is>
          <t>Solved: current place verified and archived 2026-10-16.</t>
        </is>
      </c>
      <c r="I1329" t="inlineStr">
        <is>
          <t>Resources</t>
        </is>
      </c>
      <c r="M1329" t="inlineStr">
        <is>
          <t>In-game Arsenal for 10 Platinum, at Mastery Rank 10 or above.</t>
        </is>
      </c>
      <c r="O1329" t="inlineStr">
        <is>
          <t>No wiki page uses this exact name.</t>
        </is>
      </c>
    </row>
    <row r="1330">
      <c r="A1330" t="inlineStr">
        <is>
          <t>/Lotus/Powersuits/Archwing/DemolitionJetPack/ExhaustTrailAugmentCard</t>
        </is>
      </c>
      <c r="B1330" t="inlineStr">
        <is>
          <t>Afterburner</t>
        </is>
      </c>
      <c r="C1330" t="inlineStr">
        <is>
          <t>https://wiki.warframe.com/w/Afterburner | https://wiki.warframe.com/w/Cold_Snap</t>
        </is>
      </c>
      <c r="D1330" t="inlineStr">
        <is>
          <t>ExportUpgrades</t>
        </is>
      </c>
      <c r="G1330" t="inlineStr">
        <is>
          <t>Afterburner</t>
        </is>
      </c>
      <c r="H1330" t="inlineStr">
        <is>
          <t>Solved: current place verified and archived 2026-10-16.</t>
        </is>
      </c>
      <c r="I1330" t="inlineStr">
        <is>
          <t>Upgrades</t>
        </is>
      </c>
      <c r="J1330" t="inlineStr">
        <is>
          <t>Ability_data, Mods_data, Tooltips_data_Ability</t>
        </is>
      </c>
      <c r="K1330" t="inlineStr">
        <is>
          <t>Mods/data</t>
        </is>
      </c>
      <c r="L1330" t="inlineStr">
        <is>
          <t>listed, no place</t>
        </is>
      </c>
      <c r="M1330" t="inlineStr">
        <is>
          <t>Defeat Eximus units in Archwing missions.</t>
        </is>
      </c>
      <c r="N1330" t="inlineStr">
        <is>
          <t>Afterburner | Cold Snap</t>
        </is>
      </c>
      <c r="O1330" t="inlineStr">
        <is>
          <t>Saved a concrete acquisition place from the official Warframe Wiki.</t>
        </is>
      </c>
    </row>
    <row r="1331">
      <c r="A1331" t="inlineStr">
        <is>
          <t>/Lotus/Upgrades/Mods/Warframe/AvatarDamageResistancePoison</t>
        </is>
      </c>
      <c r="B1331" t="inlineStr">
        <is>
          <t>Antitoxin</t>
        </is>
      </c>
      <c r="C1331" t="inlineStr">
        <is>
          <t>https://wiki.warframe.com/w/Antitoxin_(Mod)</t>
        </is>
      </c>
      <c r="D1331" t="inlineStr">
        <is>
          <t>ExportUpgrades</t>
        </is>
      </c>
      <c r="G1331" t="inlineStr">
        <is>
          <t>Antitoxin (Mod)</t>
        </is>
      </c>
      <c r="H1331" t="inlineStr">
        <is>
          <t>Solved: current place verified and archived 2026-10-16.</t>
        </is>
      </c>
      <c r="I1331" t="inlineStr">
        <is>
          <t>Upgrades</t>
        </is>
      </c>
      <c r="J1331" t="inlineStr">
        <is>
          <t>Dropped by Vapos Fusion MOA (5.53%) | Dropped by Fusion MOA (5.53%) | Found in Void Treasure Room Storage Container (0.4252%) | Tier 1 The Circuit (Normal) reward, rotation A (0.67%) | Tier 3 The Circuit (Normal) reward, rotation A (0.67%)</t>
        </is>
      </c>
      <c r="K1331" t="inlineStr">
        <is>
          <t>DropTables/data</t>
        </is>
      </c>
      <c r="L1331" t="inlineStr">
        <is>
          <t>name</t>
        </is>
      </c>
      <c r="M1331" t="inlineStr">
        <is>
          <t>The Circuit (Duviri) Normal Tier 1 and Tier 3 rewards, rotation A (0.67%); also dropped by Fusion MOA and Vapos Fusion MOA.</t>
        </is>
      </c>
      <c r="N1331" t="inlineStr">
        <is>
          <t>Antitoxin (Mod)</t>
        </is>
      </c>
      <c r="O1331" t="inlineStr">
        <is>
          <t>Saved a concrete acquisition place from the official Warframe Wiki.</t>
        </is>
      </c>
    </row>
    <row r="1332">
      <c r="A1332" t="inlineStr">
        <is>
          <t>/Lotus/Powersuits/Archwing/StealthJetPack/GravInstabilityAugmentCard</t>
        </is>
      </c>
      <c r="B1332" t="inlineStr">
        <is>
          <t>Cold Snap</t>
        </is>
      </c>
      <c r="C1332" t="inlineStr">
        <is>
          <t>https://wiki.warframe.com/w/Afterburner | https://wiki.warframe.com/w/Cold_Snap</t>
        </is>
      </c>
      <c r="D1332" t="inlineStr">
        <is>
          <t>ExportUpgrades</t>
        </is>
      </c>
      <c r="G1332" t="inlineStr">
        <is>
          <t>Cold Snap</t>
        </is>
      </c>
      <c r="H1332" t="inlineStr">
        <is>
          <t>Solved: current place verified and archived 2026-10-16.</t>
        </is>
      </c>
      <c r="I1332" t="inlineStr">
        <is>
          <t>Upgrades</t>
        </is>
      </c>
      <c r="J1332" t="inlineStr">
        <is>
          <t>Ability_data, Mods_data, Tooltips_data_Ability</t>
        </is>
      </c>
      <c r="K1332" t="inlineStr">
        <is>
          <t>Mods/data</t>
        </is>
      </c>
      <c r="L1332" t="inlineStr">
        <is>
          <t>listed, no place</t>
        </is>
      </c>
      <c r="M1332" t="inlineStr">
        <is>
          <t>Defeat Eximus units in Archwing missions.</t>
        </is>
      </c>
      <c r="N1332" t="inlineStr">
        <is>
          <t>Afterburner | Cold Snap</t>
        </is>
      </c>
      <c r="O1332" t="inlineStr">
        <is>
          <t>Saved a concrete acquisition place from the official Warframe Wiki.</t>
        </is>
      </c>
    </row>
    <row r="1333">
      <c r="A1333" t="inlineStr">
        <is>
          <t>/Lotus/Weapons/Tenno/Melee/MeleeTrees/BayonetCmbOneMeleeTree</t>
        </is>
      </c>
      <c r="B1333" t="inlineStr">
        <is>
          <t>Harrowing Spire</t>
        </is>
      </c>
      <c r="C1333" t="inlineStr">
        <is>
          <t>https://wiki.warframe.com/w/Harrowing_Spire</t>
        </is>
      </c>
      <c r="D1333" t="inlineStr">
        <is>
          <t>ExportUpgrades</t>
        </is>
      </c>
      <c r="G1333" t="inlineStr">
        <is>
          <t>Harrowing Spire</t>
        </is>
      </c>
      <c r="H1333" t="inlineStr">
        <is>
          <t>Solved: current place verified and archived 2026-10-16.</t>
        </is>
      </c>
      <c r="I1333" t="inlineStr">
        <is>
          <t>Upgrades</t>
        </is>
      </c>
      <c r="J1333" t="inlineStr">
        <is>
          <t>Mods_data, Stances_data</t>
        </is>
      </c>
      <c r="K1333" t="inlineStr">
        <is>
          <t>Mods/data</t>
        </is>
      </c>
      <c r="L1333" t="inlineStr">
        <is>
          <t>listed, no place</t>
        </is>
      </c>
      <c r="M1333" t="inlineStr">
        <is>
          <t>1% chance from Storage Containers in The Descendia.</t>
        </is>
      </c>
      <c r="N1333" t="inlineStr">
        <is>
          <t>Harrowing Spire</t>
        </is>
      </c>
      <c r="O1333" t="inlineStr">
        <is>
          <t>Saved a concrete acquisition place from the official Warframe Wiki.</t>
        </is>
      </c>
    </row>
    <row r="1334">
      <c r="A1334" t="inlineStr">
        <is>
          <t>/Lotus/Upgrades/Mods/Immortal/ImmortalWildcardMod</t>
        </is>
      </c>
      <c r="B1334" t="inlineStr">
        <is>
          <t>Oull</t>
        </is>
      </c>
      <c r="C1334" t="inlineStr">
        <is>
          <t>https://wiki.warframe.com/w/Requiem_Mods</t>
        </is>
      </c>
      <c r="D1334" t="inlineStr">
        <is>
          <t>ExportUpgrades</t>
        </is>
      </c>
      <c r="G1334" t="inlineStr">
        <is>
          <t>Oull</t>
        </is>
      </c>
      <c r="H1334" t="inlineStr">
        <is>
          <t>Solved: current place verified and archived 2026-10-16.</t>
        </is>
      </c>
      <c r="I1334" t="inlineStr">
        <is>
          <t>Upgrades</t>
        </is>
      </c>
      <c r="J1334" t="inlineStr">
        <is>
          <t>Mods_data</t>
        </is>
      </c>
      <c r="K1334" t="inlineStr">
        <is>
          <t>Mods/data</t>
        </is>
      </c>
      <c r="L1334" t="inlineStr">
        <is>
          <t>listed, no place</t>
        </is>
      </c>
      <c r="M1334" t="inlineStr">
        <is>
          <t>25% drop when the correct Requiem sequence makes your Kuva Lich or Sister of Parvos flee; also from transmuting four Requiem Mods.</t>
        </is>
      </c>
      <c r="N1334" t="inlineStr">
        <is>
          <t>Requiem Mods</t>
        </is>
      </c>
      <c r="O1334" t="inlineStr">
        <is>
          <t>Saved a concrete acquisition place from the official Warframe Wiki.</t>
        </is>
      </c>
    </row>
    <row r="1335">
      <c r="A1335" t="inlineStr">
        <is>
          <t>/Lotus/Upgrades/Mods/Warframe/Expert/AvatarAbilityEfficiencyModExpert</t>
        </is>
      </c>
      <c r="B1335" t="inlineStr">
        <is>
          <t>Primed Streamline</t>
        </is>
      </c>
      <c r="C1335" t="inlineStr">
        <is>
          <t>https://wiki.warframe.com/w/Primed_Streamline</t>
        </is>
      </c>
      <c r="D1335" t="inlineStr">
        <is>
          <t>ExportUpgrades</t>
        </is>
      </c>
      <c r="G1335" t="inlineStr">
        <is>
          <t>Primed Streamline</t>
        </is>
      </c>
      <c r="H1335" t="inlineStr">
        <is>
          <t>Solved: current place verified and archived 2026-10-16.</t>
        </is>
      </c>
      <c r="I1335" t="inlineStr">
        <is>
          <t>Upgrades</t>
        </is>
      </c>
      <c r="J1335" t="inlineStr">
        <is>
          <t>Mods_data</t>
        </is>
      </c>
      <c r="K1335" t="inlineStr">
        <is>
          <t>Mods/data</t>
        </is>
      </c>
      <c r="L1335" t="inlineStr">
        <is>
          <t>listed, no place</t>
        </is>
      </c>
      <c r="M1335" t="inlineStr">
        <is>
          <t>Not currently obtainable.</t>
        </is>
      </c>
      <c r="N1335" t="inlineStr">
        <is>
          <t>Primed Streamline</t>
        </is>
      </c>
      <c r="O1335" t="inlineStr">
        <is>
          <t>Saved a concrete acquisition place from the official Warframe Wiki.</t>
        </is>
      </c>
    </row>
    <row r="1336">
      <c r="A1336" t="inlineStr">
        <is>
          <t>/Lotus/Upgrades/Mods/Sentinel/SentinelRepairKitMod</t>
        </is>
      </c>
      <c r="B1336" t="inlineStr">
        <is>
          <t>Repair Kit</t>
        </is>
      </c>
      <c r="C1336" t="inlineStr">
        <is>
          <t>https://wiki.warframe.com/w/Repair_Kit</t>
        </is>
      </c>
      <c r="D1336" t="inlineStr">
        <is>
          <t>ExportUpgrades</t>
        </is>
      </c>
      <c r="G1336" t="inlineStr">
        <is>
          <t>Repair Kit</t>
        </is>
      </c>
      <c r="H1336" t="inlineStr">
        <is>
          <t>Solved: current place verified and archived 2026-10-16.</t>
        </is>
      </c>
      <c r="I1336" t="inlineStr">
        <is>
          <t>Upgrades</t>
        </is>
      </c>
      <c r="J1336" t="inlineStr">
        <is>
          <t>Mods_data</t>
        </is>
      </c>
      <c r="K1336" t="inlineStr">
        <is>
          <t>Mods/data</t>
        </is>
      </c>
      <c r="L1336" t="inlineStr">
        <is>
          <t>listed, no place</t>
        </is>
      </c>
      <c r="M1336" t="inlineStr">
        <is>
          <t>Occasional drop from Domestik Drones on Corpus Gas City and Corpus Ship tilesets.</t>
        </is>
      </c>
      <c r="N1336" t="inlineStr">
        <is>
          <t>Repair Kit</t>
        </is>
      </c>
      <c r="O1336" t="inlineStr">
        <is>
          <t>Saved a concrete acquisition place from the official Warframe Wiki.</t>
        </is>
      </c>
    </row>
    <row r="1337">
      <c r="A1337" t="inlineStr">
        <is>
          <t>/Lotus/Types/Sentinels/SentinelPrecepts/Sanctuary</t>
        </is>
      </c>
      <c r="B1337" t="inlineStr">
        <is>
          <t>Sanctuary</t>
        </is>
      </c>
      <c r="C1337" t="inlineStr">
        <is>
          <t>https://wiki.warframe.com/w/Sanctuary_(Mod)</t>
        </is>
      </c>
      <c r="D1337" t="inlineStr">
        <is>
          <t>ExportUpgrades</t>
        </is>
      </c>
      <c r="G1337" t="inlineStr">
        <is>
          <t>Sanctuary (Mod)</t>
        </is>
      </c>
      <c r="H1337" t="inlineStr">
        <is>
          <t>Solved: current place verified and archived 2026-10-16.</t>
        </is>
      </c>
      <c r="I1337" t="inlineStr">
        <is>
          <t>Upgrades</t>
        </is>
      </c>
      <c r="J1337" t="inlineStr">
        <is>
          <t>Dropped by Bombard (0.5%) | Dropped by Tusk Bombard (0.5%) | Dropped by Tusk Mortar Bombard (0.5%) | Dropped by Kuva Bombard (0.5%) | Dropped by Narmer Bombard (0.5%) | Found in Void Treasure Room Storage Container (0.1058%)</t>
        </is>
      </c>
      <c r="K1337" t="inlineStr">
        <is>
          <t>DropTables/data</t>
        </is>
      </c>
      <c r="L1337" t="inlineStr">
        <is>
          <t>name</t>
        </is>
      </c>
      <c r="M1337" t="inlineStr">
        <is>
          <t>Dropped by Bombard, Kuva Bombard, Narmer Bombard, Tusk Bombard and Tusk Mortar Bombard (0.5% chance).</t>
        </is>
      </c>
      <c r="N1337" t="inlineStr">
        <is>
          <t>Sanctuary (Mod)</t>
        </is>
      </c>
      <c r="O1337" t="inlineStr">
        <is>
          <t>Saved a concrete acquisition place from the official Warframe Wiki.</t>
        </is>
      </c>
    </row>
    <row r="1338">
      <c r="A1338" t="inlineStr">
        <is>
          <t>/Lotus/Upgrades/Mods/TransmuteCores/BaseTransmuteCore</t>
        </is>
      </c>
      <c r="B1338" t="inlineStr">
        <is>
          <t>Transmute Core</t>
        </is>
      </c>
      <c r="C1338" t="inlineStr">
        <is>
          <t>https://wiki.warframe.com/w/Transmutation | https://wiki.warframe.com/w/Cephalon_Simaris | https://wiki.warframe.com/w/RNG | https://wiki.warframe.com/w/Madurai_Transmute_Core | https://wiki.warframe.com/w/Naramon_Transmute_Core | https://wiki.warframe.com/w/Vazarin_Transmute_Core | https://wiki.warframe.com/w/Tactical_Alert/Archive</t>
        </is>
      </c>
      <c r="D1338" t="inlineStr">
        <is>
          <t>ExportUpgrades</t>
        </is>
      </c>
      <c r="F1338" t="inlineStr">
        <is>
          <t>Transmute Core</t>
        </is>
      </c>
      <c r="H1338" t="inlineStr">
        <is>
          <t>Solved: current place verified and archived 2026-10-16.</t>
        </is>
      </c>
      <c r="I1338" t="inlineStr">
        <is>
          <t>Upgrades</t>
        </is>
      </c>
      <c r="L1338" t="inlineStr">
        <is>
          <t>DropTables_data, Flaicher_DropTables_data, Mods_data, Vendors_data, drop_reverse_index_v2</t>
        </is>
      </c>
      <c r="M1338" t="inlineStr">
        <is>
          <t>Purchase Madurai, Naramon and Vazarin Transmute Cores from Cephalon Simaris for 5,000 Standing each.</t>
        </is>
      </c>
      <c r="N1338" t="inlineStr">
        <is>
          <t>Transmutation | Cephalon Simaris</t>
        </is>
      </c>
      <c r="O1338" t="inlineStr">
        <is>
          <t>Saved a concrete acquisition place from the official Warframe Wiki. Transmutation and Cephalon Simaris offerings.</t>
        </is>
      </c>
    </row>
    <row r="1339">
      <c r="A1339" t="inlineStr">
        <is>
          <t>/Lotus/Types/Friendly/Pets/ZanukaPets/ZanukaPetParts/ZanukaPetPartBodyA</t>
        </is>
      </c>
      <c r="B1339" t="inlineStr">
        <is>
          <t>Adlet Core</t>
        </is>
      </c>
      <c r="C1339" t="inlineStr">
        <is>
          <t>https://wiki.warframe.com/w/Spectral_Debris</t>
        </is>
      </c>
      <c r="D1339" t="inlineStr">
        <is>
          <t>ExportWeapons</t>
        </is>
      </c>
      <c r="F1339" t="inlineStr">
        <is>
          <t>Adlet Core</t>
        </is>
      </c>
      <c r="H1339" t="inlineStr">
        <is>
          <t>Solved: current place verified and archived 2026-10-16.</t>
        </is>
      </c>
      <c r="I1339" t="inlineStr">
        <is>
          <t>Weapons</t>
        </is>
      </c>
      <c r="M1339" t="inlineStr">
        <is>
          <t>Blueprint from vanquishing a Sister of Parvos (or trading); build it in the Foundry.</t>
        </is>
      </c>
      <c r="N1339" t="inlineStr">
        <is>
          <t>Hound (Companion)</t>
        </is>
      </c>
      <c r="O1339" t="inlineStr">
        <is>
          <t>Saved a concrete acquisition place from the official Warframe Wiki. Hound (Companion) Crafting section.</t>
        </is>
      </c>
    </row>
    <row r="1340">
      <c r="A1340" t="inlineStr">
        <is>
          <t>/Lotus/Powersuits/Ranger/PrimeExaltedBow</t>
        </is>
      </c>
      <c r="B1340" t="inlineStr">
        <is>
          <t>Artemis Bow Prime</t>
        </is>
      </c>
      <c r="C1340" t="inlineStr">
        <is>
          <t>https://wiki.warframe.com/w/Artemis_Bow_(Weapon)</t>
        </is>
      </c>
      <c r="D1340" t="inlineStr">
        <is>
          <t>ExportWeapons</t>
        </is>
      </c>
      <c r="G1340" t="inlineStr">
        <is>
          <t>Artemis Bow (Weapon)</t>
        </is>
      </c>
      <c r="H1340" t="inlineStr">
        <is>
          <t>Solved: current place verified and archived 2026-10-16.</t>
        </is>
      </c>
      <c r="I1340" t="inlineStr">
        <is>
          <t>Weapons</t>
        </is>
      </c>
      <c r="J1340" t="inlineStr">
        <is>
          <t>Cosmetics_data, Cosmetics_userdata, Weapons_data, Weapons_data_primary, Weapons_ppdata</t>
        </is>
      </c>
      <c r="K1340" t="inlineStr">
        <is>
          <t>Weapons/data/primary</t>
        </is>
      </c>
      <c r="L1340" t="inlineStr">
        <is>
          <t>listed, no place</t>
        </is>
      </c>
      <c r="M1340" t="inlineStr">
        <is>
          <t>Ivara Prime's signature Exalted Weapon, summoned by the Artemis Bow ability.</t>
        </is>
      </c>
      <c r="N1340" t="inlineStr">
        <is>
          <t>Artemis Bow (Weapon)</t>
        </is>
      </c>
      <c r="O1340" t="inlineStr">
        <is>
          <t>Saved a concrete acquisition place from the official Warframe Wiki.</t>
        </is>
      </c>
    </row>
    <row r="1341">
      <c r="A1341" t="inlineStr">
        <is>
          <t>/Lotus/Weapons/SolarisUnited/Primary/SUModularPrimarySet1/Handles/SUModularPrimaryHandleAPart</t>
        </is>
      </c>
      <c r="B1341" t="inlineStr">
        <is>
          <t>Brash</t>
        </is>
      </c>
      <c r="C1341" t="inlineStr">
        <is>
          <t>https://wiki.warframe.com/w/Brash | https://wiki.warframe.com/w/Shrewd</t>
        </is>
      </c>
      <c r="D1341" t="inlineStr">
        <is>
          <t>ExportWeapons</t>
        </is>
      </c>
      <c r="F1341" t="inlineStr">
        <is>
          <t>Brash</t>
        </is>
      </c>
      <c r="G1341" t="inlineStr">
        <is>
          <t>Brash</t>
        </is>
      </c>
      <c r="H1341" t="inlineStr">
        <is>
          <t>Solved: current place verified and archived 2026-10-16.</t>
        </is>
      </c>
      <c r="I1341" t="inlineStr">
        <is>
          <t>Weapons</t>
        </is>
      </c>
      <c r="J1341" t="inlineStr">
        <is>
          <t>Modular_data</t>
        </is>
      </c>
      <c r="K1341" t="inlineStr">
        <is>
          <t>Modular/data</t>
        </is>
      </c>
      <c r="L1341" t="inlineStr">
        <is>
          <t>listed, no place</t>
        </is>
      </c>
      <c r="M1341" t="inlineStr">
        <is>
          <t>Purchase the blueprint from Rude Zuud in Fortuna for 1,000 Solaris United Standing.</t>
        </is>
      </c>
      <c r="N1341" t="inlineStr">
        <is>
          <t>Brash | Shrewd</t>
        </is>
      </c>
      <c r="O1341" t="inlineStr">
        <is>
          <t>Saved a concrete acquisition place from the official Warframe Wiki.</t>
        </is>
      </c>
    </row>
    <row r="1342">
      <c r="A1342" t="inlineStr">
        <is>
          <t>/Lotus/Types/Friendly/Pets/ZanukaPets/ZanukaPetParts/ZanukaPetPartLegsA</t>
        </is>
      </c>
      <c r="B1342" t="inlineStr">
        <is>
          <t>Cela Bracket</t>
        </is>
      </c>
      <c r="C1342" t="inlineStr">
        <is>
          <t>https://wiki.warframe.com/w/Hound_(Companion) | https://wiki.warframe.com/w/Reflex_Denial | https://wiki.warframe.com/w/Sola_Toroid</t>
        </is>
      </c>
      <c r="D1342" t="inlineStr">
        <is>
          <t>ExportWeapons</t>
        </is>
      </c>
      <c r="F1342" t="inlineStr">
        <is>
          <t>Cela Bracket</t>
        </is>
      </c>
      <c r="H1342" t="inlineStr">
        <is>
          <t>Solved: current place verified and archived 2026-10-16.</t>
        </is>
      </c>
      <c r="I1342" t="inlineStr">
        <is>
          <t>Weapons</t>
        </is>
      </c>
      <c r="M1342" t="inlineStr">
        <is>
          <t>Blueprint from vanquishing a Sister of Parvos (or trading); build it in the Foundry.</t>
        </is>
      </c>
      <c r="N1342" t="inlineStr">
        <is>
          <t>Hound (Companion)</t>
        </is>
      </c>
      <c r="O1342" t="inlineStr">
        <is>
          <t>Saved a concrete acquisition place from the official Warframe Wiki. Hound (Companion) Crafting section.</t>
        </is>
      </c>
    </row>
    <row r="1343">
      <c r="A1343" t="inlineStr">
        <is>
          <t>/Lotus/Powersuits/Excalibur/DoomSwordPrime</t>
        </is>
      </c>
      <c r="B1343" t="inlineStr">
        <is>
          <t>Exalted Prime Blade</t>
        </is>
      </c>
      <c r="C1343" t="inlineStr">
        <is>
          <t>https://wiki.warframe.com/w/Exalted_Blade_(Weapon)</t>
        </is>
      </c>
      <c r="D1343" t="inlineStr">
        <is>
          <t>ExportWeapons</t>
        </is>
      </c>
      <c r="G1343" t="inlineStr">
        <is>
          <t>Exalted Blade (Weapon)</t>
        </is>
      </c>
      <c r="H1343" t="inlineStr">
        <is>
          <t>Solved: current place verified and archived 2026-10-16.</t>
        </is>
      </c>
      <c r="I1343" t="inlineStr">
        <is>
          <t>Weapons</t>
        </is>
      </c>
      <c r="J1343" t="inlineStr">
        <is>
          <t>Weapons_data, Weapons_data_melee, Weapons_ppdata</t>
        </is>
      </c>
      <c r="K1343" t="inlineStr">
        <is>
          <t>Weapons/data/melee</t>
        </is>
      </c>
      <c r="L1343" t="inlineStr">
        <is>
          <t>listed, no place</t>
        </is>
      </c>
      <c r="M1343" t="inlineStr">
        <is>
          <t>Automatically available with Excalibur Prime after unlocking the Exalted Blade ability.</t>
        </is>
      </c>
      <c r="N1343" t="inlineStr">
        <is>
          <t>Exalted Blade (Weapon)</t>
        </is>
      </c>
      <c r="O1343" t="inlineStr">
        <is>
          <t>Saved a concrete acquisition place from the official Warframe Wiki.</t>
        </is>
      </c>
    </row>
    <row r="1344">
      <c r="A1344" t="inlineStr">
        <is>
          <t>/Lotus/Types/Friendly/Pets/ZanukaPets/ZanukaPetParts/ZanukaPetPartTailC</t>
        </is>
      </c>
      <c r="B1344" t="inlineStr">
        <is>
          <t>Frak Stabilizer</t>
        </is>
      </c>
      <c r="C1344" t="inlineStr">
        <is>
          <t>https://wiki.warframe.com/w/Hound_(Companion) | https://wiki.warframe.com/w/Focused_Prospectus</t>
        </is>
      </c>
      <c r="D1344" t="inlineStr">
        <is>
          <t>ExportWeapons</t>
        </is>
      </c>
      <c r="F1344" t="inlineStr">
        <is>
          <t>Frak Stabilizer</t>
        </is>
      </c>
      <c r="H1344" t="inlineStr">
        <is>
          <t>Solved: current place verified and archived 2026-10-16.</t>
        </is>
      </c>
      <c r="I1344" t="inlineStr">
        <is>
          <t>Weapons</t>
        </is>
      </c>
      <c r="M1344" t="inlineStr">
        <is>
          <t>Blueprint from vanquishing a Sister of Parvos (or trading); build it in the Foundry.</t>
        </is>
      </c>
      <c r="N1344" t="inlineStr">
        <is>
          <t>Hound (Companion)</t>
        </is>
      </c>
      <c r="O1344" t="inlineStr">
        <is>
          <t>Saved a concrete acquisition place from the official Warframe Wiki. Hound (Companion) Crafting section.</t>
        </is>
      </c>
    </row>
    <row r="1345">
      <c r="A1345" t="inlineStr">
        <is>
          <t>/Lotus/Types/Friendly/Pets/ZanukaPets/ZanukaPetParts/ZanukaPetPartBodyB</t>
        </is>
      </c>
      <c r="B1345" t="inlineStr">
        <is>
          <t>Garmr Core</t>
        </is>
      </c>
      <c r="C1345" t="inlineStr">
        <is>
          <t>https://wiki.warframe.com/w/Devolved_Namalon | https://wiki.warframe.com/w/Spectral_Debris</t>
        </is>
      </c>
      <c r="D1345" t="inlineStr">
        <is>
          <t>ExportWeapons</t>
        </is>
      </c>
      <c r="F1345" t="inlineStr">
        <is>
          <t>Garmr Core</t>
        </is>
      </c>
      <c r="H1345" t="inlineStr">
        <is>
          <t>Solved: current place verified and archived 2026-10-16.</t>
        </is>
      </c>
      <c r="I1345" t="inlineStr">
        <is>
          <t>Weapons</t>
        </is>
      </c>
      <c r="M1345" t="inlineStr">
        <is>
          <t>Blueprint from vanquishing a Sister of Parvos (or trading); build it in the Foundry.</t>
        </is>
      </c>
      <c r="N1345" t="inlineStr">
        <is>
          <t>Hound (Companion)</t>
        </is>
      </c>
      <c r="O1345" t="inlineStr">
        <is>
          <t>Saved a concrete acquisition place from the official Warframe Wiki. Hound (Companion) Crafting section.</t>
        </is>
      </c>
    </row>
    <row r="1346">
      <c r="A1346" t="inlineStr">
        <is>
          <t>/Lotus/Types/Friendly/Pets/ZanukaPets/ZanukaPetParts/ZanukaPetPartTailB</t>
        </is>
      </c>
      <c r="B1346" t="inlineStr">
        <is>
          <t>Hinta Stabilizer</t>
        </is>
      </c>
      <c r="C1346" t="inlineStr">
        <is>
          <t>https://wiki.warframe.com/w/Hound_(Companion) | https://wiki.warframe.com/w/Synergized_Prospectus</t>
        </is>
      </c>
      <c r="D1346" t="inlineStr">
        <is>
          <t>ExportWeapons</t>
        </is>
      </c>
      <c r="F1346" t="inlineStr">
        <is>
          <t>Hinta Stabilizer</t>
        </is>
      </c>
      <c r="H1346" t="inlineStr">
        <is>
          <t>Solved: current place verified and archived 2026-10-16.</t>
        </is>
      </c>
      <c r="I1346" t="inlineStr">
        <is>
          <t>Weapons</t>
        </is>
      </c>
      <c r="M1346" t="inlineStr">
        <is>
          <t>Blueprint from vanquishing a Sister of Parvos (or trading); build it in the Foundry.</t>
        </is>
      </c>
      <c r="N1346" t="inlineStr">
        <is>
          <t>Hound (Companion)</t>
        </is>
      </c>
      <c r="O1346" t="inlineStr">
        <is>
          <t>Saved a concrete acquisition place from the official Warframe Wiki. Hound (Companion) Crafting section.</t>
        </is>
      </c>
    </row>
    <row r="1347">
      <c r="A1347" t="inlineStr">
        <is>
          <t>/Lotus/Types/Friendly/Pets/ZanukaPets/ZanukaPetParts/ZanukaPetPartBodyC</t>
        </is>
      </c>
      <c r="B1347" t="inlineStr">
        <is>
          <t>Raiju Core</t>
        </is>
      </c>
      <c r="C1347" t="inlineStr">
        <is>
          <t>https://wiki.warframe.com/w/Spectral_Debris</t>
        </is>
      </c>
      <c r="D1347" t="inlineStr">
        <is>
          <t>ExportWeapons</t>
        </is>
      </c>
      <c r="F1347" t="inlineStr">
        <is>
          <t>Raiju Core</t>
        </is>
      </c>
      <c r="H1347" t="inlineStr">
        <is>
          <t>Solved: current place verified and archived 2026-10-16.</t>
        </is>
      </c>
      <c r="I1347" t="inlineStr">
        <is>
          <t>Weapons</t>
        </is>
      </c>
      <c r="M1347" t="inlineStr">
        <is>
          <t>Blueprint from vanquishing a Sister of Parvos (or trading); build it in the Foundry.</t>
        </is>
      </c>
      <c r="N1347" t="inlineStr">
        <is>
          <t>Hound (Companion)</t>
        </is>
      </c>
      <c r="O1347" t="inlineStr">
        <is>
          <t>Saved a concrete acquisition place from the official Warframe Wiki. Hound (Companion) Crafting section.</t>
        </is>
      </c>
    </row>
    <row r="1348">
      <c r="A1348" t="inlineStr">
        <is>
          <t>/Lotus/Powersuits/Glass/GaraShankWeaponPrime</t>
        </is>
      </c>
      <c r="B1348" t="inlineStr">
        <is>
          <t>Shattered Lash Prime</t>
        </is>
      </c>
      <c r="C1348" t="inlineStr">
        <is>
          <t>https://wiki.warframe.com/w/Shattered_Lash_(Weapon)</t>
        </is>
      </c>
      <c r="D1348" t="inlineStr">
        <is>
          <t>ExportWeapons</t>
        </is>
      </c>
      <c r="G1348" t="inlineStr">
        <is>
          <t>Shattered Lash (Weapon)</t>
        </is>
      </c>
      <c r="H1348" t="inlineStr">
        <is>
          <t>Solved: current place verified and archived 2026-10-16.</t>
        </is>
      </c>
      <c r="I1348" t="inlineStr">
        <is>
          <t>Weapons</t>
        </is>
      </c>
      <c r="J1348" t="inlineStr">
        <is>
          <t>Weapons_data, Weapons_data_melee, Weapons_ppdata</t>
        </is>
      </c>
      <c r="K1348" t="inlineStr">
        <is>
          <t>Weapons/data/melee</t>
        </is>
      </c>
      <c r="L1348" t="inlineStr">
        <is>
          <t>listed, no place</t>
        </is>
      </c>
      <c r="M1348" t="inlineStr">
        <is>
          <t>Comes with Gara Prime and is used by her Shattered Lash ability.</t>
        </is>
      </c>
      <c r="N1348" t="inlineStr">
        <is>
          <t>Shattered Lash (Weapon)</t>
        </is>
      </c>
      <c r="O1348" t="inlineStr">
        <is>
          <t>Saved a concrete acquisition place from the official Warframe Wiki.</t>
        </is>
      </c>
    </row>
    <row r="1349">
      <c r="A1349" t="inlineStr">
        <is>
          <t>/Lotus/Weapons/SolarisUnited/Primary/SUModularPrimarySet1/Handles/SUModularPrimaryHandleBPart</t>
        </is>
      </c>
      <c r="B1349" t="inlineStr">
        <is>
          <t>Shrewd</t>
        </is>
      </c>
      <c r="C1349" t="inlineStr">
        <is>
          <t>https://wiki.warframe.com/w/Brash | https://wiki.warframe.com/w/Shrewd</t>
        </is>
      </c>
      <c r="D1349" t="inlineStr">
        <is>
          <t>ExportWeapons</t>
        </is>
      </c>
      <c r="F1349" t="inlineStr">
        <is>
          <t>Shrewd</t>
        </is>
      </c>
      <c r="G1349" t="inlineStr">
        <is>
          <t>Shrewd</t>
        </is>
      </c>
      <c r="H1349" t="inlineStr">
        <is>
          <t>Solved: current place verified and archived 2026-10-16.</t>
        </is>
      </c>
      <c r="I1349" t="inlineStr">
        <is>
          <t>Weapons</t>
        </is>
      </c>
      <c r="J1349" t="inlineStr">
        <is>
          <t>Modular_data</t>
        </is>
      </c>
      <c r="K1349" t="inlineStr">
        <is>
          <t>Modular/data</t>
        </is>
      </c>
      <c r="L1349" t="inlineStr">
        <is>
          <t>listed, no place</t>
        </is>
      </c>
      <c r="M1349" t="inlineStr">
        <is>
          <t>Purchase the blueprint from Rude Zuud in Fortuna for 1,000 Solaris United Standing.</t>
        </is>
      </c>
      <c r="N1349" t="inlineStr">
        <is>
          <t>Brash | Shrewd</t>
        </is>
      </c>
      <c r="O1349" t="inlineStr">
        <is>
          <t>Saved a concrete acquisition place from the official Warframe Wiki.</t>
        </is>
      </c>
    </row>
    <row r="1350">
      <c r="A1350" t="inlineStr">
        <is>
          <t>/Lotus/Weapons/SolarisUnited/Primary/SUModularPrimarySet1/Handles/SUModularPrimaryHandleDPart</t>
        </is>
      </c>
      <c r="B1350" t="inlineStr">
        <is>
          <t>Tremor</t>
        </is>
      </c>
      <c r="C1350" t="inlineStr">
        <is>
          <t>https://wiki.warframe.com/w/Tremor</t>
        </is>
      </c>
      <c r="D1350" t="inlineStr">
        <is>
          <t>ExportWeapons</t>
        </is>
      </c>
      <c r="F1350" t="inlineStr">
        <is>
          <t>Tremor</t>
        </is>
      </c>
      <c r="G1350" t="inlineStr">
        <is>
          <t>Tremor</t>
        </is>
      </c>
      <c r="H1350" t="inlineStr">
        <is>
          <t>Solved: current place verified and archived 2026-10-16.</t>
        </is>
      </c>
      <c r="I1350" t="inlineStr">
        <is>
          <t>Weapons</t>
        </is>
      </c>
      <c r="J1350" t="inlineStr">
        <is>
          <t>Modular_data</t>
        </is>
      </c>
      <c r="K1350" t="inlineStr">
        <is>
          <t>Modular/data</t>
        </is>
      </c>
      <c r="L1350" t="inlineStr">
        <is>
          <t>listed, no place</t>
        </is>
      </c>
      <c r="M1350" t="inlineStr">
        <is>
          <t>Purchase the blueprint from Rude Zuud in Fortuna for 2,000 Solaris United Standing.</t>
        </is>
      </c>
      <c r="N1350" t="inlineStr">
        <is>
          <t>Tremor</t>
        </is>
      </c>
      <c r="O1350" t="inlineStr">
        <is>
          <t>Saved a concrete acquisition place from the official Warframe Wiki.</t>
        </is>
      </c>
    </row>
    <row r="1351">
      <c r="A1351" t="inlineStr">
        <is>
          <t>/Lotus/Types/Friendly/Pets/ZanukaPets/ZanukaPetParts/ZanukaPetPartLegsB</t>
        </is>
      </c>
      <c r="B1351" t="inlineStr">
        <is>
          <t>Urga Bracket</t>
        </is>
      </c>
      <c r="C1351" t="inlineStr">
        <is>
          <t>https://wiki.warframe.com/w/Hound_(Companion) | https://wiki.warframe.com/w/Diversified_Denial | https://wiki.warframe.com/w/Brickie_Muon_Battery | https://wiki.warframe.com/w/Calda_Toroid</t>
        </is>
      </c>
      <c r="D1351" t="inlineStr">
        <is>
          <t>ExportWeapons</t>
        </is>
      </c>
      <c r="F1351" t="inlineStr">
        <is>
          <t>Urga Bracket</t>
        </is>
      </c>
      <c r="H1351" t="inlineStr">
        <is>
          <t>Solved: current place verified and archived 2026-10-16.</t>
        </is>
      </c>
      <c r="I1351" t="inlineStr">
        <is>
          <t>Weapons</t>
        </is>
      </c>
      <c r="M1351" t="inlineStr">
        <is>
          <t>Blueprint from vanquishing a Sister of Parvos (or trading); build it in the Foundry.</t>
        </is>
      </c>
      <c r="N1351" t="inlineStr">
        <is>
          <t>Hound (Companion)</t>
        </is>
      </c>
      <c r="O1351" t="inlineStr">
        <is>
          <t>Saved a concrete acquisition place from the official Warframe Wiki. Hound (Companion) Crafting section.</t>
        </is>
      </c>
    </row>
    <row r="1352">
      <c r="A1352" t="inlineStr">
        <is>
          <t>/Lotus/Types/Friendly/Pets/ZanukaPets/ZanukaPetParts/ZanukaPetPartTailA</t>
        </is>
      </c>
      <c r="B1352" t="inlineStr">
        <is>
          <t>Wanz Stabilizer</t>
        </is>
      </c>
      <c r="C1352" t="inlineStr">
        <is>
          <t>https://wiki.warframe.com/w/Aerial_Prospectus | https://wiki.warframe.com/w/Hound_(Companion)</t>
        </is>
      </c>
      <c r="D1352" t="inlineStr">
        <is>
          <t>ExportWeapons</t>
        </is>
      </c>
      <c r="F1352" t="inlineStr">
        <is>
          <t>Wanz Stabilizer</t>
        </is>
      </c>
      <c r="H1352" t="inlineStr">
        <is>
          <t>Solved: current place verified and archived 2026-10-16.</t>
        </is>
      </c>
      <c r="I1352" t="inlineStr">
        <is>
          <t>Weapons</t>
        </is>
      </c>
      <c r="M1352" t="inlineStr">
        <is>
          <t>Blueprint from vanquishing a Sister of Parvos (or trading); build it in the Foundry.</t>
        </is>
      </c>
      <c r="N1352" t="inlineStr">
        <is>
          <t>Hound (Companion)</t>
        </is>
      </c>
      <c r="O1352" t="inlineStr">
        <is>
          <t>Saved a concrete acquisition place from the official Warframe Wiki. Hound (Companion) Crafting section.</t>
        </is>
      </c>
    </row>
    <row r="1353">
      <c r="A1353" t="inlineStr">
        <is>
          <t>/Lotus/Powersuits/Khora/KhoraWhipclawWeaponPrime</t>
        </is>
      </c>
      <c r="B1353" t="inlineStr">
        <is>
          <t>Whipclaw Prime</t>
        </is>
      </c>
      <c r="C1353" t="inlineStr">
        <is>
          <t>https://wiki.warframe.com/w/Whipclaw_(Weapon)</t>
        </is>
      </c>
      <c r="D1353" t="inlineStr">
        <is>
          <t>ExportWeapons</t>
        </is>
      </c>
      <c r="G1353" t="inlineStr">
        <is>
          <t>Whipclaw (Weapon)</t>
        </is>
      </c>
      <c r="H1353" t="inlineStr">
        <is>
          <t>Solved: current place verified and archived 2026-10-16.</t>
        </is>
      </c>
      <c r="I1353" t="inlineStr">
        <is>
          <t>Weapons</t>
        </is>
      </c>
      <c r="J1353" t="inlineStr">
        <is>
          <t>Weapons_data, Weapons_data_melee, Weapons_ppdata</t>
        </is>
      </c>
      <c r="K1353" t="inlineStr">
        <is>
          <t>Weapons/data/melee</t>
        </is>
      </c>
      <c r="L1353" t="inlineStr">
        <is>
          <t>listed, no place</t>
        </is>
      </c>
      <c r="M1353" t="inlineStr">
        <is>
          <t>Comes with Khora Prime and is used by her Whipclaw ability.</t>
        </is>
      </c>
      <c r="N1353" t="inlineStr">
        <is>
          <t>Whipclaw (Weapon)</t>
        </is>
      </c>
      <c r="O1353" t="inlineStr">
        <is>
          <t>Saved a concrete acquisition place from the official Warframe Wiki.</t>
        </is>
      </c>
    </row>
    <row r="1354">
      <c r="A1354" t="inlineStr">
        <is>
          <t>/Lotus/Types/Friendly/Pets/ZanukaPets/ZanukaPetParts/ZanukaPetPartLegsC</t>
        </is>
      </c>
      <c r="B1354" t="inlineStr">
        <is>
          <t>Zubb Bracket</t>
        </is>
      </c>
      <c r="C1354" t="inlineStr">
        <is>
          <t>https://wiki.warframe.com/w/Evasive_Denial | https://wiki.warframe.com/w/Vega_Toroid | https://wiki.warframe.com/w/Hound_(Companion)</t>
        </is>
      </c>
      <c r="D1354" t="inlineStr">
        <is>
          <t>ExportWeapons</t>
        </is>
      </c>
      <c r="F1354" t="inlineStr">
        <is>
          <t>Zubb Bracket</t>
        </is>
      </c>
      <c r="H1354" t="inlineStr">
        <is>
          <t>Solved: current place verified and archived 2026-10-16.</t>
        </is>
      </c>
      <c r="I1354" t="inlineStr">
        <is>
          <t>Weapons</t>
        </is>
      </c>
      <c r="M1354" t="inlineStr">
        <is>
          <t>Blueprint from vanquishing a Sister of Parvos (or trading); build it in the Foundry.</t>
        </is>
      </c>
      <c r="N1354" t="inlineStr">
        <is>
          <t>Hound (Companion)</t>
        </is>
      </c>
      <c r="O1354" t="inlineStr">
        <is>
          <t>Saved a concrete acquisition place from the official Warframe Wiki. Hound (Companion) Crafting section.</t>
        </is>
      </c>
    </row>
    <row r="1355">
      <c r="A1355" t="inlineStr">
        <is>
          <t>/Lotus/Upgrades/Mods/Shotgun/Beginner/WeaponColdDamageModBeginner</t>
        </is>
      </c>
      <c r="B1355" t="inlineStr">
        <is>
          <t>Flawed Chilling Grasp</t>
        </is>
      </c>
      <c r="C1355" t="inlineStr">
        <is>
          <t>https://wiki.warframe.com/w/Chilling_Grasp</t>
        </is>
      </c>
      <c r="G1355" t="inlineStr">
        <is>
          <t>Chilling Grasp</t>
        </is>
      </c>
      <c r="H1355" t="inlineStr">
        <is>
          <t>Solved: current place verified and archived 2026-10-16.</t>
        </is>
      </c>
      <c r="I1355" t="inlineStr">
        <is>
          <t>Mods/data</t>
        </is>
      </c>
      <c r="M1355" t="inlineStr">
        <is>
          <t>Purchase from the mod storage box near Cressa Tal in Iron Wake for 20,000 Credits.</t>
        </is>
      </c>
      <c r="N1355" t="inlineStr">
        <is>
          <t>Flawed Mods</t>
        </is>
      </c>
      <c r="O1355" t="inlineStr">
        <is>
          <t>We copied where it comes from off the wiki page. See place from wiki page.</t>
        </is>
      </c>
    </row>
    <row r="1356">
      <c r="A1356" t="inlineStr">
        <is>
          <t>/Lotus/Upgrades/Mods/Shotgun/Beginner/WeaponFactionDamageCorpusBeginner</t>
        </is>
      </c>
      <c r="B1356" t="inlineStr">
        <is>
          <t>Flawed Cleanse Corpus</t>
        </is>
      </c>
      <c r="C1356" t="inlineStr">
        <is>
          <t>https://wiki.warframe.com/w/Cleanse_Corpus</t>
        </is>
      </c>
      <c r="G1356" t="inlineStr">
        <is>
          <t>Cleanse Corpus</t>
        </is>
      </c>
      <c r="H1356" t="inlineStr">
        <is>
          <t>Solved: current place verified and archived 2026-10-16.</t>
        </is>
      </c>
      <c r="I1356" t="inlineStr">
        <is>
          <t>Mods/data</t>
        </is>
      </c>
      <c r="M1356" t="inlineStr">
        <is>
          <t>Purchase from the mod storage box near Cressa Tal in Iron Wake for 20,000 Credits.</t>
        </is>
      </c>
      <c r="N1356" t="inlineStr">
        <is>
          <t>Flawed Mods</t>
        </is>
      </c>
      <c r="O1356" t="inlineStr">
        <is>
          <t>We copied where it comes from off the wiki page. See place from wiki page.</t>
        </is>
      </c>
    </row>
    <row r="1357">
      <c r="A1357" t="inlineStr">
        <is>
          <t>/Lotus/Upgrades/Mods/Shotgun/Beginner/WeaponFactionDamageGrineerBeginner</t>
        </is>
      </c>
      <c r="B1357" t="inlineStr">
        <is>
          <t>Flawed Cleanse Grineer</t>
        </is>
      </c>
      <c r="C1357" t="inlineStr">
        <is>
          <t>https://wiki.warframe.com/w/Cleanse_Grineer</t>
        </is>
      </c>
      <c r="G1357" t="inlineStr">
        <is>
          <t>Cleanse Grineer</t>
        </is>
      </c>
      <c r="H1357" t="inlineStr">
        <is>
          <t>Solved: current place verified and archived 2026-10-16.</t>
        </is>
      </c>
      <c r="I1357" t="inlineStr">
        <is>
          <t>Mods/data</t>
        </is>
      </c>
      <c r="M1357" t="inlineStr">
        <is>
          <t>Purchase from the mod storage box near Cressa Tal in Iron Wake for 20,000 Credits.</t>
        </is>
      </c>
      <c r="N1357" t="inlineStr">
        <is>
          <t>Flawed Mods</t>
        </is>
      </c>
      <c r="O1357" t="inlineStr">
        <is>
          <t>We copied where it comes from off the wiki page. See place from wiki page.</t>
        </is>
      </c>
    </row>
    <row r="1358">
      <c r="A1358" t="inlineStr">
        <is>
          <t>/Lotus/Upgrades/Mods/Shotgun/Beginner/WeaponFactionDamageInfestedBeginner</t>
        </is>
      </c>
      <c r="B1358" t="inlineStr">
        <is>
          <t>Flawed Cleanse Infested</t>
        </is>
      </c>
      <c r="C1358" t="inlineStr">
        <is>
          <t>https://wiki.warframe.com/w/Cleanse_Infested</t>
        </is>
      </c>
      <c r="G1358" t="inlineStr">
        <is>
          <t>Cleanse Infested</t>
        </is>
      </c>
      <c r="H1358" t="inlineStr">
        <is>
          <t>Solved: current place verified and archived 2026-10-16.</t>
        </is>
      </c>
      <c r="I1358" t="inlineStr">
        <is>
          <t>Mods/data</t>
        </is>
      </c>
      <c r="M1358" t="inlineStr">
        <is>
          <t>Purchase from the mod storage box near Cressa Tal in Iron Wake for 20,000 Credits.</t>
        </is>
      </c>
      <c r="N1358" t="inlineStr">
        <is>
          <t>Flawed Mods</t>
        </is>
      </c>
      <c r="O1358" t="inlineStr">
        <is>
          <t>We copied where it comes from off the wiki page. See place from wiki page.</t>
        </is>
      </c>
    </row>
    <row r="1359">
      <c r="A1359" t="inlineStr">
        <is>
          <t>/Lotus/Upgrades/Mods/Parazon/Beginner/AvatarTimeLimitIncreaseModBeginner</t>
        </is>
      </c>
      <c r="B1359" t="inlineStr">
        <is>
          <t>Flawed Intruder</t>
        </is>
      </c>
      <c r="C1359" t="inlineStr">
        <is>
          <t>https://wiki.warframe.com/w/Intruder</t>
        </is>
      </c>
      <c r="G1359" t="inlineStr">
        <is>
          <t>Intruder</t>
        </is>
      </c>
      <c r="H1359" t="inlineStr">
        <is>
          <t>Solved: current place verified and archived 2026-10-16.</t>
        </is>
      </c>
      <c r="I1359" t="inlineStr">
        <is>
          <t>Mods/data</t>
        </is>
      </c>
      <c r="M1359" t="inlineStr">
        <is>
          <t>Purchase from the mod storage box near Cressa Tal in Iron Wake for 10,000 Credits.</t>
        </is>
      </c>
      <c r="N1359" t="inlineStr">
        <is>
          <t>Flawed Mods</t>
        </is>
      </c>
      <c r="O1359" t="inlineStr">
        <is>
          <t>We copied where it comes from off the wiki page. See place from wiki page.</t>
        </is>
      </c>
    </row>
    <row r="1360">
      <c r="A1360" t="inlineStr">
        <is>
          <t>/Lotus/Upgrades/Mods/Melee/Beginner/AvatarParryMeleeModBeginner</t>
        </is>
      </c>
      <c r="B1360" t="inlineStr">
        <is>
          <t>Flawed Parry</t>
        </is>
      </c>
      <c r="C1360" t="inlineStr">
        <is>
          <t>https://wiki.warframe.com/w/Parry</t>
        </is>
      </c>
      <c r="G1360" t="inlineStr">
        <is>
          <t>Parry</t>
        </is>
      </c>
      <c r="H1360" t="inlineStr">
        <is>
          <t>Solved: current place verified and archived 2026-10-16.</t>
        </is>
      </c>
      <c r="I1360" t="inlineStr">
        <is>
          <t>Mods/data</t>
        </is>
      </c>
      <c r="M1360" t="inlineStr">
        <is>
          <t>Purchase from the mod storage box near Cressa Tal in Iron Wake for 10,000 Credits.</t>
        </is>
      </c>
      <c r="N1360" t="inlineStr">
        <is>
          <t>Flawed Mods</t>
        </is>
      </c>
      <c r="O1360" t="inlineStr">
        <is>
          <t>We copied where it comes from off the wiki page. See place from wiki page.</t>
        </is>
      </c>
    </row>
    <row r="1361">
      <c r="A1361" t="inlineStr">
        <is>
          <t>/Lotus/Upgrades/Mods/Melee/Beginner/WeaponMeleeChargeRateModBeginner</t>
        </is>
      </c>
      <c r="B1361" t="inlineStr">
        <is>
          <t>Flawed Reflex Coil</t>
        </is>
      </c>
      <c r="C1361" t="inlineStr">
        <is>
          <t>https://wiki.warframe.com/w/Reflex_Coil</t>
        </is>
      </c>
      <c r="G1361" t="inlineStr">
        <is>
          <t>Reflex Coil</t>
        </is>
      </c>
      <c r="H1361" t="inlineStr">
        <is>
          <t>Solved: current place verified and archived 2026-10-16.</t>
        </is>
      </c>
      <c r="I1361" t="inlineStr">
        <is>
          <t>Mods/data</t>
        </is>
      </c>
      <c r="M1361" t="inlineStr">
        <is>
          <t>Purchase from the mod storage box near Cressa Tal in Iron Wake for 20,000 Credits.</t>
        </is>
      </c>
      <c r="N1361" t="inlineStr">
        <is>
          <t>Flawed Mods</t>
        </is>
      </c>
      <c r="O1361" t="inlineStr">
        <is>
          <t>We copied where it comes from off the wiki page. See place from wiki page.</t>
        </is>
      </c>
    </row>
    <row r="1362">
      <c r="A1362" t="inlineStr">
        <is>
          <t>/Lotus/Upgrades/Mods/Rifle/Beginner/WeaponStunChanceModBeginner</t>
        </is>
      </c>
      <c r="B1362" t="inlineStr">
        <is>
          <t>Flawed Rifle Aptitude</t>
        </is>
      </c>
      <c r="C1362" t="inlineStr">
        <is>
          <t>https://wiki.warframe.com/w/Rifle_Aptitude</t>
        </is>
      </c>
      <c r="G1362" t="inlineStr">
        <is>
          <t>Rifle Aptitude</t>
        </is>
      </c>
      <c r="H1362" t="inlineStr">
        <is>
          <t>Solved: current place verified and archived 2026-10-16.</t>
        </is>
      </c>
      <c r="I1362" t="inlineStr">
        <is>
          <t>Mods/data</t>
        </is>
      </c>
      <c r="M1362" t="inlineStr">
        <is>
          <t>Purchase from the mod storage box near Cressa Tal in Iron Wake for 20,000 Credits.</t>
        </is>
      </c>
      <c r="N1362" t="inlineStr">
        <is>
          <t>Flawed Mods</t>
        </is>
      </c>
      <c r="O1362" t="inlineStr">
        <is>
          <t>We copied where it comes from off the wiki page. See place from wiki page.</t>
        </is>
      </c>
    </row>
    <row r="1363">
      <c r="A1363" t="inlineStr">
        <is>
          <t>/Lotus/Upgrades/Mods/Melee/Beginner/WeaponArmorPiercingDamageMod</t>
        </is>
      </c>
      <c r="B1363" t="inlineStr">
        <is>
          <t>Flawed Sundering Strike</t>
        </is>
      </c>
      <c r="C1363" t="inlineStr">
        <is>
          <t>https://wiki.warframe.com/w/Sundering_Strike</t>
        </is>
      </c>
      <c r="G1363" t="inlineStr">
        <is>
          <t>Sundering Strike</t>
        </is>
      </c>
      <c r="H1363" t="inlineStr">
        <is>
          <t>Solved: current place verified and archived 2026-10-16.</t>
        </is>
      </c>
      <c r="I1363" t="inlineStr">
        <is>
          <t>Mods/data</t>
        </is>
      </c>
      <c r="M1363" t="inlineStr">
        <is>
          <t>Purchase from the mod storage box near Cressa Tal in Iron Wake for 30,000 Credits.</t>
        </is>
      </c>
      <c r="N1363" t="inlineStr">
        <is>
          <t>Flawed Mods</t>
        </is>
      </c>
      <c r="O1363" t="inlineStr">
        <is>
          <t>We copied where it comes from off the wiki page. See place from wiki page.</t>
        </is>
      </c>
    </row>
    <row r="1364">
      <c r="A1364" t="inlineStr">
        <is>
          <t>/Lotus/Upgrades/Mods/Pistol/Beginner/WeaponStunChanceModBeginner</t>
        </is>
      </c>
      <c r="B1364" t="inlineStr">
        <is>
          <t>Flawed Sure Shot</t>
        </is>
      </c>
      <c r="C1364" t="inlineStr">
        <is>
          <t>https://wiki.warframe.com/w/Sure_Shot</t>
        </is>
      </c>
      <c r="G1364" t="inlineStr">
        <is>
          <t>Sure Shot</t>
        </is>
      </c>
      <c r="H1364" t="inlineStr">
        <is>
          <t>Solved: current place verified and archived 2026-10-16.</t>
        </is>
      </c>
      <c r="I1364" t="inlineStr">
        <is>
          <t>Mods/data</t>
        </is>
      </c>
      <c r="M1364" t="inlineStr">
        <is>
          <t>Purchase from the mod storage box near Cressa Tal in Iron Wake for 20,000 Credits.</t>
        </is>
      </c>
      <c r="N1364" t="inlineStr">
        <is>
          <t>Flawed Mods</t>
        </is>
      </c>
      <c r="O1364" t="inlineStr">
        <is>
          <t>We copied where it comes from off the wiki page. See place from wiki page.</t>
        </is>
      </c>
    </row>
    <row r="1365">
      <c r="A1365" t="inlineStr">
        <is>
          <t>/Lotus/Types/Items/Eidolon/AnimalTagKuakaUncommon</t>
        </is>
      </c>
      <c r="B1365" t="inlineStr">
        <is>
          <t>Ashen Kuaka Tag</t>
        </is>
      </c>
      <c r="C1365" t="inlineStr">
        <is>
          <t>https://wiki.warframe.com/w/Kuaka</t>
        </is>
      </c>
      <c r="D1365" t="inlineStr">
        <is>
          <t>ExportResources</t>
        </is>
      </c>
      <c r="F1365" t="inlineStr">
        <is>
          <t>Ashen Kuaka Tag</t>
        </is>
      </c>
      <c r="G1365" t="inlineStr">
        <is>
          <t>Ashen Kuaka Tag</t>
        </is>
      </c>
      <c r="H1365" t="inlineStr">
        <is>
          <t>Solved: place filled from the wiki and archived 2026-10-16.</t>
        </is>
      </c>
      <c r="I1365" t="inlineStr">
        <is>
          <t>Resources</t>
        </is>
      </c>
      <c r="J1365" t="inlineStr">
        <is>
          <t>Resources_data</t>
        </is>
      </c>
      <c r="K1365" t="inlineStr">
        <is>
          <t>Resources/data</t>
        </is>
      </c>
      <c r="L1365" t="inlineStr">
        <is>
          <t>listed, no place</t>
        </is>
      </c>
      <c r="M1365" t="inlineStr">
        <is>
          <t>Awarded for capturing an Ashen Kuaka through Conservation on the Plains of Eidolon.</t>
        </is>
      </c>
      <c r="N1365" t="inlineStr">
        <is>
          <t>Kuaka | Conservation</t>
        </is>
      </c>
      <c r="O1365" t="inlineStr">
        <is>
          <t>Saved a concrete acquisition place from the official Warframe Wiki (Kuaka page).</t>
        </is>
      </c>
    </row>
    <row r="1366">
      <c r="A1366" t="inlineStr">
        <is>
          <t>/Lotus/Types/Items/Eidolon/AnimalTagCondrocCommon</t>
        </is>
      </c>
      <c r="B1366" t="inlineStr">
        <is>
          <t>Common Condroc Tag</t>
        </is>
      </c>
      <c r="C1366" t="inlineStr">
        <is>
          <t>https://wiki.warframe.com/w/Conservation#Condroc</t>
        </is>
      </c>
      <c r="D1366" t="inlineStr">
        <is>
          <t>ExportResources</t>
        </is>
      </c>
      <c r="F1366" t="inlineStr">
        <is>
          <t>Common Condroc Tag</t>
        </is>
      </c>
      <c r="G1366" t="inlineStr">
        <is>
          <t>Common Condroc Tag</t>
        </is>
      </c>
      <c r="H1366" t="inlineStr">
        <is>
          <t>Solved: place filled from the wiki and archived 2026-10-16.</t>
        </is>
      </c>
      <c r="I1366" t="inlineStr">
        <is>
          <t>Resources</t>
        </is>
      </c>
      <c r="J1366" t="inlineStr">
        <is>
          <t>Resources_data</t>
        </is>
      </c>
      <c r="K1366" t="inlineStr">
        <is>
          <t>Resources/data</t>
        </is>
      </c>
      <c r="L1366" t="inlineStr">
        <is>
          <t>listed, no place</t>
        </is>
      </c>
      <c r="M1366" t="inlineStr">
        <is>
          <t>Awarded for capturing a Common Condroc through Conservation on the Plains of Eidolon.</t>
        </is>
      </c>
      <c r="N1366" t="inlineStr">
        <is>
          <t>Condroc | Conservation</t>
        </is>
      </c>
      <c r="O1366" t="inlineStr">
        <is>
          <t>Saved a concrete acquisition place from the official Warframe Wiki (Condroc page).</t>
        </is>
      </c>
    </row>
    <row r="1367">
      <c r="A1367" t="inlineStr">
        <is>
          <t>/Lotus/Types/Items/ShipDecos/MasteryTrophies/Rank34Trophy</t>
        </is>
      </c>
      <c r="B1367" t="inlineStr">
        <is>
          <t>Diamond Legendary Mastery Slate</t>
        </is>
      </c>
      <c r="D1367" t="inlineStr">
        <is>
          <t>ExportResources</t>
        </is>
      </c>
      <c r="F1367" t="inlineStr">
        <is>
          <t>Diamond Legendary Mastery Slate</t>
        </is>
      </c>
      <c r="H1367" t="inlineStr">
        <is>
          <t>Solved: place filled from the wiki and archived 2026-10-16.</t>
        </is>
      </c>
      <c r="I1367" t="inlineStr">
        <is>
          <t>Resources</t>
        </is>
      </c>
      <c r="M1367" t="inlineStr">
        <is>
          <t>Reward for passing the Legendary 4 Mastery Rank Test.</t>
        </is>
      </c>
      <c r="N1367" t="inlineStr">
        <is>
          <t>Decorations/Orbiter Decorations</t>
        </is>
      </c>
      <c r="O1367" t="inlineStr">
        <is>
          <t>Saved a concrete acquisition place from the official Warframe Wiki (Decorations/Orbiter Decorations page).</t>
        </is>
      </c>
    </row>
    <row r="1368">
      <c r="A1368" t="inlineStr">
        <is>
          <t>/Lotus/Types/Items/ShipDecos/MasteryTrophies/Rank07Trophy</t>
        </is>
      </c>
      <c r="B1368" t="inlineStr">
        <is>
          <t>Disciple Mastery Slate</t>
        </is>
      </c>
      <c r="D1368" t="inlineStr">
        <is>
          <t>ExportResources</t>
        </is>
      </c>
      <c r="F1368" t="inlineStr">
        <is>
          <t>Disciple Mastery Slate</t>
        </is>
      </c>
      <c r="H1368" t="inlineStr">
        <is>
          <t>Solved: place filled from the wiki and archived 2026-10-16.</t>
        </is>
      </c>
      <c r="I1368" t="inlineStr">
        <is>
          <t>Resources</t>
        </is>
      </c>
      <c r="M1368" t="inlineStr">
        <is>
          <t>Reward for passing the Mastery Rank 7 Test.</t>
        </is>
      </c>
      <c r="N1368" t="inlineStr">
        <is>
          <t>Decorations/Orbiter Decorations</t>
        </is>
      </c>
      <c r="O1368" t="inlineStr">
        <is>
          <t>Saved a concrete acquisition place from the official Warframe Wiki (Decorations/Orbiter Decorations page).</t>
        </is>
      </c>
    </row>
    <row r="1369">
      <c r="A1369" t="inlineStr">
        <is>
          <t>/Lotus/Types/Items/ShipDecos/MasteryTrophies/Rank22Trophy</t>
        </is>
      </c>
      <c r="B1369" t="inlineStr">
        <is>
          <t>Dragon Mastery Slate</t>
        </is>
      </c>
      <c r="D1369" t="inlineStr">
        <is>
          <t>ExportResources</t>
        </is>
      </c>
      <c r="F1369" t="inlineStr">
        <is>
          <t>Dragon Mastery Slate</t>
        </is>
      </c>
      <c r="H1369" t="inlineStr">
        <is>
          <t>Solved: place filled from the wiki and archived 2026-10-16.</t>
        </is>
      </c>
      <c r="I1369" t="inlineStr">
        <is>
          <t>Resources</t>
        </is>
      </c>
      <c r="M1369" t="inlineStr">
        <is>
          <t>Reward for passing the Mastery Rank 22 Test.</t>
        </is>
      </c>
      <c r="N1369" t="inlineStr">
        <is>
          <t>Decorations/Orbiter Decorations</t>
        </is>
      </c>
      <c r="O1369" t="inlineStr">
        <is>
          <t>Saved a concrete acquisition place from the official Warframe Wiki (Decorations/Orbiter Decorations page).</t>
        </is>
      </c>
    </row>
    <row r="1370">
      <c r="A1370" t="inlineStr">
        <is>
          <t>/Lotus/Types/Items/ShipDecos/MasteryTrophies/Rank16Trophy</t>
        </is>
      </c>
      <c r="B1370" t="inlineStr">
        <is>
          <t>Eagle Mastery Slate</t>
        </is>
      </c>
      <c r="D1370" t="inlineStr">
        <is>
          <t>ExportResources</t>
        </is>
      </c>
      <c r="F1370" t="inlineStr">
        <is>
          <t>Eagle Mastery Slate</t>
        </is>
      </c>
      <c r="H1370" t="inlineStr">
        <is>
          <t>Solved: place filled from the wiki and archived 2026-10-16.</t>
        </is>
      </c>
      <c r="I1370" t="inlineStr">
        <is>
          <t>Resources</t>
        </is>
      </c>
      <c r="M1370" t="inlineStr">
        <is>
          <t>Reward for passing the Mastery Rank 16 Test.</t>
        </is>
      </c>
      <c r="N1370" t="inlineStr">
        <is>
          <t>Decorations/Orbiter Decorations</t>
        </is>
      </c>
      <c r="O1370" t="inlineStr">
        <is>
          <t>Saved a concrete acquisition place from the official Warframe Wiki (Decorations/Orbiter Decorations page).</t>
        </is>
      </c>
    </row>
    <row r="1371">
      <c r="A1371" t="inlineStr">
        <is>
          <t>/Lotus/Types/Items/Eidolon/AnimalTagKuakaRare</t>
        </is>
      </c>
      <c r="B1371" t="inlineStr">
        <is>
          <t>Ghost Kuaka Tag</t>
        </is>
      </c>
      <c r="C1371" t="inlineStr">
        <is>
          <t>https://wiki.warframe.com/w/Kuaka</t>
        </is>
      </c>
      <c r="D1371" t="inlineStr">
        <is>
          <t>ExportResources</t>
        </is>
      </c>
      <c r="F1371" t="inlineStr">
        <is>
          <t>Ghost Kuaka Tag</t>
        </is>
      </c>
      <c r="G1371" t="inlineStr">
        <is>
          <t>Ghost Kuaka Tag</t>
        </is>
      </c>
      <c r="H1371" t="inlineStr">
        <is>
          <t>Solved: place filled from the wiki and archived 2026-10-16.</t>
        </is>
      </c>
      <c r="I1371" t="inlineStr">
        <is>
          <t>Resources</t>
        </is>
      </c>
      <c r="J1371" t="inlineStr">
        <is>
          <t>Resources_data</t>
        </is>
      </c>
      <c r="K1371" t="inlineStr">
        <is>
          <t>Resources/data</t>
        </is>
      </c>
      <c r="L1371" t="inlineStr">
        <is>
          <t>listed, no place</t>
        </is>
      </c>
      <c r="M1371" t="inlineStr">
        <is>
          <t>Awarded for capturing a Ghost Kuaka through Conservation on the Plains of Eidolon.</t>
        </is>
      </c>
      <c r="N1371" t="inlineStr">
        <is>
          <t>Kuaka | Conservation</t>
        </is>
      </c>
      <c r="O1371" t="inlineStr">
        <is>
          <t>Saved a concrete acquisition place from the official Warframe Wiki (Kuaka page).</t>
        </is>
      </c>
    </row>
    <row r="1372">
      <c r="A1372" t="inlineStr">
        <is>
          <t>/Lotus/Types/Items/ShipDecos/MasteryTrophies/Rank09Trophy</t>
        </is>
      </c>
      <c r="B1372" t="inlineStr">
        <is>
          <t>Gold Disciple Mastery Slate</t>
        </is>
      </c>
      <c r="D1372" t="inlineStr">
        <is>
          <t>ExportResources</t>
        </is>
      </c>
      <c r="F1372" t="inlineStr">
        <is>
          <t>Gold Disciple Mastery Slate</t>
        </is>
      </c>
      <c r="H1372" t="inlineStr">
        <is>
          <t>Solved: place filled from the wiki and archived 2026-10-16.</t>
        </is>
      </c>
      <c r="I1372" t="inlineStr">
        <is>
          <t>Resources</t>
        </is>
      </c>
      <c r="M1372" t="inlineStr">
        <is>
          <t>Reward for passing the Mastery Rank 9 Test.</t>
        </is>
      </c>
      <c r="N1372" t="inlineStr">
        <is>
          <t>Decorations/Orbiter Decorations</t>
        </is>
      </c>
      <c r="O1372" t="inlineStr">
        <is>
          <t>Saved a concrete acquisition place from the official Warframe Wiki (Decorations/Orbiter Decorations page).</t>
        </is>
      </c>
    </row>
    <row r="1373">
      <c r="A1373" t="inlineStr">
        <is>
          <t>/Lotus/Types/Items/ShipDecos/MasteryTrophies/Rank24Trophy</t>
        </is>
      </c>
      <c r="B1373" t="inlineStr">
        <is>
          <t>Gold Dragon Mastery Slate</t>
        </is>
      </c>
      <c r="D1373" t="inlineStr">
        <is>
          <t>ExportResources</t>
        </is>
      </c>
      <c r="F1373" t="inlineStr">
        <is>
          <t>Gold Dragon Mastery Slate</t>
        </is>
      </c>
      <c r="H1373" t="inlineStr">
        <is>
          <t>Solved: place filled from the wiki and archived 2026-10-16.</t>
        </is>
      </c>
      <c r="I1373" t="inlineStr">
        <is>
          <t>Resources</t>
        </is>
      </c>
      <c r="M1373" t="inlineStr">
        <is>
          <t>Reward for passing the Mastery Rank 24 Test.</t>
        </is>
      </c>
      <c r="N1373" t="inlineStr">
        <is>
          <t>Decorations/Orbiter Decorations</t>
        </is>
      </c>
      <c r="O1373" t="inlineStr">
        <is>
          <t>Saved a concrete acquisition place from the official Warframe Wiki (Decorations/Orbiter Decorations page).</t>
        </is>
      </c>
    </row>
    <row r="1374">
      <c r="A1374" t="inlineStr">
        <is>
          <t>/Lotus/Types/Items/ShipDecos/MasteryTrophies/Rank18Trophy</t>
        </is>
      </c>
      <c r="B1374" t="inlineStr">
        <is>
          <t>Gold Eagle Mastery Slate</t>
        </is>
      </c>
      <c r="D1374" t="inlineStr">
        <is>
          <t>ExportResources</t>
        </is>
      </c>
      <c r="F1374" t="inlineStr">
        <is>
          <t>Gold Eagle Mastery Slate</t>
        </is>
      </c>
      <c r="H1374" t="inlineStr">
        <is>
          <t>Solved: place filled from the wiki and archived 2026-10-16.</t>
        </is>
      </c>
      <c r="I1374" t="inlineStr">
        <is>
          <t>Resources</t>
        </is>
      </c>
      <c r="M1374" t="inlineStr">
        <is>
          <t>Reward for passing the Mastery Rank 18 Test.</t>
        </is>
      </c>
      <c r="N1374" t="inlineStr">
        <is>
          <t>Decorations/Orbiter Decorations</t>
        </is>
      </c>
      <c r="O1374" t="inlineStr">
        <is>
          <t>Saved a concrete acquisition place from the official Warframe Wiki (Decorations/Orbiter Decorations page).</t>
        </is>
      </c>
    </row>
    <row r="1375">
      <c r="A1375" t="inlineStr">
        <is>
          <t>/Lotus/Types/Items/ShipDecos/MasteryTrophies/Rank15Trophy</t>
        </is>
      </c>
      <c r="B1375" t="inlineStr">
        <is>
          <t>Gold Hunter Mastery Slate</t>
        </is>
      </c>
      <c r="D1375" t="inlineStr">
        <is>
          <t>ExportResources</t>
        </is>
      </c>
      <c r="F1375" t="inlineStr">
        <is>
          <t>Gold Hunter Mastery Slate</t>
        </is>
      </c>
      <c r="H1375" t="inlineStr">
        <is>
          <t>Solved: place filled from the wiki and archived 2026-10-16.</t>
        </is>
      </c>
      <c r="I1375" t="inlineStr">
        <is>
          <t>Resources</t>
        </is>
      </c>
      <c r="M1375" t="inlineStr">
        <is>
          <t>Reward for passing the Mastery Rank 15 Test.</t>
        </is>
      </c>
      <c r="N1375" t="inlineStr">
        <is>
          <t>Decorations/Orbiter Decorations</t>
        </is>
      </c>
      <c r="O1375" t="inlineStr">
        <is>
          <t>Saved a concrete acquisition place from the official Warframe Wiki (Decorations/Orbiter Decorations page).</t>
        </is>
      </c>
    </row>
    <row r="1376">
      <c r="A1376" t="inlineStr">
        <is>
          <t>/Lotus/Types/Items/ShipDecos/MasteryTrophies/Rank03Trophy</t>
        </is>
      </c>
      <c r="B1376" t="inlineStr">
        <is>
          <t>Gold Initiate Mastery Slate</t>
        </is>
      </c>
      <c r="D1376" t="inlineStr">
        <is>
          <t>ExportResources</t>
        </is>
      </c>
      <c r="F1376" t="inlineStr">
        <is>
          <t>Gold Initiate Mastery Slate</t>
        </is>
      </c>
      <c r="H1376" t="inlineStr">
        <is>
          <t>Solved: place filled from the wiki and archived 2026-10-16.</t>
        </is>
      </c>
      <c r="I1376" t="inlineStr">
        <is>
          <t>Resources</t>
        </is>
      </c>
      <c r="M1376" t="inlineStr">
        <is>
          <t>Reward for passing the Mastery Rank 3 Test.</t>
        </is>
      </c>
      <c r="N1376" t="inlineStr">
        <is>
          <t>Decorations/Orbiter Decorations</t>
        </is>
      </c>
      <c r="O1376" t="inlineStr">
        <is>
          <t>Saved a concrete acquisition place from the official Warframe Wiki (Decorations/Orbiter Decorations page).</t>
        </is>
      </c>
    </row>
    <row r="1377">
      <c r="A1377" t="inlineStr">
        <is>
          <t>/Lotus/Types/Items/ShipDecos/MasteryTrophies/Rank33Trophy</t>
        </is>
      </c>
      <c r="B1377" t="inlineStr">
        <is>
          <t>Gold Legendary Mastery Slate</t>
        </is>
      </c>
      <c r="D1377" t="inlineStr">
        <is>
          <t>ExportResources</t>
        </is>
      </c>
      <c r="F1377" t="inlineStr">
        <is>
          <t>Gold Legendary Mastery Slate</t>
        </is>
      </c>
      <c r="H1377" t="inlineStr">
        <is>
          <t>Solved: place filled from the wiki and archived 2026-10-16.</t>
        </is>
      </c>
      <c r="I1377" t="inlineStr">
        <is>
          <t>Resources</t>
        </is>
      </c>
      <c r="M1377" t="inlineStr">
        <is>
          <t>Reward for passing the Legendary 3 Mastery Rank Test.</t>
        </is>
      </c>
      <c r="N1377" t="inlineStr">
        <is>
          <t>Decorations/Orbiter Decorations</t>
        </is>
      </c>
      <c r="O1377" t="inlineStr">
        <is>
          <t>Saved a concrete acquisition place from the official Warframe Wiki (Decorations/Orbiter Decorations page).</t>
        </is>
      </c>
    </row>
    <row r="1378">
      <c r="A1378" t="inlineStr">
        <is>
          <t>/Lotus/Types/Items/ShipDecos/MasteryTrophies/Rank06Trophy</t>
        </is>
      </c>
      <c r="B1378" t="inlineStr">
        <is>
          <t>Gold Novice Mastery Slate</t>
        </is>
      </c>
      <c r="D1378" t="inlineStr">
        <is>
          <t>ExportResources</t>
        </is>
      </c>
      <c r="F1378" t="inlineStr">
        <is>
          <t>Gold Novice Mastery Slate</t>
        </is>
      </c>
      <c r="H1378" t="inlineStr">
        <is>
          <t>Solved: place filled from the wiki and archived 2026-10-16.</t>
        </is>
      </c>
      <c r="I1378" t="inlineStr">
        <is>
          <t>Resources</t>
        </is>
      </c>
      <c r="M1378" t="inlineStr">
        <is>
          <t>Reward for passing the Mastery Rank 6 Test.</t>
        </is>
      </c>
      <c r="N1378" t="inlineStr">
        <is>
          <t>Decorations/Orbiter Decorations</t>
        </is>
      </c>
      <c r="O1378" t="inlineStr">
        <is>
          <t>Saved a concrete acquisition place from the official Warframe Wiki (Decorations/Orbiter Decorations page).</t>
        </is>
      </c>
    </row>
    <row r="1379">
      <c r="A1379" t="inlineStr">
        <is>
          <t>/Lotus/Types/Items/ShipDecos/MasteryTrophies/Rank27Trophy</t>
        </is>
      </c>
      <c r="B1379" t="inlineStr">
        <is>
          <t>Gold Sage Mastery Slate</t>
        </is>
      </c>
      <c r="D1379" t="inlineStr">
        <is>
          <t>ExportResources</t>
        </is>
      </c>
      <c r="F1379" t="inlineStr">
        <is>
          <t>Gold Sage Mastery Slate</t>
        </is>
      </c>
      <c r="H1379" t="inlineStr">
        <is>
          <t>Solved: place filled from the wiki and archived 2026-10-16.</t>
        </is>
      </c>
      <c r="I1379" t="inlineStr">
        <is>
          <t>Resources</t>
        </is>
      </c>
      <c r="M1379" t="inlineStr">
        <is>
          <t>Reward for passing the Mastery Rank 27 Test.</t>
        </is>
      </c>
      <c r="N1379" t="inlineStr">
        <is>
          <t>Decorations/Orbiter Decorations</t>
        </is>
      </c>
      <c r="O1379" t="inlineStr">
        <is>
          <t>Saved a concrete acquisition place from the official Warframe Wiki (Decorations/Orbiter Decorations page).</t>
        </is>
      </c>
    </row>
    <row r="1380">
      <c r="A1380" t="inlineStr">
        <is>
          <t>/Lotus/Types/Items/ShipDecos/MasteryTrophies/Rank12Trophy</t>
        </is>
      </c>
      <c r="B1380" t="inlineStr">
        <is>
          <t>Gold Seeker Mastery Slate</t>
        </is>
      </c>
      <c r="D1380" t="inlineStr">
        <is>
          <t>ExportResources</t>
        </is>
      </c>
      <c r="F1380" t="inlineStr">
        <is>
          <t>Gold Seeker Mastery Slate</t>
        </is>
      </c>
      <c r="H1380" t="inlineStr">
        <is>
          <t>Solved: place filled from the wiki and archived 2026-10-16.</t>
        </is>
      </c>
      <c r="I1380" t="inlineStr">
        <is>
          <t>Resources</t>
        </is>
      </c>
      <c r="M1380" t="inlineStr">
        <is>
          <t>Reward for passing the Mastery Rank 12 Test.</t>
        </is>
      </c>
      <c r="N1380" t="inlineStr">
        <is>
          <t>Decorations/Orbiter Decorations</t>
        </is>
      </c>
      <c r="O1380" t="inlineStr">
        <is>
          <t>Saved a concrete acquisition place from the official Warframe Wiki (Decorations/Orbiter Decorations page).</t>
        </is>
      </c>
    </row>
    <row r="1381">
      <c r="A1381" t="inlineStr">
        <is>
          <t>/Lotus/Types/Items/ShipDecos/MasteryTrophies/Rank21Trophy</t>
        </is>
      </c>
      <c r="B1381" t="inlineStr">
        <is>
          <t>Gold Tiger Mastery Slate</t>
        </is>
      </c>
      <c r="D1381" t="inlineStr">
        <is>
          <t>ExportResources</t>
        </is>
      </c>
      <c r="F1381" t="inlineStr">
        <is>
          <t>Gold Tiger Mastery Slate</t>
        </is>
      </c>
      <c r="H1381" t="inlineStr">
        <is>
          <t>Solved: place filled from the wiki and archived 2026-10-16.</t>
        </is>
      </c>
      <c r="I1381" t="inlineStr">
        <is>
          <t>Resources</t>
        </is>
      </c>
      <c r="M1381" t="inlineStr">
        <is>
          <t>Reward for passing the Mastery Rank 21 Test.</t>
        </is>
      </c>
      <c r="N1381" t="inlineStr">
        <is>
          <t>Decorations/Orbiter Decorations</t>
        </is>
      </c>
      <c r="O1381" t="inlineStr">
        <is>
          <t>Saved a concrete acquisition place from the official Warframe Wiki (Decorations/Orbiter Decorations page).</t>
        </is>
      </c>
    </row>
    <row r="1382">
      <c r="A1382" t="inlineStr">
        <is>
          <t>/Lotus/Types/Items/ShipDecos/Plushies/PlushyKubrodonRareDirty</t>
        </is>
      </c>
      <c r="B1382" t="inlineStr">
        <is>
          <t>Gral's Kubrodon Floof</t>
        </is>
      </c>
      <c r="C1382" t="inlineStr">
        <is>
          <t>https://wiki.warframe.com/w/Nightwave/Offerings</t>
        </is>
      </c>
      <c r="D1382" t="inlineStr">
        <is>
          <t>ExportResources</t>
        </is>
      </c>
      <c r="F1382" t="inlineStr">
        <is>
          <t>Gral's Kubrodon Floof</t>
        </is>
      </c>
      <c r="H1382" t="inlineStr">
        <is>
          <t>Solved: place filled from the wiki and archived 2026-10-16.</t>
        </is>
      </c>
      <c r="I1382" t="inlineStr">
        <is>
          <t>Resources</t>
        </is>
      </c>
      <c r="M1382" t="inlineStr">
        <is>
          <t>Purchase from Nightwave Offerings for 40 Nightwave Creds.</t>
        </is>
      </c>
      <c r="N1382" t="inlineStr">
        <is>
          <t>Nightwave/Offerings</t>
        </is>
      </c>
      <c r="O1382" t="inlineStr">
        <is>
          <t>Saved a concrete acquisition place from the official Warframe Wiki (Nightwave/Offerings page).</t>
        </is>
      </c>
    </row>
    <row r="1383">
      <c r="A1383" t="inlineStr">
        <is>
          <t>/Lotus/Types/Items/ShipDecos/Plushies/PlushyPobbersUncommonDirty</t>
        </is>
      </c>
      <c r="B1383" t="inlineStr">
        <is>
          <t>Gral's Pobber Floof</t>
        </is>
      </c>
      <c r="C1383" t="inlineStr">
        <is>
          <t>https://wiki.warframe.com/w/Nightwave/Offerings</t>
        </is>
      </c>
      <c r="D1383" t="inlineStr">
        <is>
          <t>ExportResources</t>
        </is>
      </c>
      <c r="F1383" t="inlineStr">
        <is>
          <t>Gral's Pobber Floof</t>
        </is>
      </c>
      <c r="H1383" t="inlineStr">
        <is>
          <t>Solved: place filled from the wiki and archived 2026-10-16.</t>
        </is>
      </c>
      <c r="I1383" t="inlineStr">
        <is>
          <t>Resources</t>
        </is>
      </c>
      <c r="M1383" t="inlineStr">
        <is>
          <t>Purchase from Nightwave Offerings for 40 Nightwave Creds.</t>
        </is>
      </c>
      <c r="N1383" t="inlineStr">
        <is>
          <t>Nightwave/Offerings</t>
        </is>
      </c>
      <c r="O1383" t="inlineStr">
        <is>
          <t>Saved a concrete acquisition place from the official Warframe Wiki (Nightwave/Offerings page).</t>
        </is>
      </c>
    </row>
    <row r="1384">
      <c r="A1384" t="inlineStr">
        <is>
          <t>/Lotus/Types/Items/ShipDecos/Plushies/PlushyThumperMediumDirty</t>
        </is>
      </c>
      <c r="B1384" t="inlineStr">
        <is>
          <t>Gral's Thumper Floof</t>
        </is>
      </c>
      <c r="C1384" t="inlineStr">
        <is>
          <t>https://wiki.warframe.com/w/Nightwave/Offerings</t>
        </is>
      </c>
      <c r="D1384" t="inlineStr">
        <is>
          <t>ExportResources</t>
        </is>
      </c>
      <c r="F1384" t="inlineStr">
        <is>
          <t>Gral's Thumper Floof</t>
        </is>
      </c>
      <c r="H1384" t="inlineStr">
        <is>
          <t>Solved: place filled from the wiki and archived 2026-10-16.</t>
        </is>
      </c>
      <c r="I1384" t="inlineStr">
        <is>
          <t>Resources</t>
        </is>
      </c>
      <c r="M1384" t="inlineStr">
        <is>
          <t>Purchase from Nightwave Offerings for 40 Nightwave Creds.</t>
        </is>
      </c>
      <c r="N1384" t="inlineStr">
        <is>
          <t>Nightwave/Offerings</t>
        </is>
      </c>
      <c r="O1384" t="inlineStr">
        <is>
          <t>Saved a concrete acquisition place from the official Warframe Wiki (Nightwave/Offerings page).</t>
        </is>
      </c>
    </row>
    <row r="1385">
      <c r="A1385" t="inlineStr">
        <is>
          <t>/Lotus/Types/Items/ShipDecos/MasteryTrophies/Rank13Trophy</t>
        </is>
      </c>
      <c r="B1385" t="inlineStr">
        <is>
          <t>Hunter Mastery Slate</t>
        </is>
      </c>
      <c r="D1385" t="inlineStr">
        <is>
          <t>ExportResources</t>
        </is>
      </c>
      <c r="F1385" t="inlineStr">
        <is>
          <t>Hunter Mastery Slate</t>
        </is>
      </c>
      <c r="H1385" t="inlineStr">
        <is>
          <t>Solved: place filled from the wiki and archived 2026-10-16.</t>
        </is>
      </c>
      <c r="I1385" t="inlineStr">
        <is>
          <t>Resources</t>
        </is>
      </c>
      <c r="M1385" t="inlineStr">
        <is>
          <t>Reward for passing the Mastery Rank 13 Test.</t>
        </is>
      </c>
      <c r="N1385" t="inlineStr">
        <is>
          <t>Decorations/Orbiter Decorations</t>
        </is>
      </c>
      <c r="O1385" t="inlineStr">
        <is>
          <t>Saved a concrete acquisition place from the official Warframe Wiki (Decorations/Orbiter Decorations page).</t>
        </is>
      </c>
    </row>
    <row r="1386">
      <c r="A1386" t="inlineStr">
        <is>
          <t>/Lotus/Types/Items/ShipDecos/MasteryTrophies/Rank01Trophy</t>
        </is>
      </c>
      <c r="B1386" t="inlineStr">
        <is>
          <t>Initiate Mastery Slate</t>
        </is>
      </c>
      <c r="D1386" t="inlineStr">
        <is>
          <t>ExportResources</t>
        </is>
      </c>
      <c r="F1386" t="inlineStr">
        <is>
          <t>Initiate Mastery Slate</t>
        </is>
      </c>
      <c r="H1386" t="inlineStr">
        <is>
          <t>Solved: place filled from the wiki and archived 2026-10-16.</t>
        </is>
      </c>
      <c r="I1386" t="inlineStr">
        <is>
          <t>Resources</t>
        </is>
      </c>
      <c r="M1386" t="inlineStr">
        <is>
          <t>Reward for passing the Mastery Rank 1 Test.</t>
        </is>
      </c>
      <c r="N1386" t="inlineStr">
        <is>
          <t>Decorations/Orbiter Decorations</t>
        </is>
      </c>
      <c r="O1386" t="inlineStr">
        <is>
          <t>Saved a concrete acquisition place from the official Warframe Wiki (Decorations/Orbiter Decorations page).</t>
        </is>
      </c>
    </row>
    <row r="1387">
      <c r="A1387" t="inlineStr">
        <is>
          <t>/Lotus/Types/Items/ShipDecos/KineticSiphonTrapLiset</t>
        </is>
      </c>
      <c r="B1387" t="inlineStr">
        <is>
          <t>Kinetic Siphon Trap Decoration</t>
        </is>
      </c>
      <c r="C1387" t="inlineStr">
        <is>
          <t>https://wiki.warframe.com/w/Nightwave/Offerings</t>
        </is>
      </c>
      <c r="D1387" t="inlineStr">
        <is>
          <t>ExportResources</t>
        </is>
      </c>
      <c r="F1387" t="inlineStr">
        <is>
          <t>Kinetic Siphon Trap Decoration</t>
        </is>
      </c>
      <c r="H1387" t="inlineStr">
        <is>
          <t>Solved: place filled from the wiki and archived 2026-10-16.</t>
        </is>
      </c>
      <c r="I1387" t="inlineStr">
        <is>
          <t>Resources</t>
        </is>
      </c>
      <c r="M1387" t="inlineStr">
        <is>
          <t>Purchase from Nightwave Offerings for 40 Nightwave Creds.</t>
        </is>
      </c>
      <c r="N1387" t="inlineStr">
        <is>
          <t>Nightwave/Offerings</t>
        </is>
      </c>
      <c r="O1387" t="inlineStr">
        <is>
          <t>Saved a concrete acquisition place from the official Warframe Wiki (Nightwave/Offerings page).</t>
        </is>
      </c>
    </row>
    <row r="1388">
      <c r="A1388" t="inlineStr">
        <is>
          <t>/Lotus/Types/Items/ShipDecos/MasteryTrophies/Rank31Trophy</t>
        </is>
      </c>
      <c r="B1388" t="inlineStr">
        <is>
          <t>Legendary Mastery Slate</t>
        </is>
      </c>
      <c r="C1388" t="inlineStr">
        <is>
          <t>https://wiki.warframe.com/w/Mastery_Rank</t>
        </is>
      </c>
      <c r="D1388" t="inlineStr">
        <is>
          <t>ExportResources</t>
        </is>
      </c>
      <c r="F1388" t="inlineStr">
        <is>
          <t>Legendary Mastery Slate</t>
        </is>
      </c>
      <c r="H1388" t="inlineStr">
        <is>
          <t>Solved: place filled from the wiki and archived 2026-10-16.</t>
        </is>
      </c>
      <c r="I1388" t="inlineStr">
        <is>
          <t>Resources</t>
        </is>
      </c>
      <c r="M1388" t="inlineStr">
        <is>
          <t>Reward for passing the Legendary 1 Mastery Rank Test.</t>
        </is>
      </c>
      <c r="N1388" t="inlineStr">
        <is>
          <t>Decorations/Orbiter Decorations</t>
        </is>
      </c>
      <c r="O1388" t="inlineStr">
        <is>
          <t>Saved a concrete acquisition place from the official Warframe Wiki (Decorations/Orbiter Decorations page).</t>
        </is>
      </c>
    </row>
    <row r="1389">
      <c r="A1389" t="inlineStr">
        <is>
          <t>/Lotus/Types/Items/ShipDecos/Focus/MaduraiPoster</t>
        </is>
      </c>
      <c r="B1389" t="inlineStr">
        <is>
          <t>Madurai Poster</t>
        </is>
      </c>
      <c r="C1389" t="inlineStr">
        <is>
          <t>https://wiki.warframe.com/w/Decorations/Orbiter_Decorations</t>
        </is>
      </c>
      <c r="D1389" t="inlineStr">
        <is>
          <t>ExportResources</t>
        </is>
      </c>
      <c r="F1389" t="inlineStr">
        <is>
          <t>Madurai Poster</t>
        </is>
      </c>
      <c r="H1389" t="inlineStr">
        <is>
          <t>Solved: place filled from the wiki and archived 2026-10-16.</t>
        </is>
      </c>
      <c r="I1389" t="inlineStr">
        <is>
          <t>Resources</t>
        </is>
      </c>
      <c r="M1389" t="inlineStr">
        <is>
          <t>Purchase from the Madurai Represent shop for 1,000,000 Madurai Focus points, after unlocking and fully ranking every node in the school (including both Way-Bounds).</t>
        </is>
      </c>
      <c r="N1389" t="inlineStr">
        <is>
          <t>Decorations/Orbiter Decorations | Focus</t>
        </is>
      </c>
      <c r="O1389" t="inlineStr">
        <is>
          <t>Saved a concrete acquisition place from the official Warframe Wiki (Decorations/Orbiter Decorations page).</t>
        </is>
      </c>
    </row>
    <row r="1390">
      <c r="A1390" t="inlineStr">
        <is>
          <t>/Lotus/Types/Items/ShipDecos/Operator/SchoolDecalMadurai</t>
        </is>
      </c>
      <c r="B1390" t="inlineStr">
        <is>
          <t>Madurai Vosphene</t>
        </is>
      </c>
      <c r="C1390" t="inlineStr">
        <is>
          <t>https://wiki.warframe.com/w/Decorations/Orbiter_Decorations</t>
        </is>
      </c>
      <c r="D1390" t="inlineStr">
        <is>
          <t>ExportResources</t>
        </is>
      </c>
      <c r="F1390" t="inlineStr">
        <is>
          <t>Madurai Vosphene</t>
        </is>
      </c>
      <c r="H1390" t="inlineStr">
        <is>
          <t>Solved: place filled from the wiki and archived 2026-10-16.</t>
        </is>
      </c>
      <c r="I1390" t="inlineStr">
        <is>
          <t>Resources</t>
        </is>
      </c>
      <c r="M1390" t="inlineStr">
        <is>
          <t>Purchase from the Madurai Represent shop for 1,000,000 Madurai Focus points, after unlocking and fully ranking every node in the school (including both Way-Bounds).</t>
        </is>
      </c>
      <c r="N1390" t="inlineStr">
        <is>
          <t>Decorations/Orbiter Decorations | Focus</t>
        </is>
      </c>
      <c r="O1390" t="inlineStr">
        <is>
          <t>Saved a concrete acquisition place from the official Warframe Wiki (Decorations/Orbiter Decorations page).</t>
        </is>
      </c>
    </row>
    <row r="1391">
      <c r="A1391" t="inlineStr">
        <is>
          <t>/Lotus/Types/Items/ShipDecos/MasteryTrophies/Rank28Trophy</t>
        </is>
      </c>
      <c r="B1391" t="inlineStr">
        <is>
          <t>Master Mastery Slate</t>
        </is>
      </c>
      <c r="D1391" t="inlineStr">
        <is>
          <t>ExportResources</t>
        </is>
      </c>
      <c r="F1391" t="inlineStr">
        <is>
          <t>Master Mastery Slate</t>
        </is>
      </c>
      <c r="H1391" t="inlineStr">
        <is>
          <t>Solved: place filled from the wiki and archived 2026-10-16.</t>
        </is>
      </c>
      <c r="I1391" t="inlineStr">
        <is>
          <t>Resources</t>
        </is>
      </c>
      <c r="M1391" t="inlineStr">
        <is>
          <t>Reward for passing the Mastery Rank 28 Test.</t>
        </is>
      </c>
      <c r="N1391" t="inlineStr">
        <is>
          <t>Decorations/Orbiter Decorations</t>
        </is>
      </c>
      <c r="O1391" t="inlineStr">
        <is>
          <t>Saved a concrete acquisition place from the official Warframe Wiki (Decorations/Orbiter Decorations page).</t>
        </is>
      </c>
    </row>
    <row r="1392">
      <c r="A1392" t="inlineStr">
        <is>
          <t>/Lotus/Types/Items/ShipDecos/MasteryTrophies/Rank29Trophy</t>
        </is>
      </c>
      <c r="B1392" t="inlineStr">
        <is>
          <t>Middle Master Mastery Slate</t>
        </is>
      </c>
      <c r="D1392" t="inlineStr">
        <is>
          <t>ExportResources</t>
        </is>
      </c>
      <c r="F1392" t="inlineStr">
        <is>
          <t>Middle Master Mastery Slate</t>
        </is>
      </c>
      <c r="H1392" t="inlineStr">
        <is>
          <t>Solved: place filled from the wiki and archived 2026-10-16.</t>
        </is>
      </c>
      <c r="I1392" t="inlineStr">
        <is>
          <t>Resources</t>
        </is>
      </c>
      <c r="M1392" t="inlineStr">
        <is>
          <t>Reward for passing the Mastery Rank 29 Test.</t>
        </is>
      </c>
      <c r="N1392" t="inlineStr">
        <is>
          <t>Decorations/Orbiter Decorations</t>
        </is>
      </c>
      <c r="O1392" t="inlineStr">
        <is>
          <t>Saved a concrete acquisition place from the official Warframe Wiki (Decorations/Orbiter Decorations page).</t>
        </is>
      </c>
    </row>
    <row r="1393">
      <c r="A1393" t="inlineStr">
        <is>
          <t>/Lotus/Types/Items/ShipDecos/Focus/NaramonPoster</t>
        </is>
      </c>
      <c r="B1393" t="inlineStr">
        <is>
          <t>Naramon Poster</t>
        </is>
      </c>
      <c r="C1393" t="inlineStr">
        <is>
          <t>https://wiki.warframe.com/w/Decorations/Orbiter_Decorations</t>
        </is>
      </c>
      <c r="D1393" t="inlineStr">
        <is>
          <t>ExportResources</t>
        </is>
      </c>
      <c r="F1393" t="inlineStr">
        <is>
          <t>Naramon Poster</t>
        </is>
      </c>
      <c r="H1393" t="inlineStr">
        <is>
          <t>Solved: place filled from the wiki and archived 2026-10-16.</t>
        </is>
      </c>
      <c r="I1393" t="inlineStr">
        <is>
          <t>Resources</t>
        </is>
      </c>
      <c r="M1393" t="inlineStr">
        <is>
          <t>Purchase from the Naramon Represent shop for 1,000,000 Naramon Focus points, after unlocking and fully ranking every node in the school (including both Way-Bounds).</t>
        </is>
      </c>
      <c r="N1393" t="inlineStr">
        <is>
          <t>Decorations/Orbiter Decorations | Focus</t>
        </is>
      </c>
      <c r="O1393" t="inlineStr">
        <is>
          <t>Saved a concrete acquisition place from the official Warframe Wiki (Decorations/Orbiter Decorations page).</t>
        </is>
      </c>
    </row>
    <row r="1394">
      <c r="A1394" t="inlineStr">
        <is>
          <t>/Lotus/Types/Items/ShipDecos/Operator/SchoolDecalNaramon</t>
        </is>
      </c>
      <c r="B1394" t="inlineStr">
        <is>
          <t>Naramon Vosphene</t>
        </is>
      </c>
      <c r="C1394" t="inlineStr">
        <is>
          <t>https://wiki.warframe.com/w/Decorations/Orbiter_Decorations</t>
        </is>
      </c>
      <c r="D1394" t="inlineStr">
        <is>
          <t>ExportResources</t>
        </is>
      </c>
      <c r="F1394" t="inlineStr">
        <is>
          <t>Naramon Vosphene</t>
        </is>
      </c>
      <c r="H1394" t="inlineStr">
        <is>
          <t>Solved: place filled from the wiki and archived 2026-10-16.</t>
        </is>
      </c>
      <c r="I1394" t="inlineStr">
        <is>
          <t>Resources</t>
        </is>
      </c>
      <c r="M1394" t="inlineStr">
        <is>
          <t>Purchase from the Naramon Represent shop for 1,000,000 Naramon Focus points, after unlocking and fully ranking every node in the school (including both Way-Bounds).</t>
        </is>
      </c>
      <c r="N1394" t="inlineStr">
        <is>
          <t>Decorations/Orbiter Decorations | Focus</t>
        </is>
      </c>
      <c r="O1394" t="inlineStr">
        <is>
          <t>Saved a concrete acquisition place from the official Warframe Wiki (Decorations/Orbiter Decorations page).</t>
        </is>
      </c>
    </row>
    <row r="1395">
      <c r="A1395" t="inlineStr">
        <is>
          <t>/Lotus/Types/Recipes/LandingCraftRecipes/NightwaveShip/NoraShipAvionicsComponent</t>
        </is>
      </c>
      <c r="B1395" t="inlineStr">
        <is>
          <t>Nightwave Avionics</t>
        </is>
      </c>
      <c r="C1395" t="inlineStr">
        <is>
          <t>https://wiki.warframe.com/w/Nightwave/Offerings</t>
        </is>
      </c>
      <c r="D1395" t="inlineStr">
        <is>
          <t>ExportResources</t>
        </is>
      </c>
      <c r="F1395" t="inlineStr">
        <is>
          <t>Nightwave Avionics</t>
        </is>
      </c>
      <c r="H1395" t="inlineStr">
        <is>
          <t>Solved: place filled from the wiki and archived 2026-10-16.</t>
        </is>
      </c>
      <c r="I1395" t="inlineStr">
        <is>
          <t>Resources</t>
        </is>
      </c>
      <c r="M1395" t="inlineStr">
        <is>
          <t>Purchase the blueprint from Nightwave Offerings for 35 Nightwave Creds.</t>
        </is>
      </c>
      <c r="N1395" t="inlineStr">
        <is>
          <t>Nightwave/Offerings</t>
        </is>
      </c>
      <c r="O1395" t="inlineStr">
        <is>
          <t>Saved a concrete acquisition place from the official Warframe Wiki (Nightwave/Offerings page).</t>
        </is>
      </c>
    </row>
    <row r="1396">
      <c r="A1396" t="inlineStr">
        <is>
          <t>/Lotus/Types/Recipes/LandingCraftRecipes/NightwaveShip/NoraShipEnginesComponent</t>
        </is>
      </c>
      <c r="B1396" t="inlineStr">
        <is>
          <t>Nightwave Engines</t>
        </is>
      </c>
      <c r="C1396" t="inlineStr">
        <is>
          <t>https://wiki.warframe.com/w/Nightwave/Offerings</t>
        </is>
      </c>
      <c r="D1396" t="inlineStr">
        <is>
          <t>ExportResources</t>
        </is>
      </c>
      <c r="F1396" t="inlineStr">
        <is>
          <t>Nightwave Engines</t>
        </is>
      </c>
      <c r="H1396" t="inlineStr">
        <is>
          <t>Solved: place filled from the wiki and archived 2026-10-16.</t>
        </is>
      </c>
      <c r="I1396" t="inlineStr">
        <is>
          <t>Resources</t>
        </is>
      </c>
      <c r="M1396" t="inlineStr">
        <is>
          <t>Purchase the blueprint from Nightwave Offerings for 35 Nightwave Creds.</t>
        </is>
      </c>
      <c r="N1396" t="inlineStr">
        <is>
          <t>Nightwave/Offerings</t>
        </is>
      </c>
      <c r="O1396" t="inlineStr">
        <is>
          <t>Saved a concrete acquisition place from the official Warframe Wiki (Nightwave/Offerings page).</t>
        </is>
      </c>
    </row>
    <row r="1397">
      <c r="A1397" t="inlineStr">
        <is>
          <t>/Lotus/Types/Recipes/LandingCraftRecipes/NightwaveShip/NoraShipFuselageComponent</t>
        </is>
      </c>
      <c r="B1397" t="inlineStr">
        <is>
          <t>Nightwave Fuselage</t>
        </is>
      </c>
      <c r="C1397" t="inlineStr">
        <is>
          <t>https://wiki.warframe.com/w/Nightwave/Offerings</t>
        </is>
      </c>
      <c r="D1397" t="inlineStr">
        <is>
          <t>ExportResources</t>
        </is>
      </c>
      <c r="F1397" t="inlineStr">
        <is>
          <t>Nightwave Fuselage</t>
        </is>
      </c>
      <c r="H1397" t="inlineStr">
        <is>
          <t>Solved: place filled from the wiki and archived 2026-10-16.</t>
        </is>
      </c>
      <c r="I1397" t="inlineStr">
        <is>
          <t>Resources</t>
        </is>
      </c>
      <c r="M1397" t="inlineStr">
        <is>
          <t>Purchase the blueprint from Nightwave Offerings for 35 Nightwave Creds.</t>
        </is>
      </c>
      <c r="N1397" t="inlineStr">
        <is>
          <t>Nightwave/Offerings</t>
        </is>
      </c>
      <c r="O1397" t="inlineStr">
        <is>
          <t>Saved a concrete acquisition place from the official Warframe Wiki (Nightwave/Offerings page).</t>
        </is>
      </c>
    </row>
    <row r="1398">
      <c r="A1398" t="inlineStr">
        <is>
          <t>/Lotus/Types/Items/ShipDecos/HexAmirBobbleHead</t>
        </is>
      </c>
      <c r="B1398" t="inlineStr">
        <is>
          <t>Noggle Statue - Amir Beckett</t>
        </is>
      </c>
      <c r="D1398" t="inlineStr">
        <is>
          <t>ExportResources</t>
        </is>
      </c>
      <c r="F1398" t="inlineStr">
        <is>
          <t>Noggle Statue - Amir Beckett</t>
        </is>
      </c>
      <c r="H1398" t="inlineStr">
        <is>
          <t>Solved: place filled from the wiki and archived 2026-10-16.</t>
        </is>
      </c>
      <c r="I1398" t="inlineStr">
        <is>
          <t>Resources</t>
        </is>
      </c>
      <c r="M1398" t="inlineStr">
        <is>
          <t>Reward for completing the finale of The Hex quest.</t>
        </is>
      </c>
      <c r="N1398" t="inlineStr">
        <is>
          <t>Decorations/Orbiter Decorations</t>
        </is>
      </c>
      <c r="O1398" t="inlineStr">
        <is>
          <t>Saved a concrete acquisition place from the official Warframe Wiki (Decorations/Orbiter Decorations page).</t>
        </is>
      </c>
    </row>
    <row r="1399">
      <c r="A1399" t="inlineStr">
        <is>
          <t>/Lotus/Types/Items/ShipDecos/AcolyteStrikerBobbleHead</t>
        </is>
      </c>
      <c r="B1399" t="inlineStr">
        <is>
          <t>Noggle Statue - Angst</t>
        </is>
      </c>
      <c r="D1399" t="inlineStr">
        <is>
          <t>ExportResources</t>
        </is>
      </c>
      <c r="F1399" t="inlineStr">
        <is>
          <t>Noggle Statue - Angst</t>
        </is>
      </c>
      <c r="H1399" t="inlineStr">
        <is>
          <t>Solved: place filled from the wiki and archived 2026-10-16.</t>
        </is>
      </c>
      <c r="I1399" t="inlineStr">
        <is>
          <t>Resources</t>
        </is>
      </c>
      <c r="M1399" t="inlineStr">
        <is>
          <t>In-game Market for 35 Platinum during Nights of Naberus.</t>
        </is>
      </c>
      <c r="N1399" t="inlineStr">
        <is>
          <t>Decorations/Orbiter Decorations</t>
        </is>
      </c>
      <c r="O1399" t="inlineStr">
        <is>
          <t>Saved a concrete acquisition place from the official Warframe Wiki (Decorations/Orbiter Decorations page).</t>
        </is>
      </c>
    </row>
    <row r="1400">
      <c r="A1400" t="inlineStr">
        <is>
          <t>/Lotus/Types/Items/ShipDecos/HexAoiBobbleHead</t>
        </is>
      </c>
      <c r="B1400" t="inlineStr">
        <is>
          <t>Noggle Statue - Aoi Morohoshi</t>
        </is>
      </c>
      <c r="D1400" t="inlineStr">
        <is>
          <t>ExportResources</t>
        </is>
      </c>
      <c r="F1400" t="inlineStr">
        <is>
          <t>Noggle Statue - Aoi Morohoshi</t>
        </is>
      </c>
      <c r="H1400" t="inlineStr">
        <is>
          <t>Solved: place filled from the wiki and archived 2026-10-16.</t>
        </is>
      </c>
      <c r="I1400" t="inlineStr">
        <is>
          <t>Resources</t>
        </is>
      </c>
      <c r="M1400" t="inlineStr">
        <is>
          <t>Reward for completing the finale of The Hex quest.</t>
        </is>
      </c>
      <c r="N1400" t="inlineStr">
        <is>
          <t>Decorations/Orbiter Decorations</t>
        </is>
      </c>
      <c r="O1400" t="inlineStr">
        <is>
          <t>Saved a concrete acquisition place from the official Warframe Wiki (Decorations/Orbiter Decorations page).</t>
        </is>
      </c>
    </row>
    <row r="1401">
      <c r="A1401" t="inlineStr">
        <is>
          <t>/Lotus/Types/Items/ShipDecos/HexArthurBobbleHead</t>
        </is>
      </c>
      <c r="B1401" t="inlineStr">
        <is>
          <t>Noggle Statue - Arthur Nightingale</t>
        </is>
      </c>
      <c r="D1401" t="inlineStr">
        <is>
          <t>ExportResources</t>
        </is>
      </c>
      <c r="F1401" t="inlineStr">
        <is>
          <t>Noggle Statue - Arthur Nightingale</t>
        </is>
      </c>
      <c r="H1401" t="inlineStr">
        <is>
          <t>Solved: place filled from the wiki and archived 2026-10-16.</t>
        </is>
      </c>
      <c r="I1401" t="inlineStr">
        <is>
          <t>Resources</t>
        </is>
      </c>
      <c r="M1401" t="inlineStr">
        <is>
          <t>Reward for completing the finale of The Hex quest.</t>
        </is>
      </c>
      <c r="N1401" t="inlineStr">
        <is>
          <t>Decorations/Orbiter Decorations</t>
        </is>
      </c>
      <c r="O1401" t="inlineStr">
        <is>
          <t>Saved a concrete acquisition place from the official Warframe Wiki (Decorations/Orbiter Decorations page).</t>
        </is>
      </c>
    </row>
    <row r="1402">
      <c r="A1402" t="inlineStr">
        <is>
          <t>/Lotus/Types/Items/ShipDecos/AshPrimeBobbleHead</t>
        </is>
      </c>
      <c r="B1402" t="inlineStr">
        <is>
          <t>Noggle Statue - Ash Prime</t>
        </is>
      </c>
      <c r="D1402" t="inlineStr">
        <is>
          <t>ExportResources</t>
        </is>
      </c>
      <c r="F1402" t="inlineStr">
        <is>
          <t>Noggle Statue - Ash Prime</t>
        </is>
      </c>
      <c r="H1402" t="inlineStr">
        <is>
          <t>Solved: place filled from the wiki and archived 2026-10-16.</t>
        </is>
      </c>
      <c r="I1402" t="inlineStr">
        <is>
          <t>Resources</t>
        </is>
      </c>
      <c r="M1402" t="inlineStr">
        <is>
          <t>Included in the Prime Access or Prime Vault pack for this Warframe, or sold individually by Varzia during Prime Resurgence.</t>
        </is>
      </c>
      <c r="N1402" t="inlineStr">
        <is>
          <t>Decorations/Orbiter Decorations</t>
        </is>
      </c>
      <c r="O1402" t="inlineStr">
        <is>
          <t>Saved a concrete acquisition place from the official Warframe Wiki (Decorations/Orbiter Decorations page).</t>
        </is>
      </c>
    </row>
    <row r="1403">
      <c r="A1403" t="inlineStr">
        <is>
          <t>/Lotus/Types/Items/ShipDecos/AtlasPrimeBobbleHead</t>
        </is>
      </c>
      <c r="B1403" t="inlineStr">
        <is>
          <t>Noggle Statue - Atlas Prime</t>
        </is>
      </c>
      <c r="D1403" t="inlineStr">
        <is>
          <t>ExportResources</t>
        </is>
      </c>
      <c r="F1403" t="inlineStr">
        <is>
          <t>Noggle Statue - Atlas Prime</t>
        </is>
      </c>
      <c r="H1403" t="inlineStr">
        <is>
          <t>Solved: place filled from the wiki and archived 2026-10-16.</t>
        </is>
      </c>
      <c r="I1403" t="inlineStr">
        <is>
          <t>Resources</t>
        </is>
      </c>
      <c r="M1403" t="inlineStr">
        <is>
          <t>Included in the Prime Access or Prime Vault pack for this Warframe, or sold individually by Varzia during Prime Resurgence.</t>
        </is>
      </c>
      <c r="N1403" t="inlineStr">
        <is>
          <t>Decorations/Orbiter Decorations</t>
        </is>
      </c>
      <c r="O1403" t="inlineStr">
        <is>
          <t>Saved a concrete acquisition place from the official Warframe Wiki (Decorations/Orbiter Decorations page).</t>
        </is>
      </c>
    </row>
    <row r="1404">
      <c r="A1404" t="inlineStr">
        <is>
          <t>/Lotus/Types/Items/ShipDecos/BansheePrimeBobbleHead</t>
        </is>
      </c>
      <c r="B1404" t="inlineStr">
        <is>
          <t>Noggle Statue - Banshee Prime</t>
        </is>
      </c>
      <c r="D1404" t="inlineStr">
        <is>
          <t>ExportResources</t>
        </is>
      </c>
      <c r="F1404" t="inlineStr">
        <is>
          <t>Noggle Statue - Banshee Prime</t>
        </is>
      </c>
      <c r="H1404" t="inlineStr">
        <is>
          <t>Solved: place filled from the wiki and archived 2026-10-16.</t>
        </is>
      </c>
      <c r="I1404" t="inlineStr">
        <is>
          <t>Resources</t>
        </is>
      </c>
      <c r="M1404" t="inlineStr">
        <is>
          <t>Included in the Prime Access or Prime Vault pack for this Warframe, or sold individually by Varzia during Prime Resurgence.</t>
        </is>
      </c>
      <c r="N1404" t="inlineStr">
        <is>
          <t>Decorations/Orbiter Decorations</t>
        </is>
      </c>
      <c r="O1404" t="inlineStr">
        <is>
          <t>Saved a concrete acquisition place from the official Warframe Wiki (Decorations/Orbiter Decorations page).</t>
        </is>
      </c>
    </row>
    <row r="1405">
      <c r="A1405" t="inlineStr">
        <is>
          <t>/Lotus/Types/Items/ShipDecos/BaruukPrimeBobbleHead</t>
        </is>
      </c>
      <c r="B1405" t="inlineStr">
        <is>
          <t>Noggle Statue - Baruuk Prime</t>
        </is>
      </c>
      <c r="D1405" t="inlineStr">
        <is>
          <t>ExportResources</t>
        </is>
      </c>
      <c r="F1405" t="inlineStr">
        <is>
          <t>Noggle Statue - Baruuk Prime</t>
        </is>
      </c>
      <c r="H1405" t="inlineStr">
        <is>
          <t>Solved: place filled from the wiki and archived 2026-10-16.</t>
        </is>
      </c>
      <c r="I1405" t="inlineStr">
        <is>
          <t>Resources</t>
        </is>
      </c>
      <c r="M1405" t="inlineStr">
        <is>
          <t>Included in the Prime Access or Prime Vault pack for this Warframe, or sold individually by Varzia during Prime Resurgence.</t>
        </is>
      </c>
      <c r="N1405" t="inlineStr">
        <is>
          <t>Decorations/Orbiter Decorations</t>
        </is>
      </c>
      <c r="O1405" t="inlineStr">
        <is>
          <t>Saved a concrete acquisition place from the official Warframe Wiki (Decorations/Orbiter Decorations page).</t>
        </is>
      </c>
    </row>
    <row r="1406">
      <c r="A1406" t="inlineStr">
        <is>
          <t>/Lotus/Types/Items/ShipDecos/CalibanPrimeBobbleHead</t>
        </is>
      </c>
      <c r="B1406" t="inlineStr">
        <is>
          <t>Noggle Statue - Caliban Prime</t>
        </is>
      </c>
      <c r="D1406" t="inlineStr">
        <is>
          <t>ExportResources</t>
        </is>
      </c>
      <c r="F1406" t="inlineStr">
        <is>
          <t>Noggle Statue - Caliban Prime</t>
        </is>
      </c>
      <c r="H1406" t="inlineStr">
        <is>
          <t>Solved: place filled from the wiki and archived 2026-10-16.</t>
        </is>
      </c>
      <c r="I1406" t="inlineStr">
        <is>
          <t>Resources</t>
        </is>
      </c>
      <c r="M1406" t="inlineStr">
        <is>
          <t>Included in the Prime Access or Prime Vault pack for this Warframe, or sold individually by Varzia during Prime Resurgence.</t>
        </is>
      </c>
      <c r="N1406" t="inlineStr">
        <is>
          <t>Decorations/Orbiter Decorations</t>
        </is>
      </c>
      <c r="O1406" t="inlineStr">
        <is>
          <t>Saved a concrete acquisition place from the official Warframe Wiki (Decorations/Orbiter Decorations page).</t>
        </is>
      </c>
    </row>
    <row r="1407">
      <c r="A1407" t="inlineStr">
        <is>
          <t>/Lotus/Types/Items/ShipDecos/ChromaPrimeBobbleHead</t>
        </is>
      </c>
      <c r="B1407" t="inlineStr">
        <is>
          <t>Noggle Statue - Chroma Prime</t>
        </is>
      </c>
      <c r="D1407" t="inlineStr">
        <is>
          <t>ExportResources</t>
        </is>
      </c>
      <c r="F1407" t="inlineStr">
        <is>
          <t>Noggle Statue - Chroma Prime</t>
        </is>
      </c>
      <c r="H1407" t="inlineStr">
        <is>
          <t>Solved: place filled from the wiki and archived 2026-10-16.</t>
        </is>
      </c>
      <c r="I1407" t="inlineStr">
        <is>
          <t>Resources</t>
        </is>
      </c>
      <c r="M1407" t="inlineStr">
        <is>
          <t>Included in the Prime Access or Prime Vault pack for this Warframe, or sold individually by Varzia during Prime Resurgence.</t>
        </is>
      </c>
      <c r="N1407" t="inlineStr">
        <is>
          <t>Decorations/Orbiter Decorations</t>
        </is>
      </c>
      <c r="O1407" t="inlineStr">
        <is>
          <t>Saved a concrete acquisition place from the official Warframe Wiki (Decorations/Orbiter Decorations page).</t>
        </is>
      </c>
    </row>
    <row r="1408">
      <c r="A1408" t="inlineStr">
        <is>
          <t>/Lotus/Types/Items/ShipDecos/HexEleanorBobbleHead</t>
        </is>
      </c>
      <c r="B1408" t="inlineStr">
        <is>
          <t>Noggle Statue - Eleanor Nightingale</t>
        </is>
      </c>
      <c r="D1408" t="inlineStr">
        <is>
          <t>ExportResources</t>
        </is>
      </c>
      <c r="F1408" t="inlineStr">
        <is>
          <t>Noggle Statue - Eleanor Nightingale</t>
        </is>
      </c>
      <c r="H1408" t="inlineStr">
        <is>
          <t>Solved: place filled from the wiki and archived 2026-10-16.</t>
        </is>
      </c>
      <c r="I1408" t="inlineStr">
        <is>
          <t>Resources</t>
        </is>
      </c>
      <c r="M1408" t="inlineStr">
        <is>
          <t>Reward for completing the finale of The Hex quest.</t>
        </is>
      </c>
      <c r="N1408" t="inlineStr">
        <is>
          <t>Decorations/Orbiter Decorations</t>
        </is>
      </c>
      <c r="O1408" t="inlineStr">
        <is>
          <t>Saved a concrete acquisition place from the official Warframe Wiki (Decorations/Orbiter Decorations page).</t>
        </is>
      </c>
    </row>
    <row r="1409">
      <c r="A1409" t="inlineStr">
        <is>
          <t>/Lotus/Types/Items/ShipDecos/EmberPrimeBobbleHead</t>
        </is>
      </c>
      <c r="B1409" t="inlineStr">
        <is>
          <t>Noggle Statue - Ember Prime</t>
        </is>
      </c>
      <c r="D1409" t="inlineStr">
        <is>
          <t>ExportResources</t>
        </is>
      </c>
      <c r="F1409" t="inlineStr">
        <is>
          <t>Noggle Statue - Ember Prime</t>
        </is>
      </c>
      <c r="H1409" t="inlineStr">
        <is>
          <t>Solved: place filled from the wiki and archived 2026-10-16.</t>
        </is>
      </c>
      <c r="I1409" t="inlineStr">
        <is>
          <t>Resources</t>
        </is>
      </c>
      <c r="M1409" t="inlineStr">
        <is>
          <t>Included in the Prime Access or Prime Vault pack for this Warframe, or sold individually by Varzia during Prime Resurgence.</t>
        </is>
      </c>
      <c r="N1409" t="inlineStr">
        <is>
          <t>Decorations/Orbiter Decorations</t>
        </is>
      </c>
      <c r="O1409" t="inlineStr">
        <is>
          <t>Saved a concrete acquisition place from the official Warframe Wiki (Decorations/Orbiter Decorations page).</t>
        </is>
      </c>
    </row>
    <row r="1410">
      <c r="A1410" t="inlineStr">
        <is>
          <t>/Lotus/Types/Items/ShipDecos/EquinoxPrimeBobbleHead</t>
        </is>
      </c>
      <c r="B1410" t="inlineStr">
        <is>
          <t>Noggle Statue - Equinox Prime Combined-Form</t>
        </is>
      </c>
      <c r="D1410" t="inlineStr">
        <is>
          <t>ExportResources</t>
        </is>
      </c>
      <c r="F1410" t="inlineStr">
        <is>
          <t>Noggle Statue - Equinox Prime Combined-Form</t>
        </is>
      </c>
      <c r="H1410" t="inlineStr">
        <is>
          <t>Solved: place filled from the wiki and archived 2026-10-16.</t>
        </is>
      </c>
      <c r="I1410" t="inlineStr">
        <is>
          <t>Resources</t>
        </is>
      </c>
      <c r="M1410" t="inlineStr">
        <is>
          <t>Included in the Prime Access or Prime Vault pack for this Warframe, or sold individually by Varzia during Prime Resurgence.</t>
        </is>
      </c>
      <c r="N1410" t="inlineStr">
        <is>
          <t>Decorations/Orbiter Decorations</t>
        </is>
      </c>
      <c r="O1410" t="inlineStr">
        <is>
          <t>Saved a concrete acquisition place from the official Warframe Wiki (Decorations/Orbiter Decorations page).</t>
        </is>
      </c>
    </row>
    <row r="1411">
      <c r="A1411" t="inlineStr">
        <is>
          <t>/Lotus/Types/Items/ShipDecos/EquinoxPrimeDayBobbleHead</t>
        </is>
      </c>
      <c r="B1411" t="inlineStr">
        <is>
          <t>Noggle Statue - Equinox Prime Day-Form</t>
        </is>
      </c>
      <c r="D1411" t="inlineStr">
        <is>
          <t>ExportResources</t>
        </is>
      </c>
      <c r="F1411" t="inlineStr">
        <is>
          <t>Noggle Statue - Equinox Prime Day-Form</t>
        </is>
      </c>
      <c r="H1411" t="inlineStr">
        <is>
          <t>Solved: place filled from the wiki and archived 2026-10-16.</t>
        </is>
      </c>
      <c r="I1411" t="inlineStr">
        <is>
          <t>Resources</t>
        </is>
      </c>
      <c r="M1411" t="inlineStr">
        <is>
          <t>Included in the Prime Access or Prime Vault pack for this Warframe, or sold individually by Varzia during Prime Resurgence.</t>
        </is>
      </c>
      <c r="N1411" t="inlineStr">
        <is>
          <t>Decorations/Orbiter Decorations</t>
        </is>
      </c>
      <c r="O1411" t="inlineStr">
        <is>
          <t>Saved a concrete acquisition place from the official Warframe Wiki (Decorations/Orbiter Decorations page).</t>
        </is>
      </c>
    </row>
    <row r="1412">
      <c r="A1412" t="inlineStr">
        <is>
          <t>/Lotus/Types/Items/ShipDecos/EquinoxPrimeNightBobbleHead</t>
        </is>
      </c>
      <c r="B1412" t="inlineStr">
        <is>
          <t>Noggle Statue - Equinox Prime Night-Form</t>
        </is>
      </c>
      <c r="D1412" t="inlineStr">
        <is>
          <t>ExportResources</t>
        </is>
      </c>
      <c r="F1412" t="inlineStr">
        <is>
          <t>Noggle Statue - Equinox Prime Night-Form</t>
        </is>
      </c>
      <c r="H1412" t="inlineStr">
        <is>
          <t>Solved: place filled from the wiki and archived 2026-10-16.</t>
        </is>
      </c>
      <c r="I1412" t="inlineStr">
        <is>
          <t>Resources</t>
        </is>
      </c>
      <c r="M1412" t="inlineStr">
        <is>
          <t>Included in the Prime Access or Prime Vault pack for this Warframe, or sold individually by Varzia during Prime Resurgence.</t>
        </is>
      </c>
      <c r="N1412" t="inlineStr">
        <is>
          <t>Decorations/Orbiter Decorations</t>
        </is>
      </c>
      <c r="O1412" t="inlineStr">
        <is>
          <t>Saved a concrete acquisition place from the official Warframe Wiki (Decorations/Orbiter Decorations page).</t>
        </is>
      </c>
    </row>
    <row r="1413">
      <c r="A1413" t="inlineStr">
        <is>
          <t>/Lotus/Types/Items/ShipDecos/ExcaliburDexBobbleHead</t>
        </is>
      </c>
      <c r="B1413" t="inlineStr">
        <is>
          <t>Noggle Statue - Excalibur Dex</t>
        </is>
      </c>
      <c r="D1413" t="inlineStr">
        <is>
          <t>ExportResources</t>
        </is>
      </c>
      <c r="F1413" t="inlineStr">
        <is>
          <t>Noggle Statue - Excalibur Dex</t>
        </is>
      </c>
      <c r="H1413" t="inlineStr">
        <is>
          <t>Solved: place filled from the wiki and archived 2026-10-16.</t>
        </is>
      </c>
      <c r="I1413" t="inlineStr">
        <is>
          <t>Resources</t>
        </is>
      </c>
      <c r="M1413" t="inlineStr">
        <is>
          <t>Reward from the Anniversary event.</t>
        </is>
      </c>
      <c r="N1413" t="inlineStr">
        <is>
          <t>Decorations/Orbiter Decorations</t>
        </is>
      </c>
      <c r="O1413" t="inlineStr">
        <is>
          <t>Saved a concrete acquisition place from the official Warframe Wiki (Decorations/Orbiter Decorations page).</t>
        </is>
      </c>
    </row>
    <row r="1414">
      <c r="A1414" t="inlineStr">
        <is>
          <t>/Lotus/Types/Items/ShipDecos/ExcaliburObsidianBobbleHead</t>
        </is>
      </c>
      <c r="B1414" t="inlineStr">
        <is>
          <t>Noggle Statue - Excalibur Obsidian</t>
        </is>
      </c>
      <c r="D1414" t="inlineStr">
        <is>
          <t>ExportResources</t>
        </is>
      </c>
      <c r="F1414" t="inlineStr">
        <is>
          <t>Noggle Statue - Excalibur Obsidian</t>
        </is>
      </c>
      <c r="H1414" t="inlineStr">
        <is>
          <t>Solved: place filled from the wiki and archived 2026-10-16.</t>
        </is>
      </c>
      <c r="I1414" t="inlineStr">
        <is>
          <t>Resources</t>
        </is>
      </c>
      <c r="M1414" t="inlineStr">
        <is>
          <t>PlayStation 4 exclusive.</t>
        </is>
      </c>
      <c r="N1414" t="inlineStr">
        <is>
          <t>Decorations/Orbiter Decorations</t>
        </is>
      </c>
      <c r="O1414" t="inlineStr">
        <is>
          <t>Saved a concrete acquisition place from the official Warframe Wiki (Decorations/Orbiter Decorations page).</t>
        </is>
      </c>
    </row>
    <row r="1415">
      <c r="A1415" t="inlineStr">
        <is>
          <t>/Lotus/Types/Items/ShipDecos/ExcaliburObsidianAzuraBobbleHead</t>
        </is>
      </c>
      <c r="B1415" t="inlineStr">
        <is>
          <t>Noggle Statue - Excalibur Obsidian Azura</t>
        </is>
      </c>
      <c r="D1415" t="inlineStr">
        <is>
          <t>ExportResources</t>
        </is>
      </c>
      <c r="F1415" t="inlineStr">
        <is>
          <t>Noggle Statue - Excalibur Obsidian Azura</t>
        </is>
      </c>
      <c r="H1415" t="inlineStr">
        <is>
          <t>Solved: place filled from the wiki and archived 2026-10-16.</t>
        </is>
      </c>
      <c r="I1415" t="inlineStr">
        <is>
          <t>Resources</t>
        </is>
      </c>
      <c r="M1415" t="inlineStr">
        <is>
          <t>PlayStation 4 exclusive.</t>
        </is>
      </c>
      <c r="N1415" t="inlineStr">
        <is>
          <t>Decorations/Orbiter Decorations</t>
        </is>
      </c>
      <c r="O1415" t="inlineStr">
        <is>
          <t>Saved a concrete acquisition place from the official Warframe Wiki (Decorations/Orbiter Decorations page).</t>
        </is>
      </c>
    </row>
    <row r="1416">
      <c r="A1416" t="inlineStr">
        <is>
          <t>/Lotus/Types/Items/ShipDecos/ExcaliburPrimeBobbleHead</t>
        </is>
      </c>
      <c r="B1416" t="inlineStr">
        <is>
          <t>Noggle Statue - Excalibur Prime</t>
        </is>
      </c>
      <c r="D1416" t="inlineStr">
        <is>
          <t>ExportResources</t>
        </is>
      </c>
      <c r="F1416" t="inlineStr">
        <is>
          <t>Noggle Statue - Excalibur Prime</t>
        </is>
      </c>
      <c r="H1416" t="inlineStr">
        <is>
          <t>Solved: place filled from the wiki and archived 2026-10-16.</t>
        </is>
      </c>
      <c r="I1416" t="inlineStr">
        <is>
          <t>Resources</t>
        </is>
      </c>
      <c r="M1416" t="inlineStr">
        <is>
          <t>Founders exclusive (no longer obtainable).</t>
        </is>
      </c>
      <c r="N1416" t="inlineStr">
        <is>
          <t>Decorations/Orbiter Decorations</t>
        </is>
      </c>
      <c r="O1416" t="inlineStr">
        <is>
          <t>Saved a concrete acquisition place from the official Warframe Wiki (Decorations/Orbiter Decorations page).</t>
        </is>
      </c>
    </row>
    <row r="1417">
      <c r="A1417" t="inlineStr">
        <is>
          <t>/Lotus/Types/Items/ShipDecos/ExcaliburUmbraBobbleHead</t>
        </is>
      </c>
      <c r="B1417" t="inlineStr">
        <is>
          <t>Noggle Statue - Excalibur Umbra</t>
        </is>
      </c>
      <c r="D1417" t="inlineStr">
        <is>
          <t>ExportResources</t>
        </is>
      </c>
      <c r="F1417" t="inlineStr">
        <is>
          <t>Noggle Statue - Excalibur Umbra</t>
        </is>
      </c>
      <c r="H1417" t="inlineStr">
        <is>
          <t>Solved: place filled from the wiki and archived 2026-10-16.</t>
        </is>
      </c>
      <c r="I1417" t="inlineStr">
        <is>
          <t>Resources</t>
        </is>
      </c>
      <c r="M1417" t="inlineStr">
        <is>
          <t>Exclusive with the Excalibur Umbra Collector's Statue purchase.</t>
        </is>
      </c>
      <c r="N1417" t="inlineStr">
        <is>
          <t>Decorations/Orbiter Decorations</t>
        </is>
      </c>
      <c r="O1417" t="inlineStr">
        <is>
          <t>Saved a concrete acquisition place from the official Warframe Wiki (Decorations/Orbiter Decorations page).</t>
        </is>
      </c>
    </row>
    <row r="1418">
      <c r="A1418" t="inlineStr">
        <is>
          <t>/Lotus/Types/Items/ShipDecos/FrostPrimeBobbleHead</t>
        </is>
      </c>
      <c r="B1418" t="inlineStr">
        <is>
          <t>Noggle Statue - Frost Prime</t>
        </is>
      </c>
      <c r="D1418" t="inlineStr">
        <is>
          <t>ExportResources</t>
        </is>
      </c>
      <c r="F1418" t="inlineStr">
        <is>
          <t>Noggle Statue - Frost Prime</t>
        </is>
      </c>
      <c r="H1418" t="inlineStr">
        <is>
          <t>Solved: place filled from the wiki and archived 2026-10-16.</t>
        </is>
      </c>
      <c r="I1418" t="inlineStr">
        <is>
          <t>Resources</t>
        </is>
      </c>
      <c r="M1418" t="inlineStr">
        <is>
          <t>Included in the Prime Access or Prime Vault pack for this Warframe, or sold individually by Varzia during Prime Resurgence.</t>
        </is>
      </c>
      <c r="N1418" t="inlineStr">
        <is>
          <t>Decorations/Orbiter Decorations</t>
        </is>
      </c>
      <c r="O1418" t="inlineStr">
        <is>
          <t>Saved a concrete acquisition place from the official Warframe Wiki (Decorations/Orbiter Decorations page).</t>
        </is>
      </c>
    </row>
    <row r="1419">
      <c r="A1419" t="inlineStr">
        <is>
          <t>/Lotus/Types/Items/ShipDecos/GaraPrimeBobbleHead</t>
        </is>
      </c>
      <c r="B1419" t="inlineStr">
        <is>
          <t>Noggle Statue - Gara Prime</t>
        </is>
      </c>
      <c r="D1419" t="inlineStr">
        <is>
          <t>ExportResources</t>
        </is>
      </c>
      <c r="F1419" t="inlineStr">
        <is>
          <t>Noggle Statue - Gara Prime</t>
        </is>
      </c>
      <c r="H1419" t="inlineStr">
        <is>
          <t>Solved: place filled from the wiki and archived 2026-10-16.</t>
        </is>
      </c>
      <c r="I1419" t="inlineStr">
        <is>
          <t>Resources</t>
        </is>
      </c>
      <c r="M1419" t="inlineStr">
        <is>
          <t>Included in the Prime Access or Prime Vault pack for this Warframe, or sold individually by Varzia during Prime Resurgence.</t>
        </is>
      </c>
      <c r="N1419" t="inlineStr">
        <is>
          <t>Decorations/Orbiter Decorations</t>
        </is>
      </c>
      <c r="O1419" t="inlineStr">
        <is>
          <t>Saved a concrete acquisition place from the official Warframe Wiki (Decorations/Orbiter Decorations page).</t>
        </is>
      </c>
    </row>
    <row r="1420">
      <c r="A1420" t="inlineStr">
        <is>
          <t>/Lotus/Types/Items/ShipDecos/GarudaPrimeBobbleHead</t>
        </is>
      </c>
      <c r="B1420" t="inlineStr">
        <is>
          <t>Noggle Statue - Garuda Prime</t>
        </is>
      </c>
      <c r="D1420" t="inlineStr">
        <is>
          <t>ExportResources</t>
        </is>
      </c>
      <c r="F1420" t="inlineStr">
        <is>
          <t>Noggle Statue - Garuda Prime</t>
        </is>
      </c>
      <c r="H1420" t="inlineStr">
        <is>
          <t>Solved: place filled from the wiki and archived 2026-10-16.</t>
        </is>
      </c>
      <c r="I1420" t="inlineStr">
        <is>
          <t>Resources</t>
        </is>
      </c>
      <c r="M1420" t="inlineStr">
        <is>
          <t>Included in the Prime Access or Prime Vault pack for this Warframe, or sold individually by Varzia during Prime Resurgence.</t>
        </is>
      </c>
      <c r="N1420" t="inlineStr">
        <is>
          <t>Decorations/Orbiter Decorations</t>
        </is>
      </c>
      <c r="O1420" t="inlineStr">
        <is>
          <t>Saved a concrete acquisition place from the official Warframe Wiki (Decorations/Orbiter Decorations page).</t>
        </is>
      </c>
    </row>
    <row r="1421">
      <c r="A1421" t="inlineStr">
        <is>
          <t>/Lotus/Types/Items/ShipDecos/GrendelPrimeBobbleHead</t>
        </is>
      </c>
      <c r="B1421" t="inlineStr">
        <is>
          <t>Noggle Statue - Grendel Prime</t>
        </is>
      </c>
      <c r="D1421" t="inlineStr">
        <is>
          <t>ExportResources</t>
        </is>
      </c>
      <c r="F1421" t="inlineStr">
        <is>
          <t>Noggle Statue - Grendel Prime</t>
        </is>
      </c>
      <c r="H1421" t="inlineStr">
        <is>
          <t>Solved: place filled from the wiki and archived 2026-10-16.</t>
        </is>
      </c>
      <c r="I1421" t="inlineStr">
        <is>
          <t>Resources</t>
        </is>
      </c>
      <c r="M1421" t="inlineStr">
        <is>
          <t>Included in the Prime Access or Prime Vault pack for this Warframe, or sold individually by Varzia during Prime Resurgence.</t>
        </is>
      </c>
      <c r="N1421" t="inlineStr">
        <is>
          <t>Decorations/Orbiter Decorations</t>
        </is>
      </c>
      <c r="O1421" t="inlineStr">
        <is>
          <t>Saved a concrete acquisition place from the official Warframe Wiki (Decorations/Orbiter Decorations page).</t>
        </is>
      </c>
    </row>
    <row r="1422">
      <c r="A1422" t="inlineStr">
        <is>
          <t>/Lotus/Types/Items/ShipDecos/HarrowPrimeBobbleHead</t>
        </is>
      </c>
      <c r="B1422" t="inlineStr">
        <is>
          <t>Noggle Statue - Harrow Prime</t>
        </is>
      </c>
      <c r="D1422" t="inlineStr">
        <is>
          <t>ExportResources</t>
        </is>
      </c>
      <c r="F1422" t="inlineStr">
        <is>
          <t>Noggle Statue - Harrow Prime</t>
        </is>
      </c>
      <c r="H1422" t="inlineStr">
        <is>
          <t>Solved: place filled from the wiki and archived 2026-10-16.</t>
        </is>
      </c>
      <c r="I1422" t="inlineStr">
        <is>
          <t>Resources</t>
        </is>
      </c>
      <c r="M1422" t="inlineStr">
        <is>
          <t>Included in the Prime Access or Prime Vault pack for this Warframe, or sold individually by Varzia during Prime Resurgence.</t>
        </is>
      </c>
      <c r="N1422" t="inlineStr">
        <is>
          <t>Decorations/Orbiter Decorations</t>
        </is>
      </c>
      <c r="O1422" t="inlineStr">
        <is>
          <t>Saved a concrete acquisition place from the official Warframe Wiki (Decorations/Orbiter Decorations page).</t>
        </is>
      </c>
    </row>
    <row r="1423">
      <c r="A1423" t="inlineStr">
        <is>
          <t>/Lotus/Types/Items/ShipDecos/HildrynPrimeBobbleHead</t>
        </is>
      </c>
      <c r="B1423" t="inlineStr">
        <is>
          <t>Noggle Statue - Hildryn Prime</t>
        </is>
      </c>
      <c r="D1423" t="inlineStr">
        <is>
          <t>ExportResources</t>
        </is>
      </c>
      <c r="F1423" t="inlineStr">
        <is>
          <t>Noggle Statue - Hildryn Prime</t>
        </is>
      </c>
      <c r="H1423" t="inlineStr">
        <is>
          <t>Solved: place filled from the wiki and archived 2026-10-16.</t>
        </is>
      </c>
      <c r="I1423" t="inlineStr">
        <is>
          <t>Resources</t>
        </is>
      </c>
      <c r="M1423" t="inlineStr">
        <is>
          <t>Included in the Prime Access or Prime Vault pack for this Warframe, or sold individually by Varzia during Prime Resurgence.</t>
        </is>
      </c>
      <c r="N1423" t="inlineStr">
        <is>
          <t>Decorations/Orbiter Decorations</t>
        </is>
      </c>
      <c r="O1423" t="inlineStr">
        <is>
          <t>Saved a concrete acquisition place from the official Warframe Wiki (Decorations/Orbiter Decorations page).</t>
        </is>
      </c>
    </row>
    <row r="1424">
      <c r="A1424" t="inlineStr">
        <is>
          <t>/Lotus/Types/Items/ShipDecos/HydroidPrimeBobbleHead</t>
        </is>
      </c>
      <c r="B1424" t="inlineStr">
        <is>
          <t>Noggle Statue - Hydroid Prime</t>
        </is>
      </c>
      <c r="D1424" t="inlineStr">
        <is>
          <t>ExportResources</t>
        </is>
      </c>
      <c r="F1424" t="inlineStr">
        <is>
          <t>Noggle Statue - Hydroid Prime</t>
        </is>
      </c>
      <c r="H1424" t="inlineStr">
        <is>
          <t>Solved: place filled from the wiki and archived 2026-10-16.</t>
        </is>
      </c>
      <c r="I1424" t="inlineStr">
        <is>
          <t>Resources</t>
        </is>
      </c>
      <c r="M1424" t="inlineStr">
        <is>
          <t>Included in the Prime Access or Prime Vault pack for this Warframe, or sold individually by Varzia during Prime Resurgence.</t>
        </is>
      </c>
      <c r="N1424" t="inlineStr">
        <is>
          <t>Decorations/Orbiter Decorations</t>
        </is>
      </c>
      <c r="O1424" t="inlineStr">
        <is>
          <t>Saved a concrete acquisition place from the official Warframe Wiki (Decorations/Orbiter Decorations page).</t>
        </is>
      </c>
    </row>
    <row r="1425">
      <c r="A1425" t="inlineStr">
        <is>
          <t>/Lotus/Types/Items/ShipDecos/InarosPrimeBobbleHead</t>
        </is>
      </c>
      <c r="B1425" t="inlineStr">
        <is>
          <t>Noggle Statue - Inaros Prime</t>
        </is>
      </c>
      <c r="D1425" t="inlineStr">
        <is>
          <t>ExportResources</t>
        </is>
      </c>
      <c r="F1425" t="inlineStr">
        <is>
          <t>Noggle Statue - Inaros Prime</t>
        </is>
      </c>
      <c r="H1425" t="inlineStr">
        <is>
          <t>Solved: place filled from the wiki and archived 2026-10-16.</t>
        </is>
      </c>
      <c r="I1425" t="inlineStr">
        <is>
          <t>Resources</t>
        </is>
      </c>
      <c r="M1425" t="inlineStr">
        <is>
          <t>Included in the Prime Access or Prime Vault pack for this Warframe, or sold individually by Varzia during Prime Resurgence.</t>
        </is>
      </c>
      <c r="N1425" t="inlineStr">
        <is>
          <t>Decorations/Orbiter Decorations</t>
        </is>
      </c>
      <c r="O1425" t="inlineStr">
        <is>
          <t>Saved a concrete acquisition place from the official Warframe Wiki (Decorations/Orbiter Decorations page).</t>
        </is>
      </c>
    </row>
    <row r="1426">
      <c r="A1426" t="inlineStr">
        <is>
          <t>/Lotus/Types/Items/ShipDecos/IvaraPrimeBobbleHead</t>
        </is>
      </c>
      <c r="B1426" t="inlineStr">
        <is>
          <t>Noggle Statue - Ivara Prime</t>
        </is>
      </c>
      <c r="D1426" t="inlineStr">
        <is>
          <t>ExportResources</t>
        </is>
      </c>
      <c r="F1426" t="inlineStr">
        <is>
          <t>Noggle Statue - Ivara Prime</t>
        </is>
      </c>
      <c r="H1426" t="inlineStr">
        <is>
          <t>Solved: place filled from the wiki and archived 2026-10-16.</t>
        </is>
      </c>
      <c r="I1426" t="inlineStr">
        <is>
          <t>Resources</t>
        </is>
      </c>
      <c r="M1426" t="inlineStr">
        <is>
          <t>Included in the Prime Access or Prime Vault pack for this Warframe, or sold individually by Varzia during Prime Resurgence.</t>
        </is>
      </c>
      <c r="N1426" t="inlineStr">
        <is>
          <t>Decorations/Orbiter Decorations</t>
        </is>
      </c>
      <c r="O1426" t="inlineStr">
        <is>
          <t>Saved a concrete acquisition place from the official Warframe Wiki (Decorations/Orbiter Decorations page).</t>
        </is>
      </c>
    </row>
    <row r="1427">
      <c r="A1427" t="inlineStr">
        <is>
          <t>/Lotus/Types/Items/ShipDecos/RhinoJadeBobbleHead</t>
        </is>
      </c>
      <c r="B1427" t="inlineStr">
        <is>
          <t>Noggle Statue - Jade Rhino</t>
        </is>
      </c>
      <c r="D1427" t="inlineStr">
        <is>
          <t>ExportResources</t>
        </is>
      </c>
      <c r="F1427" t="inlineStr">
        <is>
          <t>Noggle Statue - Jade Rhino</t>
        </is>
      </c>
      <c r="H1427" t="inlineStr">
        <is>
          <t>Solved: place filled from the wiki and archived 2026-10-16.</t>
        </is>
      </c>
      <c r="I1427" t="inlineStr">
        <is>
          <t>Resources</t>
        </is>
      </c>
      <c r="M1427" t="inlineStr">
        <is>
          <t>Xbox One exclusive.</t>
        </is>
      </c>
      <c r="N1427" t="inlineStr">
        <is>
          <t>Decorations/Orbiter Decorations</t>
        </is>
      </c>
      <c r="O1427" t="inlineStr">
        <is>
          <t>Saved a concrete acquisition place from the official Warframe Wiki (Decorations/Orbiter Decorations page).</t>
        </is>
      </c>
    </row>
    <row r="1428">
      <c r="A1428" t="inlineStr">
        <is>
          <t>/Lotus/Types/Items/ShipDecos/KhoraPrimeBobbleHead</t>
        </is>
      </c>
      <c r="B1428" t="inlineStr">
        <is>
          <t>Noggle Statue - Khora Prime</t>
        </is>
      </c>
      <c r="D1428" t="inlineStr">
        <is>
          <t>ExportResources</t>
        </is>
      </c>
      <c r="F1428" t="inlineStr">
        <is>
          <t>Noggle Statue - Khora Prime</t>
        </is>
      </c>
      <c r="H1428" t="inlineStr">
        <is>
          <t>Solved: place filled from the wiki and archived 2026-10-16.</t>
        </is>
      </c>
      <c r="I1428" t="inlineStr">
        <is>
          <t>Resources</t>
        </is>
      </c>
      <c r="M1428" t="inlineStr">
        <is>
          <t>Included in the Prime Access or Prime Vault pack for this Warframe, or sold individually by Varzia during Prime Resurgence.</t>
        </is>
      </c>
      <c r="N1428" t="inlineStr">
        <is>
          <t>Decorations/Orbiter Decorations</t>
        </is>
      </c>
      <c r="O1428" t="inlineStr">
        <is>
          <t>Saved a concrete acquisition place from the official Warframe Wiki (Decorations/Orbiter Decorations page).</t>
        </is>
      </c>
    </row>
    <row r="1429">
      <c r="A1429" t="inlineStr">
        <is>
          <t>/Lotus/Types/Items/ShipDecos/LavosPrimeBobbleHead</t>
        </is>
      </c>
      <c r="B1429" t="inlineStr">
        <is>
          <t>Noggle Statue - Lavos Prime</t>
        </is>
      </c>
      <c r="D1429" t="inlineStr">
        <is>
          <t>ExportResources</t>
        </is>
      </c>
      <c r="F1429" t="inlineStr">
        <is>
          <t>Noggle Statue - Lavos Prime</t>
        </is>
      </c>
      <c r="H1429" t="inlineStr">
        <is>
          <t>Solved: place filled from the wiki and archived 2026-10-16.</t>
        </is>
      </c>
      <c r="I1429" t="inlineStr">
        <is>
          <t>Resources</t>
        </is>
      </c>
      <c r="M1429" t="inlineStr">
        <is>
          <t>Included in the Prime Access or Prime Vault pack for this Warframe, or sold individually by Varzia during Prime Resurgence.</t>
        </is>
      </c>
      <c r="N1429" t="inlineStr">
        <is>
          <t>Decorations/Orbiter Decorations</t>
        </is>
      </c>
      <c r="O1429" t="inlineStr">
        <is>
          <t>Saved a concrete acquisition place from the official Warframe Wiki (Decorations/Orbiter Decorations page).</t>
        </is>
      </c>
    </row>
    <row r="1430">
      <c r="A1430" t="inlineStr">
        <is>
          <t>/Lotus/Types/Items/ShipDecos/LimboPrimeBobbleHead</t>
        </is>
      </c>
      <c r="B1430" t="inlineStr">
        <is>
          <t>Noggle Statue - Limbo Prime</t>
        </is>
      </c>
      <c r="D1430" t="inlineStr">
        <is>
          <t>ExportResources</t>
        </is>
      </c>
      <c r="F1430" t="inlineStr">
        <is>
          <t>Noggle Statue - Limbo Prime</t>
        </is>
      </c>
      <c r="H1430" t="inlineStr">
        <is>
          <t>Solved: place filled from the wiki and archived 2026-10-16.</t>
        </is>
      </c>
      <c r="I1430" t="inlineStr">
        <is>
          <t>Resources</t>
        </is>
      </c>
      <c r="M1430" t="inlineStr">
        <is>
          <t>Included in the Prime Access or Prime Vault pack for this Warframe, or sold individually by Varzia during Prime Resurgence.</t>
        </is>
      </c>
      <c r="N1430" t="inlineStr">
        <is>
          <t>Decorations/Orbiter Decorations</t>
        </is>
      </c>
      <c r="O1430" t="inlineStr">
        <is>
          <t>Saved a concrete acquisition place from the official Warframe Wiki (Decorations/Orbiter Decorations page).</t>
        </is>
      </c>
    </row>
    <row r="1431">
      <c r="A1431" t="inlineStr">
        <is>
          <t>/Lotus/Types/Items/ShipDecos/LokiPrimeBobbleHead</t>
        </is>
      </c>
      <c r="B1431" t="inlineStr">
        <is>
          <t>Noggle Statue - Loki Prime</t>
        </is>
      </c>
      <c r="D1431" t="inlineStr">
        <is>
          <t>ExportResources</t>
        </is>
      </c>
      <c r="F1431" t="inlineStr">
        <is>
          <t>Noggle Statue - Loki Prime</t>
        </is>
      </c>
      <c r="H1431" t="inlineStr">
        <is>
          <t>Solved: place filled from the wiki and archived 2026-10-16.</t>
        </is>
      </c>
      <c r="I1431" t="inlineStr">
        <is>
          <t>Resources</t>
        </is>
      </c>
      <c r="M1431" t="inlineStr">
        <is>
          <t>Included in the Prime Access or Prime Vault pack for this Warframe, or sold individually by Varzia during Prime Resurgence.</t>
        </is>
      </c>
      <c r="N1431" t="inlineStr">
        <is>
          <t>Decorations/Orbiter Decorations</t>
        </is>
      </c>
      <c r="O1431" t="inlineStr">
        <is>
          <t>Saved a concrete acquisition place from the official Warframe Wiki (Decorations/Orbiter Decorations page).</t>
        </is>
      </c>
    </row>
    <row r="1432">
      <c r="A1432" t="inlineStr">
        <is>
          <t>/Lotus/Types/Items/ShipDecos/MagPrimeBobbleHead</t>
        </is>
      </c>
      <c r="B1432" t="inlineStr">
        <is>
          <t>Noggle Statue - Mag Prime</t>
        </is>
      </c>
      <c r="D1432" t="inlineStr">
        <is>
          <t>ExportResources</t>
        </is>
      </c>
      <c r="F1432" t="inlineStr">
        <is>
          <t>Noggle Statue - Mag Prime</t>
        </is>
      </c>
      <c r="H1432" t="inlineStr">
        <is>
          <t>Solved: place filled from the wiki and archived 2026-10-16.</t>
        </is>
      </c>
      <c r="I1432" t="inlineStr">
        <is>
          <t>Resources</t>
        </is>
      </c>
      <c r="M1432" t="inlineStr">
        <is>
          <t>Included in the Prime Access or Prime Vault pack for this Warframe, or sold individually by Varzia during Prime Resurgence.</t>
        </is>
      </c>
      <c r="N1432" t="inlineStr">
        <is>
          <t>Decorations/Orbiter Decorations</t>
        </is>
      </c>
      <c r="O1432" t="inlineStr">
        <is>
          <t>Saved a concrete acquisition place from the official Warframe Wiki (Decorations/Orbiter Decorations page).</t>
        </is>
      </c>
    </row>
    <row r="1433">
      <c r="A1433" t="inlineStr">
        <is>
          <t>/Lotus/Types/Items/ShipDecos/AcolyteHeavyBobbleHead</t>
        </is>
      </c>
      <c r="B1433" t="inlineStr">
        <is>
          <t>Noggle Statue - Malice</t>
        </is>
      </c>
      <c r="D1433" t="inlineStr">
        <is>
          <t>ExportResources</t>
        </is>
      </c>
      <c r="F1433" t="inlineStr">
        <is>
          <t>Noggle Statue - Malice</t>
        </is>
      </c>
      <c r="H1433" t="inlineStr">
        <is>
          <t>Solved: place filled from the wiki and archived 2026-10-16.</t>
        </is>
      </c>
      <c r="I1433" t="inlineStr">
        <is>
          <t>Resources</t>
        </is>
      </c>
      <c r="M1433" t="inlineStr">
        <is>
          <t>In-game Market for 35 Platinum during Nights of Naberus.</t>
        </is>
      </c>
      <c r="N1433" t="inlineStr">
        <is>
          <t>Decorations/Orbiter Decorations</t>
        </is>
      </c>
      <c r="O1433" t="inlineStr">
        <is>
          <t>Saved a concrete acquisition place from the official Warframe Wiki (Decorations/Orbiter Decorations page).</t>
        </is>
      </c>
    </row>
    <row r="1434">
      <c r="A1434" t="inlineStr">
        <is>
          <t>/Lotus/Types/Items/ShipDecos/AcolyteRogueBobbleHead</t>
        </is>
      </c>
      <c r="B1434" t="inlineStr">
        <is>
          <t>Noggle Statue - Mania</t>
        </is>
      </c>
      <c r="D1434" t="inlineStr">
        <is>
          <t>ExportResources</t>
        </is>
      </c>
      <c r="F1434" t="inlineStr">
        <is>
          <t>Noggle Statue - Mania</t>
        </is>
      </c>
      <c r="H1434" t="inlineStr">
        <is>
          <t>Solved: place filled from the wiki and archived 2026-10-16.</t>
        </is>
      </c>
      <c r="I1434" t="inlineStr">
        <is>
          <t>Resources</t>
        </is>
      </c>
      <c r="M1434" t="inlineStr">
        <is>
          <t>In-game Market for 35 Platinum during Nights of Naberus.</t>
        </is>
      </c>
      <c r="N1434" t="inlineStr">
        <is>
          <t>Decorations/Orbiter Decorations</t>
        </is>
      </c>
      <c r="O1434" t="inlineStr">
        <is>
          <t>Saved a concrete acquisition place from the official Warframe Wiki (Decorations/Orbiter Decorations page).</t>
        </is>
      </c>
    </row>
    <row r="1435">
      <c r="A1435" t="inlineStr">
        <is>
          <t>/Lotus/Types/Items/ShipDecos/MesaPrimeBobbleHead</t>
        </is>
      </c>
      <c r="B1435" t="inlineStr">
        <is>
          <t>Noggle Statue - Mesa Prime</t>
        </is>
      </c>
      <c r="D1435" t="inlineStr">
        <is>
          <t>ExportResources</t>
        </is>
      </c>
      <c r="F1435" t="inlineStr">
        <is>
          <t>Noggle Statue - Mesa Prime</t>
        </is>
      </c>
      <c r="H1435" t="inlineStr">
        <is>
          <t>Solved: place filled from the wiki and archived 2026-10-16.</t>
        </is>
      </c>
      <c r="I1435" t="inlineStr">
        <is>
          <t>Resources</t>
        </is>
      </c>
      <c r="M1435" t="inlineStr">
        <is>
          <t>Included in the Prime Access or Prime Vault pack for this Warframe, or sold individually by Varzia during Prime Resurgence.</t>
        </is>
      </c>
      <c r="N1435" t="inlineStr">
        <is>
          <t>Decorations/Orbiter Decorations</t>
        </is>
      </c>
      <c r="O1435" t="inlineStr">
        <is>
          <t>Saved a concrete acquisition place from the official Warframe Wiki (Decorations/Orbiter Decorations page).</t>
        </is>
      </c>
    </row>
    <row r="1436">
      <c r="A1436" t="inlineStr">
        <is>
          <t>/Lotus/Types/Items/ShipDecos/MiragePrimeBobbleHead</t>
        </is>
      </c>
      <c r="B1436" t="inlineStr">
        <is>
          <t>Noggle Statue - Mirage Prime</t>
        </is>
      </c>
      <c r="D1436" t="inlineStr">
        <is>
          <t>ExportResources</t>
        </is>
      </c>
      <c r="F1436" t="inlineStr">
        <is>
          <t>Noggle Statue - Mirage Prime</t>
        </is>
      </c>
      <c r="H1436" t="inlineStr">
        <is>
          <t>Solved: place filled from the wiki and archived 2026-10-16.</t>
        </is>
      </c>
      <c r="I1436" t="inlineStr">
        <is>
          <t>Resources</t>
        </is>
      </c>
      <c r="M1436" t="inlineStr">
        <is>
          <t>Included in the Prime Access or Prime Vault pack for this Warframe, or sold individually by Varzia during Prime Resurgence.</t>
        </is>
      </c>
      <c r="N1436" t="inlineStr">
        <is>
          <t>Decorations/Orbiter Decorations</t>
        </is>
      </c>
      <c r="O1436" t="inlineStr">
        <is>
          <t>Saved a concrete acquisition place from the official Warframe Wiki (Decorations/Orbiter Decorations page).</t>
        </is>
      </c>
    </row>
    <row r="1437">
      <c r="A1437" t="inlineStr">
        <is>
          <t>/Lotus/Types/Items/ShipDecos/AcolyteAreaCasterBobbleHead</t>
        </is>
      </c>
      <c r="B1437" t="inlineStr">
        <is>
          <t>Noggle Statue - Misery</t>
        </is>
      </c>
      <c r="D1437" t="inlineStr">
        <is>
          <t>ExportResources</t>
        </is>
      </c>
      <c r="F1437" t="inlineStr">
        <is>
          <t>Noggle Statue - Misery</t>
        </is>
      </c>
      <c r="H1437" t="inlineStr">
        <is>
          <t>Solved: place filled from the wiki and archived 2026-10-16.</t>
        </is>
      </c>
      <c r="I1437" t="inlineStr">
        <is>
          <t>Resources</t>
        </is>
      </c>
      <c r="M1437" t="inlineStr">
        <is>
          <t>In-game Market for 35 Platinum during Nights of Naberus.</t>
        </is>
      </c>
      <c r="N1437" t="inlineStr">
        <is>
          <t>Decorations/Orbiter Decorations</t>
        </is>
      </c>
      <c r="O1437" t="inlineStr">
        <is>
          <t>Saved a concrete acquisition place from the official Warframe Wiki (Decorations/Orbiter Decorations page).</t>
        </is>
      </c>
    </row>
    <row r="1438">
      <c r="A1438" t="inlineStr">
        <is>
          <t>/Lotus/Types/Items/ShipDecos/NekrosPrimeBobbleHead</t>
        </is>
      </c>
      <c r="B1438" t="inlineStr">
        <is>
          <t>Noggle Statue - Nekros Prime</t>
        </is>
      </c>
      <c r="D1438" t="inlineStr">
        <is>
          <t>ExportResources</t>
        </is>
      </c>
      <c r="F1438" t="inlineStr">
        <is>
          <t>Noggle Statue - Nekros Prime</t>
        </is>
      </c>
      <c r="H1438" t="inlineStr">
        <is>
          <t>Solved: place filled from the wiki and archived 2026-10-16.</t>
        </is>
      </c>
      <c r="I1438" t="inlineStr">
        <is>
          <t>Resources</t>
        </is>
      </c>
      <c r="M1438" t="inlineStr">
        <is>
          <t>Included in the Prime Access or Prime Vault pack for this Warframe, or sold individually by Varzia during Prime Resurgence.</t>
        </is>
      </c>
      <c r="N1438" t="inlineStr">
        <is>
          <t>Decorations/Orbiter Decorations</t>
        </is>
      </c>
      <c r="O1438" t="inlineStr">
        <is>
          <t>Saved a concrete acquisition place from the official Warframe Wiki (Decorations/Orbiter Decorations page).</t>
        </is>
      </c>
    </row>
    <row r="1439">
      <c r="A1439" t="inlineStr">
        <is>
          <t>/Lotus/Types/Items/ShipDecos/NidusPrimeBobbleHead</t>
        </is>
      </c>
      <c r="B1439" t="inlineStr">
        <is>
          <t>Noggle Statue - Nidus Prime</t>
        </is>
      </c>
      <c r="D1439" t="inlineStr">
        <is>
          <t>ExportResources</t>
        </is>
      </c>
      <c r="F1439" t="inlineStr">
        <is>
          <t>Noggle Statue - Nidus Prime</t>
        </is>
      </c>
      <c r="H1439" t="inlineStr">
        <is>
          <t>Solved: place filled from the wiki and archived 2026-10-16.</t>
        </is>
      </c>
      <c r="I1439" t="inlineStr">
        <is>
          <t>Resources</t>
        </is>
      </c>
      <c r="M1439" t="inlineStr">
        <is>
          <t>Included in the Prime Access or Prime Vault pack for this Warframe, or sold individually by Varzia during Prime Resurgence.</t>
        </is>
      </c>
      <c r="N1439" t="inlineStr">
        <is>
          <t>Decorations/Orbiter Decorations</t>
        </is>
      </c>
      <c r="O1439" t="inlineStr">
        <is>
          <t>Saved a concrete acquisition place from the official Warframe Wiki (Decorations/Orbiter Decorations page).</t>
        </is>
      </c>
    </row>
    <row r="1440">
      <c r="A1440" t="inlineStr">
        <is>
          <t>/Lotus/Types/Items/ShipDecos/NovaPrimeBobbleHead</t>
        </is>
      </c>
      <c r="B1440" t="inlineStr">
        <is>
          <t>Noggle Statue - Nova Prime</t>
        </is>
      </c>
      <c r="D1440" t="inlineStr">
        <is>
          <t>ExportResources</t>
        </is>
      </c>
      <c r="F1440" t="inlineStr">
        <is>
          <t>Noggle Statue - Nova Prime</t>
        </is>
      </c>
      <c r="H1440" t="inlineStr">
        <is>
          <t>Solved: place filled from the wiki and archived 2026-10-16.</t>
        </is>
      </c>
      <c r="I1440" t="inlineStr">
        <is>
          <t>Resources</t>
        </is>
      </c>
      <c r="M1440" t="inlineStr">
        <is>
          <t>Included in the Prime Access or Prime Vault pack for this Warframe, or sold individually by Varzia during Prime Resurgence.</t>
        </is>
      </c>
      <c r="N1440" t="inlineStr">
        <is>
          <t>Decorations/Orbiter Decorations</t>
        </is>
      </c>
      <c r="O1440" t="inlineStr">
        <is>
          <t>Saved a concrete acquisition place from the official Warframe Wiki (Decorations/Orbiter Decorations page).</t>
        </is>
      </c>
    </row>
    <row r="1441">
      <c r="A1441" t="inlineStr">
        <is>
          <t>/Lotus/Types/Items/ShipDecos/NyxPrimeBobbleHead</t>
        </is>
      </c>
      <c r="B1441" t="inlineStr">
        <is>
          <t>Noggle Statue - Nyx Prime</t>
        </is>
      </c>
      <c r="D1441" t="inlineStr">
        <is>
          <t>ExportResources</t>
        </is>
      </c>
      <c r="F1441" t="inlineStr">
        <is>
          <t>Noggle Statue - Nyx Prime</t>
        </is>
      </c>
      <c r="H1441" t="inlineStr">
        <is>
          <t>Solved: place filled from the wiki and archived 2026-10-16.</t>
        </is>
      </c>
      <c r="I1441" t="inlineStr">
        <is>
          <t>Resources</t>
        </is>
      </c>
      <c r="M1441" t="inlineStr">
        <is>
          <t>Included in the Prime Access or Prime Vault pack for this Warframe, or sold individually by Varzia during Prime Resurgence.</t>
        </is>
      </c>
      <c r="N1441" t="inlineStr">
        <is>
          <t>Decorations/Orbiter Decorations</t>
        </is>
      </c>
      <c r="O1441" t="inlineStr">
        <is>
          <t>Saved a concrete acquisition place from the official Warframe Wiki (Decorations/Orbiter Decorations page).</t>
        </is>
      </c>
    </row>
    <row r="1442">
      <c r="A1442" t="inlineStr">
        <is>
          <t>/Lotus/Types/Items/ShipDecos/OberonPrimeBobbleHead</t>
        </is>
      </c>
      <c r="B1442" t="inlineStr">
        <is>
          <t>Noggle Statue - Oberon Prime</t>
        </is>
      </c>
      <c r="D1442" t="inlineStr">
        <is>
          <t>ExportResources</t>
        </is>
      </c>
      <c r="F1442" t="inlineStr">
        <is>
          <t>Noggle Statue - Oberon Prime</t>
        </is>
      </c>
      <c r="H1442" t="inlineStr">
        <is>
          <t>Solved: place filled from the wiki and archived 2026-10-16.</t>
        </is>
      </c>
      <c r="I1442" t="inlineStr">
        <is>
          <t>Resources</t>
        </is>
      </c>
      <c r="M1442" t="inlineStr">
        <is>
          <t>Included in the Prime Access or Prime Vault pack for this Warframe, or sold individually by Varzia during Prime Resurgence.</t>
        </is>
      </c>
      <c r="N1442" t="inlineStr">
        <is>
          <t>Decorations/Orbiter Decorations</t>
        </is>
      </c>
      <c r="O1442" t="inlineStr">
        <is>
          <t>Saved a concrete acquisition place from the official Warframe Wiki (Decorations/Orbiter Decorations page).</t>
        </is>
      </c>
    </row>
    <row r="1443">
      <c r="A1443" t="inlineStr">
        <is>
          <t>/Lotus/Types/Items/ShipDecos/OctaviaPrimeBobbleHead</t>
        </is>
      </c>
      <c r="B1443" t="inlineStr">
        <is>
          <t>Noggle Statue - Octavia Prime</t>
        </is>
      </c>
      <c r="D1443" t="inlineStr">
        <is>
          <t>ExportResources</t>
        </is>
      </c>
      <c r="F1443" t="inlineStr">
        <is>
          <t>Noggle Statue - Octavia Prime</t>
        </is>
      </c>
      <c r="H1443" t="inlineStr">
        <is>
          <t>Solved: place filled from the wiki and archived 2026-10-16.</t>
        </is>
      </c>
      <c r="I1443" t="inlineStr">
        <is>
          <t>Resources</t>
        </is>
      </c>
      <c r="M1443" t="inlineStr">
        <is>
          <t>Included in the Prime Access or Prime Vault pack for this Warframe, or sold individually by Varzia during Prime Resurgence.</t>
        </is>
      </c>
      <c r="N1443" t="inlineStr">
        <is>
          <t>Decorations/Orbiter Decorations</t>
        </is>
      </c>
      <c r="O1443" t="inlineStr">
        <is>
          <t>Saved a concrete acquisition place from the official Warframe Wiki (Decorations/Orbiter Decorations page).</t>
        </is>
      </c>
    </row>
    <row r="1444">
      <c r="A1444" t="inlineStr">
        <is>
          <t>/Lotus/Types/Items/ShipDecos/ExcaliburOpalBobbleHead</t>
        </is>
      </c>
      <c r="B1444" t="inlineStr">
        <is>
          <t>Noggle Statue - Opal Excalibur</t>
        </is>
      </c>
      <c r="D1444" t="inlineStr">
        <is>
          <t>ExportResources</t>
        </is>
      </c>
      <c r="F1444" t="inlineStr">
        <is>
          <t>Noggle Statue - Opal Excalibur</t>
        </is>
      </c>
      <c r="H1444" t="inlineStr">
        <is>
          <t>Solved: place filled from the wiki and archived 2026-10-16.</t>
        </is>
      </c>
      <c r="I1444" t="inlineStr">
        <is>
          <t>Resources</t>
        </is>
      </c>
      <c r="M1444" t="inlineStr">
        <is>
          <t>Nintendo Switch exclusive.</t>
        </is>
      </c>
      <c r="N1444" t="inlineStr">
        <is>
          <t>Decorations/Orbiter Decorations</t>
        </is>
      </c>
      <c r="O1444" t="inlineStr">
        <is>
          <t>Saved a concrete acquisition place from the official Warframe Wiki (Decorations/Orbiter Decorations page).</t>
        </is>
      </c>
    </row>
    <row r="1445">
      <c r="A1445" t="inlineStr">
        <is>
          <t>/Lotus/Types/Items/ShipDecos/ProteaPrimeBobbleHead</t>
        </is>
      </c>
      <c r="B1445" t="inlineStr">
        <is>
          <t>Noggle Statue - Protea Prime</t>
        </is>
      </c>
      <c r="D1445" t="inlineStr">
        <is>
          <t>ExportResources</t>
        </is>
      </c>
      <c r="F1445" t="inlineStr">
        <is>
          <t>Noggle Statue - Protea Prime</t>
        </is>
      </c>
      <c r="H1445" t="inlineStr">
        <is>
          <t>Solved: place filled from the wiki and archived 2026-10-16.</t>
        </is>
      </c>
      <c r="I1445" t="inlineStr">
        <is>
          <t>Resources</t>
        </is>
      </c>
      <c r="M1445" t="inlineStr">
        <is>
          <t>Included in the Prime Access or Prime Vault pack for this Warframe, or sold individually by Varzia during Prime Resurgence.</t>
        </is>
      </c>
      <c r="N1445" t="inlineStr">
        <is>
          <t>Decorations/Orbiter Decorations</t>
        </is>
      </c>
      <c r="O1445" t="inlineStr">
        <is>
          <t>Saved a concrete acquisition place from the official Warframe Wiki (Decorations/Orbiter Decorations page).</t>
        </is>
      </c>
    </row>
    <row r="1446">
      <c r="A1446" t="inlineStr">
        <is>
          <t>/Lotus/Types/Items/ShipDecos/HexQuincyBobbleHead</t>
        </is>
      </c>
      <c r="B1446" t="inlineStr">
        <is>
          <t>Noggle Statue - Quincy Isaacs</t>
        </is>
      </c>
      <c r="D1446" t="inlineStr">
        <is>
          <t>ExportResources</t>
        </is>
      </c>
      <c r="F1446" t="inlineStr">
        <is>
          <t>Noggle Statue - Quincy Isaacs</t>
        </is>
      </c>
      <c r="H1446" t="inlineStr">
        <is>
          <t>Solved: place filled from the wiki and archived 2026-10-16.</t>
        </is>
      </c>
      <c r="I1446" t="inlineStr">
        <is>
          <t>Resources</t>
        </is>
      </c>
      <c r="M1446" t="inlineStr">
        <is>
          <t>Reward for completing the finale of The Hex quest.</t>
        </is>
      </c>
      <c r="N1446" t="inlineStr">
        <is>
          <t>Decorations/Orbiter Decorations</t>
        </is>
      </c>
      <c r="O1446" t="inlineStr">
        <is>
          <t>Saved a concrete acquisition place from the official Warframe Wiki (Decorations/Orbiter Decorations page).</t>
        </is>
      </c>
    </row>
    <row r="1447">
      <c r="A1447" t="inlineStr">
        <is>
          <t>/Lotus/Types/Items/ShipDecos/RevenantPrimeBobbleHead</t>
        </is>
      </c>
      <c r="B1447" t="inlineStr">
        <is>
          <t>Noggle Statue - Revenant Prime</t>
        </is>
      </c>
      <c r="D1447" t="inlineStr">
        <is>
          <t>ExportResources</t>
        </is>
      </c>
      <c r="F1447" t="inlineStr">
        <is>
          <t>Noggle Statue - Revenant Prime</t>
        </is>
      </c>
      <c r="H1447" t="inlineStr">
        <is>
          <t>Solved: place filled from the wiki and archived 2026-10-16.</t>
        </is>
      </c>
      <c r="I1447" t="inlineStr">
        <is>
          <t>Resources</t>
        </is>
      </c>
      <c r="M1447" t="inlineStr">
        <is>
          <t>Included in the Prime Access or Prime Vault pack for this Warframe, or sold individually by Varzia during Prime Resurgence.</t>
        </is>
      </c>
      <c r="N1447" t="inlineStr">
        <is>
          <t>Decorations/Orbiter Decorations</t>
        </is>
      </c>
      <c r="O1447" t="inlineStr">
        <is>
          <t>Saved a concrete acquisition place from the official Warframe Wiki (Decorations/Orbiter Decorations page).</t>
        </is>
      </c>
    </row>
    <row r="1448">
      <c r="A1448" t="inlineStr">
        <is>
          <t>/Lotus/Types/Items/ShipDecos/RhinoDexBobbleHead</t>
        </is>
      </c>
      <c r="B1448" t="inlineStr">
        <is>
          <t>Noggle Statue - Rhino Dex</t>
        </is>
      </c>
      <c r="D1448" t="inlineStr">
        <is>
          <t>ExportResources</t>
        </is>
      </c>
      <c r="F1448" t="inlineStr">
        <is>
          <t>Noggle Statue - Rhino Dex</t>
        </is>
      </c>
      <c r="H1448" t="inlineStr">
        <is>
          <t>Solved: place filled from the wiki and archived 2026-10-16.</t>
        </is>
      </c>
      <c r="I1448" t="inlineStr">
        <is>
          <t>Resources</t>
        </is>
      </c>
      <c r="M1448" t="inlineStr">
        <is>
          <t>Reward from the 10th Year Anniversary minigame.</t>
        </is>
      </c>
      <c r="N1448" t="inlineStr">
        <is>
          <t>Decorations/Orbiter Decorations</t>
        </is>
      </c>
      <c r="O1448" t="inlineStr">
        <is>
          <t>Saved a concrete acquisition place from the official Warframe Wiki (Decorations/Orbiter Decorations page).</t>
        </is>
      </c>
    </row>
    <row r="1449">
      <c r="A1449" t="inlineStr">
        <is>
          <t>/Lotus/Types/Items/ShipDecos/RhinoPrimeBobbleHead</t>
        </is>
      </c>
      <c r="B1449" t="inlineStr">
        <is>
          <t>Noggle Statue - Rhino Prime</t>
        </is>
      </c>
      <c r="D1449" t="inlineStr">
        <is>
          <t>ExportResources</t>
        </is>
      </c>
      <c r="F1449" t="inlineStr">
        <is>
          <t>Noggle Statue - Rhino Prime</t>
        </is>
      </c>
      <c r="H1449" t="inlineStr">
        <is>
          <t>Solved: place filled from the wiki and archived 2026-10-16.</t>
        </is>
      </c>
      <c r="I1449" t="inlineStr">
        <is>
          <t>Resources</t>
        </is>
      </c>
      <c r="M1449" t="inlineStr">
        <is>
          <t>Included in the Prime Access or Prime Vault pack for this Warframe, or sold individually by Varzia during Prime Resurgence.</t>
        </is>
      </c>
      <c r="N1449" t="inlineStr">
        <is>
          <t>Decorations/Orbiter Decorations</t>
        </is>
      </c>
      <c r="O1449" t="inlineStr">
        <is>
          <t>Saved a concrete acquisition place from the official Warframe Wiki (Decorations/Orbiter Decorations page).</t>
        </is>
      </c>
    </row>
    <row r="1450">
      <c r="A1450" t="inlineStr">
        <is>
          <t>/Lotus/Types/Items/ShipDecos/SarynPrimeBobbleHead</t>
        </is>
      </c>
      <c r="B1450" t="inlineStr">
        <is>
          <t>Noggle Statue - Saryn Prime</t>
        </is>
      </c>
      <c r="D1450" t="inlineStr">
        <is>
          <t>ExportResources</t>
        </is>
      </c>
      <c r="F1450" t="inlineStr">
        <is>
          <t>Noggle Statue - Saryn Prime</t>
        </is>
      </c>
      <c r="H1450" t="inlineStr">
        <is>
          <t>Solved: place filled from the wiki and archived 2026-10-16.</t>
        </is>
      </c>
      <c r="I1450" t="inlineStr">
        <is>
          <t>Resources</t>
        </is>
      </c>
      <c r="M1450" t="inlineStr">
        <is>
          <t>Included in the Prime Access or Prime Vault pack for this Warframe, or sold individually by Varzia during Prime Resurgence.</t>
        </is>
      </c>
      <c r="N1450" t="inlineStr">
        <is>
          <t>Decorations/Orbiter Decorations</t>
        </is>
      </c>
      <c r="O1450" t="inlineStr">
        <is>
          <t>Saved a concrete acquisition place from the official Warframe Wiki (Decorations/Orbiter Decorations page).</t>
        </is>
      </c>
    </row>
    <row r="1451">
      <c r="A1451" t="inlineStr">
        <is>
          <t>/Lotus/Types/Items/ShipDecos/SevagothPrimeBobbleHead</t>
        </is>
      </c>
      <c r="B1451" t="inlineStr">
        <is>
          <t>Noggle Statue - Sevagoth Prime</t>
        </is>
      </c>
      <c r="D1451" t="inlineStr">
        <is>
          <t>ExportResources</t>
        </is>
      </c>
      <c r="F1451" t="inlineStr">
        <is>
          <t>Noggle Statue - Sevagoth Prime</t>
        </is>
      </c>
      <c r="H1451" t="inlineStr">
        <is>
          <t>Solved: place filled from the wiki and archived 2026-10-16.</t>
        </is>
      </c>
      <c r="I1451" t="inlineStr">
        <is>
          <t>Resources</t>
        </is>
      </c>
      <c r="M1451" t="inlineStr">
        <is>
          <t>Included in the Prime Access or Prime Vault pack for this Warframe, or sold individually by Varzia during Prime Resurgence.</t>
        </is>
      </c>
      <c r="N1451" t="inlineStr">
        <is>
          <t>Decorations/Orbiter Decorations</t>
        </is>
      </c>
      <c r="O1451" t="inlineStr">
        <is>
          <t>Saved a concrete acquisition place from the official Warframe Wiki (Decorations/Orbiter Decorations page).</t>
        </is>
      </c>
    </row>
    <row r="1452">
      <c r="A1452" t="inlineStr">
        <is>
          <t>/Lotus/Types/Items/ShipDecos/TitaniaPrimeBobbleHead</t>
        </is>
      </c>
      <c r="B1452" t="inlineStr">
        <is>
          <t>Noggle Statue - Titania Prime</t>
        </is>
      </c>
      <c r="D1452" t="inlineStr">
        <is>
          <t>ExportResources</t>
        </is>
      </c>
      <c r="F1452" t="inlineStr">
        <is>
          <t>Noggle Statue - Titania Prime</t>
        </is>
      </c>
      <c r="H1452" t="inlineStr">
        <is>
          <t>Solved: place filled from the wiki and archived 2026-10-16.</t>
        </is>
      </c>
      <c r="I1452" t="inlineStr">
        <is>
          <t>Resources</t>
        </is>
      </c>
      <c r="M1452" t="inlineStr">
        <is>
          <t>Included in the Prime Access or Prime Vault pack for this Warframe, or sold individually by Varzia during Prime Resurgence.</t>
        </is>
      </c>
      <c r="N1452" t="inlineStr">
        <is>
          <t>Decorations/Orbiter Decorations</t>
        </is>
      </c>
      <c r="O1452" t="inlineStr">
        <is>
          <t>Saved a concrete acquisition place from the official Warframe Wiki (Decorations/Orbiter Decorations page).</t>
        </is>
      </c>
    </row>
    <row r="1453">
      <c r="A1453" t="inlineStr">
        <is>
          <t>/Lotus/Types/Items/ShipDecos/AcolyteControlBobbleHead</t>
        </is>
      </c>
      <c r="B1453" t="inlineStr">
        <is>
          <t>Noggle Statue - Torment</t>
        </is>
      </c>
      <c r="D1453" t="inlineStr">
        <is>
          <t>ExportResources</t>
        </is>
      </c>
      <c r="F1453" t="inlineStr">
        <is>
          <t>Noggle Statue - Torment</t>
        </is>
      </c>
      <c r="H1453" t="inlineStr">
        <is>
          <t>Solved: place filled from the wiki and archived 2026-10-16.</t>
        </is>
      </c>
      <c r="I1453" t="inlineStr">
        <is>
          <t>Resources</t>
        </is>
      </c>
      <c r="M1453" t="inlineStr">
        <is>
          <t>In-game Market for 35 Platinum during Nights of Naberus.</t>
        </is>
      </c>
      <c r="N1453" t="inlineStr">
        <is>
          <t>Decorations/Orbiter Decorations</t>
        </is>
      </c>
      <c r="O1453" t="inlineStr">
        <is>
          <t>Saved a concrete acquisition place from the official Warframe Wiki (Decorations/Orbiter Decorations page).</t>
        </is>
      </c>
    </row>
    <row r="1454">
      <c r="A1454" t="inlineStr">
        <is>
          <t>/Lotus/Types/Items/ShipDecos/TrinityPrimeBobbleHead</t>
        </is>
      </c>
      <c r="B1454" t="inlineStr">
        <is>
          <t>Noggle Statue - Trinity Prime</t>
        </is>
      </c>
      <c r="D1454" t="inlineStr">
        <is>
          <t>ExportResources</t>
        </is>
      </c>
      <c r="F1454" t="inlineStr">
        <is>
          <t>Noggle Statue - Trinity Prime</t>
        </is>
      </c>
      <c r="H1454" t="inlineStr">
        <is>
          <t>Solved: place filled from the wiki and archived 2026-10-16.</t>
        </is>
      </c>
      <c r="I1454" t="inlineStr">
        <is>
          <t>Resources</t>
        </is>
      </c>
      <c r="M1454" t="inlineStr">
        <is>
          <t>Included in the Prime Access or Prime Vault pack for this Warframe, or sold individually by Varzia during Prime Resurgence.</t>
        </is>
      </c>
      <c r="N1454" t="inlineStr">
        <is>
          <t>Decorations/Orbiter Decorations</t>
        </is>
      </c>
      <c r="O1454" t="inlineStr">
        <is>
          <t>Saved a concrete acquisition place from the official Warframe Wiki (Decorations/Orbiter Decorations page).</t>
        </is>
      </c>
    </row>
    <row r="1455">
      <c r="A1455" t="inlineStr">
        <is>
          <t>/Lotus/Types/Items/ShipDecos/ValkyrPrimeBobbleHead</t>
        </is>
      </c>
      <c r="B1455" t="inlineStr">
        <is>
          <t>Noggle Statue - Valkyr Prime</t>
        </is>
      </c>
      <c r="D1455" t="inlineStr">
        <is>
          <t>ExportResources</t>
        </is>
      </c>
      <c r="F1455" t="inlineStr">
        <is>
          <t>Noggle Statue - Valkyr Prime</t>
        </is>
      </c>
      <c r="H1455" t="inlineStr">
        <is>
          <t>Solved: place filled from the wiki and archived 2026-10-16.</t>
        </is>
      </c>
      <c r="I1455" t="inlineStr">
        <is>
          <t>Resources</t>
        </is>
      </c>
      <c r="M1455" t="inlineStr">
        <is>
          <t>Included in the Prime Access or Prime Vault pack for this Warframe, or sold individually by Varzia during Prime Resurgence.</t>
        </is>
      </c>
      <c r="N1455" t="inlineStr">
        <is>
          <t>Decorations/Orbiter Decorations</t>
        </is>
      </c>
      <c r="O1455" t="inlineStr">
        <is>
          <t>Saved a concrete acquisition place from the official Warframe Wiki (Decorations/Orbiter Decorations page).</t>
        </is>
      </c>
    </row>
    <row r="1456">
      <c r="A1456" t="inlineStr">
        <is>
          <t>/Lotus/Types/Items/ShipDecos/VaubanPrimeBobbleHead</t>
        </is>
      </c>
      <c r="B1456" t="inlineStr">
        <is>
          <t>Noggle Statue - Vauban Prime</t>
        </is>
      </c>
      <c r="D1456" t="inlineStr">
        <is>
          <t>ExportResources</t>
        </is>
      </c>
      <c r="F1456" t="inlineStr">
        <is>
          <t>Noggle Statue - Vauban Prime</t>
        </is>
      </c>
      <c r="H1456" t="inlineStr">
        <is>
          <t>Solved: place filled from the wiki and archived 2026-10-16.</t>
        </is>
      </c>
      <c r="I1456" t="inlineStr">
        <is>
          <t>Resources</t>
        </is>
      </c>
      <c r="M1456" t="inlineStr">
        <is>
          <t>Included in the Prime Access or Prime Vault pack for this Warframe, or sold individually by Varzia during Prime Resurgence.</t>
        </is>
      </c>
      <c r="N1456" t="inlineStr">
        <is>
          <t>Decorations/Orbiter Decorations</t>
        </is>
      </c>
      <c r="O1456" t="inlineStr">
        <is>
          <t>Saved a concrete acquisition place from the official Warframe Wiki (Decorations/Orbiter Decorations page).</t>
        </is>
      </c>
    </row>
    <row r="1457">
      <c r="A1457" t="inlineStr">
        <is>
          <t>/Lotus/Types/Items/ShipDecos/VentKidBoardBobbleHead</t>
        </is>
      </c>
      <c r="B1457" t="inlineStr">
        <is>
          <t>Noggle Statue - Ventkid</t>
        </is>
      </c>
      <c r="D1457" t="inlineStr">
        <is>
          <t>ExportResources</t>
        </is>
      </c>
      <c r="F1457" t="inlineStr">
        <is>
          <t>Noggle Statue - Ventkid</t>
        </is>
      </c>
      <c r="H1457" t="inlineStr">
        <is>
          <t>Solved: place filled from the wiki and archived 2026-10-16.</t>
        </is>
      </c>
      <c r="I1457" t="inlineStr">
        <is>
          <t>Resources</t>
        </is>
      </c>
      <c r="M1457" t="inlineStr">
        <is>
          <t>Included in the Sisters of Parvos Riptide Pack (exclusive).</t>
        </is>
      </c>
      <c r="N1457" t="inlineStr">
        <is>
          <t>Decorations/Orbiter Decorations</t>
        </is>
      </c>
      <c r="O1457" t="inlineStr">
        <is>
          <t>Saved a concrete acquisition place from the official Warframe Wiki (Decorations/Orbiter Decorations page).</t>
        </is>
      </c>
    </row>
    <row r="1458">
      <c r="A1458" t="inlineStr">
        <is>
          <t>/Lotus/Types/Items/ShipDecos/AcolyteDuellistBobbleHead</t>
        </is>
      </c>
      <c r="B1458" t="inlineStr">
        <is>
          <t>Noggle Statue - Violence</t>
        </is>
      </c>
      <c r="D1458" t="inlineStr">
        <is>
          <t>ExportResources</t>
        </is>
      </c>
      <c r="F1458" t="inlineStr">
        <is>
          <t>Noggle Statue - Violence</t>
        </is>
      </c>
      <c r="H1458" t="inlineStr">
        <is>
          <t>Solved: place filled from the wiki and archived 2026-10-16.</t>
        </is>
      </c>
      <c r="I1458" t="inlineStr">
        <is>
          <t>Resources</t>
        </is>
      </c>
      <c r="M1458" t="inlineStr">
        <is>
          <t>In-game Market for 35 Platinum during Nights of Naberus.</t>
        </is>
      </c>
      <c r="N1458" t="inlineStr">
        <is>
          <t>Decorations/Orbiter Decorations</t>
        </is>
      </c>
      <c r="O1458" t="inlineStr">
        <is>
          <t>Saved a concrete acquisition place from the official Warframe Wiki (Decorations/Orbiter Decorations page).</t>
        </is>
      </c>
    </row>
    <row r="1459">
      <c r="A1459" t="inlineStr">
        <is>
          <t>/Lotus/Types/Items/ShipDecos/VoltPrimeBobbleHead</t>
        </is>
      </c>
      <c r="B1459" t="inlineStr">
        <is>
          <t>Noggle Statue - Volt Prime</t>
        </is>
      </c>
      <c r="D1459" t="inlineStr">
        <is>
          <t>ExportResources</t>
        </is>
      </c>
      <c r="F1459" t="inlineStr">
        <is>
          <t>Noggle Statue - Volt Prime</t>
        </is>
      </c>
      <c r="H1459" t="inlineStr">
        <is>
          <t>Solved: place filled from the wiki and archived 2026-10-16.</t>
        </is>
      </c>
      <c r="I1459" t="inlineStr">
        <is>
          <t>Resources</t>
        </is>
      </c>
      <c r="M1459" t="inlineStr">
        <is>
          <t>Included in the Prime Access or Prime Vault pack for this Warframe, or sold individually by Varzia during Prime Resurgence.</t>
        </is>
      </c>
      <c r="N1459" t="inlineStr">
        <is>
          <t>Decorations/Orbiter Decorations</t>
        </is>
      </c>
      <c r="O1459" t="inlineStr">
        <is>
          <t>Saved a concrete acquisition place from the official Warframe Wiki (Decorations/Orbiter Decorations page).</t>
        </is>
      </c>
    </row>
    <row r="1460">
      <c r="A1460" t="inlineStr">
        <is>
          <t>/Lotus/Types/Items/ShipDecos/WispPrimeBobbleHead</t>
        </is>
      </c>
      <c r="B1460" t="inlineStr">
        <is>
          <t>Noggle Statue - Wisp Prime</t>
        </is>
      </c>
      <c r="D1460" t="inlineStr">
        <is>
          <t>ExportResources</t>
        </is>
      </c>
      <c r="F1460" t="inlineStr">
        <is>
          <t>Noggle Statue - Wisp Prime</t>
        </is>
      </c>
      <c r="H1460" t="inlineStr">
        <is>
          <t>Solved: place filled from the wiki and archived 2026-10-16.</t>
        </is>
      </c>
      <c r="I1460" t="inlineStr">
        <is>
          <t>Resources</t>
        </is>
      </c>
      <c r="M1460" t="inlineStr">
        <is>
          <t>Included in the Prime Access or Prime Vault pack for this Warframe, or sold individually by Varzia during Prime Resurgence.</t>
        </is>
      </c>
      <c r="N1460" t="inlineStr">
        <is>
          <t>Decorations/Orbiter Decorations</t>
        </is>
      </c>
      <c r="O1460" t="inlineStr">
        <is>
          <t>Saved a concrete acquisition place from the official Warframe Wiki (Decorations/Orbiter Decorations page).</t>
        </is>
      </c>
    </row>
    <row r="1461">
      <c r="A1461" t="inlineStr">
        <is>
          <t>/Lotus/Types/Items/ShipDecos/WukongPrimeBobbleHead</t>
        </is>
      </c>
      <c r="B1461" t="inlineStr">
        <is>
          <t>Noggle Statue - Wukong Prime</t>
        </is>
      </c>
      <c r="D1461" t="inlineStr">
        <is>
          <t>ExportResources</t>
        </is>
      </c>
      <c r="F1461" t="inlineStr">
        <is>
          <t>Noggle Statue - Wukong Prime</t>
        </is>
      </c>
      <c r="H1461" t="inlineStr">
        <is>
          <t>Solved: place filled from the wiki and archived 2026-10-16.</t>
        </is>
      </c>
      <c r="I1461" t="inlineStr">
        <is>
          <t>Resources</t>
        </is>
      </c>
      <c r="M1461" t="inlineStr">
        <is>
          <t>Included in the Prime Access or Prime Vault pack for this Warframe, or sold individually by Varzia during Prime Resurgence.</t>
        </is>
      </c>
      <c r="N1461" t="inlineStr">
        <is>
          <t>Decorations/Orbiter Decorations</t>
        </is>
      </c>
      <c r="O1461" t="inlineStr">
        <is>
          <t>Saved a concrete acquisition place from the official Warframe Wiki (Decorations/Orbiter Decorations page).</t>
        </is>
      </c>
    </row>
    <row r="1462">
      <c r="A1462" t="inlineStr">
        <is>
          <t>/Lotus/Types/Items/ShipDecos/XakuPrimeBobbleHead</t>
        </is>
      </c>
      <c r="B1462" t="inlineStr">
        <is>
          <t>Noggle Statue - Xaku Prime</t>
        </is>
      </c>
      <c r="D1462" t="inlineStr">
        <is>
          <t>ExportResources</t>
        </is>
      </c>
      <c r="F1462" t="inlineStr">
        <is>
          <t>Noggle Statue - Xaku Prime</t>
        </is>
      </c>
      <c r="H1462" t="inlineStr">
        <is>
          <t>Solved: place filled from the wiki and archived 2026-10-16.</t>
        </is>
      </c>
      <c r="I1462" t="inlineStr">
        <is>
          <t>Resources</t>
        </is>
      </c>
      <c r="M1462" t="inlineStr">
        <is>
          <t>Included in the Prime Access or Prime Vault pack for this Warframe, or sold individually by Varzia during Prime Resurgence.</t>
        </is>
      </c>
      <c r="N1462" t="inlineStr">
        <is>
          <t>Decorations/Orbiter Decorations</t>
        </is>
      </c>
      <c r="O1462" t="inlineStr">
        <is>
          <t>Saved a concrete acquisition place from the official Warframe Wiki (Decorations/Orbiter Decorations page).</t>
        </is>
      </c>
    </row>
    <row r="1463">
      <c r="A1463" t="inlineStr">
        <is>
          <t>/Lotus/Types/Items/ShipDecos/YareliPrimeBobbleHead</t>
        </is>
      </c>
      <c r="B1463" t="inlineStr">
        <is>
          <t>Noggle Statue - Yareli Prime</t>
        </is>
      </c>
      <c r="D1463" t="inlineStr">
        <is>
          <t>ExportResources</t>
        </is>
      </c>
      <c r="F1463" t="inlineStr">
        <is>
          <t>Noggle Statue - Yareli Prime</t>
        </is>
      </c>
      <c r="H1463" t="inlineStr">
        <is>
          <t>Solved: place filled from the wiki and archived 2026-10-16.</t>
        </is>
      </c>
      <c r="I1463" t="inlineStr">
        <is>
          <t>Resources</t>
        </is>
      </c>
      <c r="M1463" t="inlineStr">
        <is>
          <t>Included in the Prime Access or Prime Vault pack for this Warframe, or sold individually by Varzia during Prime Resurgence.</t>
        </is>
      </c>
      <c r="N1463" t="inlineStr">
        <is>
          <t>Decorations/Orbiter Decorations</t>
        </is>
      </c>
      <c r="O1463" t="inlineStr">
        <is>
          <t>Saved a concrete acquisition place from the official Warframe Wiki (Decorations/Orbiter Decorations page).</t>
        </is>
      </c>
    </row>
    <row r="1464">
      <c r="A1464" t="inlineStr">
        <is>
          <t>/Lotus/Types/Items/ShipDecos/ZephyrPrimeBobbleHead</t>
        </is>
      </c>
      <c r="B1464" t="inlineStr">
        <is>
          <t>Noggle Statue - Zephyr Prime</t>
        </is>
      </c>
      <c r="D1464" t="inlineStr">
        <is>
          <t>ExportResources</t>
        </is>
      </c>
      <c r="F1464" t="inlineStr">
        <is>
          <t>Noggle Statue - Zephyr Prime</t>
        </is>
      </c>
      <c r="H1464" t="inlineStr">
        <is>
          <t>Solved: place filled from the wiki and archived 2026-10-16.</t>
        </is>
      </c>
      <c r="I1464" t="inlineStr">
        <is>
          <t>Resources</t>
        </is>
      </c>
      <c r="M1464" t="inlineStr">
        <is>
          <t>Included in the Prime Access or Prime Vault pack for this Warframe, or sold individually by Varzia during Prime Resurgence.</t>
        </is>
      </c>
      <c r="N1464" t="inlineStr">
        <is>
          <t>Decorations/Orbiter Decorations</t>
        </is>
      </c>
      <c r="O1464" t="inlineStr">
        <is>
          <t>Saved a concrete acquisition place from the official Warframe Wiki (Decorations/Orbiter Decorations page).</t>
        </is>
      </c>
    </row>
    <row r="1465">
      <c r="A1465" t="inlineStr">
        <is>
          <t>/Lotus/Types/Items/ShipDecos/MasteryTrophies/Rank04Trophy</t>
        </is>
      </c>
      <c r="B1465" t="inlineStr">
        <is>
          <t>Novice Mastery Slate</t>
        </is>
      </c>
      <c r="D1465" t="inlineStr">
        <is>
          <t>ExportResources</t>
        </is>
      </c>
      <c r="F1465" t="inlineStr">
        <is>
          <t>Novice Mastery Slate</t>
        </is>
      </c>
      <c r="H1465" t="inlineStr">
        <is>
          <t>Solved: place filled from the wiki and archived 2026-10-16.</t>
        </is>
      </c>
      <c r="I1465" t="inlineStr">
        <is>
          <t>Resources</t>
        </is>
      </c>
      <c r="M1465" t="inlineStr">
        <is>
          <t>Reward for passing the Mastery Rank 4 Test.</t>
        </is>
      </c>
      <c r="N1465" t="inlineStr">
        <is>
          <t>Decorations/Orbiter Decorations</t>
        </is>
      </c>
      <c r="O1465" t="inlineStr">
        <is>
          <t>Saved a concrete acquisition place from the official Warframe Wiki (Decorations/Orbiter Decorations page).</t>
        </is>
      </c>
    </row>
    <row r="1466">
      <c r="A1466" t="inlineStr">
        <is>
          <t>/Lotus/Types/Items/Eidolon/AnimalTagKuakaCommon</t>
        </is>
      </c>
      <c r="B1466" t="inlineStr">
        <is>
          <t>Plains Kuaka Tag</t>
        </is>
      </c>
      <c r="C1466" t="inlineStr">
        <is>
          <t>https://wiki.warframe.com/w/Kuaka</t>
        </is>
      </c>
      <c r="D1466" t="inlineStr">
        <is>
          <t>ExportResources</t>
        </is>
      </c>
      <c r="F1466" t="inlineStr">
        <is>
          <t>Plains Kuaka Tag</t>
        </is>
      </c>
      <c r="G1466" t="inlineStr">
        <is>
          <t>Plains Kuaka Tag</t>
        </is>
      </c>
      <c r="H1466" t="inlineStr">
        <is>
          <t>Solved: place filled from the wiki and archived 2026-10-16.</t>
        </is>
      </c>
      <c r="I1466" t="inlineStr">
        <is>
          <t>Resources</t>
        </is>
      </c>
      <c r="J1466" t="inlineStr">
        <is>
          <t>Resources_data</t>
        </is>
      </c>
      <c r="K1466" t="inlineStr">
        <is>
          <t>Resources/data</t>
        </is>
      </c>
      <c r="L1466" t="inlineStr">
        <is>
          <t>listed, no place</t>
        </is>
      </c>
      <c r="M1466" t="inlineStr">
        <is>
          <t>Awarded for capturing a Plains Kuaka through Conservation on the Plains of Eidolon.</t>
        </is>
      </c>
      <c r="N1466" t="inlineStr">
        <is>
          <t>Kuaka | Conservation</t>
        </is>
      </c>
      <c r="O1466" t="inlineStr">
        <is>
          <t>Saved a concrete acquisition place from the official Warframe Wiki (Kuaka page).</t>
        </is>
      </c>
    </row>
    <row r="1467">
      <c r="A1467" t="inlineStr">
        <is>
          <t>/Lotus/Types/Items/ShipDecos/MasteryTrophies/Rank35Trophy</t>
        </is>
      </c>
      <c r="B1467" t="inlineStr">
        <is>
          <t>Platinum Legendary Mastery Slate</t>
        </is>
      </c>
      <c r="D1467" t="inlineStr">
        <is>
          <t>ExportResources</t>
        </is>
      </c>
      <c r="F1467" t="inlineStr">
        <is>
          <t>Platinum Legendary Mastery Slate</t>
        </is>
      </c>
      <c r="H1467" t="inlineStr">
        <is>
          <t>Solved: place filled from the wiki and archived 2026-10-16.</t>
        </is>
      </c>
      <c r="I1467" t="inlineStr">
        <is>
          <t>Resources</t>
        </is>
      </c>
      <c r="M1467" t="inlineStr">
        <is>
          <t>Reward for passing the Legendary 5 Mastery Rank Test.</t>
        </is>
      </c>
      <c r="N1467" t="inlineStr">
        <is>
          <t>Decorations/Orbiter Decorations</t>
        </is>
      </c>
      <c r="O1467" t="inlineStr">
        <is>
          <t>Saved a concrete acquisition place from the official Warframe Wiki (Decorations/Orbiter Decorations page).</t>
        </is>
      </c>
    </row>
    <row r="1468">
      <c r="A1468" t="inlineStr">
        <is>
          <t>/Lotus/Types/Items/Eidolon/AnimalTagCondrocUncommon</t>
        </is>
      </c>
      <c r="B1468" t="inlineStr">
        <is>
          <t>Rogue Condroc Tag</t>
        </is>
      </c>
      <c r="C1468" t="inlineStr">
        <is>
          <t>https://wiki.warframe.com/w/Condroc</t>
        </is>
      </c>
      <c r="D1468" t="inlineStr">
        <is>
          <t>ExportResources</t>
        </is>
      </c>
      <c r="F1468" t="inlineStr">
        <is>
          <t>Rogue Condroc Tag</t>
        </is>
      </c>
      <c r="G1468" t="inlineStr">
        <is>
          <t>Rogue Condroc Tag</t>
        </is>
      </c>
      <c r="H1468" t="inlineStr">
        <is>
          <t>Solved: place filled from the wiki and archived 2026-10-16.</t>
        </is>
      </c>
      <c r="I1468" t="inlineStr">
        <is>
          <t>Resources</t>
        </is>
      </c>
      <c r="J1468" t="inlineStr">
        <is>
          <t>Resources_data</t>
        </is>
      </c>
      <c r="K1468" t="inlineStr">
        <is>
          <t>Resources/data</t>
        </is>
      </c>
      <c r="L1468" t="inlineStr">
        <is>
          <t>listed, no place</t>
        </is>
      </c>
      <c r="M1468" t="inlineStr">
        <is>
          <t>Awarded for capturing a Rogue Condroc through Conservation on the Plains of Eidolon.</t>
        </is>
      </c>
      <c r="N1468" t="inlineStr">
        <is>
          <t>Condroc | Conservation</t>
        </is>
      </c>
      <c r="O1468" t="inlineStr">
        <is>
          <t>Saved a concrete acquisition place from the official Warframe Wiki (Condroc page).</t>
        </is>
      </c>
    </row>
    <row r="1469">
      <c r="A1469" t="inlineStr">
        <is>
          <t>/Lotus/Types/Items/ShipDecos/MasteryTrophies/Rank25Trophy</t>
        </is>
      </c>
      <c r="B1469" t="inlineStr">
        <is>
          <t>Sage Mastery Slate</t>
        </is>
      </c>
      <c r="D1469" t="inlineStr">
        <is>
          <t>ExportResources</t>
        </is>
      </c>
      <c r="F1469" t="inlineStr">
        <is>
          <t>Sage Mastery Slate</t>
        </is>
      </c>
      <c r="H1469" t="inlineStr">
        <is>
          <t>Solved: place filled from the wiki and archived 2026-10-16.</t>
        </is>
      </c>
      <c r="I1469" t="inlineStr">
        <is>
          <t>Resources</t>
        </is>
      </c>
      <c r="M1469" t="inlineStr">
        <is>
          <t>Reward for passing the Mastery Rank 25 Test.</t>
        </is>
      </c>
      <c r="N1469" t="inlineStr">
        <is>
          <t>Decorations/Orbiter Decorations</t>
        </is>
      </c>
      <c r="O1469" t="inlineStr">
        <is>
          <t>Saved a concrete acquisition place from the official Warframe Wiki (Decorations/Orbiter Decorations page).</t>
        </is>
      </c>
    </row>
    <row r="1470">
      <c r="A1470" t="inlineStr">
        <is>
          <t>/Lotus/Types/Items/ShipDecos/MasteryTrophies/Rank10Trophy</t>
        </is>
      </c>
      <c r="B1470" t="inlineStr">
        <is>
          <t>Seeker Mastery Slate</t>
        </is>
      </c>
      <c r="D1470" t="inlineStr">
        <is>
          <t>ExportResources</t>
        </is>
      </c>
      <c r="F1470" t="inlineStr">
        <is>
          <t>Seeker Mastery Slate</t>
        </is>
      </c>
      <c r="H1470" t="inlineStr">
        <is>
          <t>Solved: place filled from the wiki and archived 2026-10-16.</t>
        </is>
      </c>
      <c r="I1470" t="inlineStr">
        <is>
          <t>Resources</t>
        </is>
      </c>
      <c r="M1470" t="inlineStr">
        <is>
          <t>Reward for passing the Mastery Rank 10 Test.</t>
        </is>
      </c>
      <c r="N1470" t="inlineStr">
        <is>
          <t>Decorations/Orbiter Decorations</t>
        </is>
      </c>
      <c r="O1470" t="inlineStr">
        <is>
          <t>Saved a concrete acquisition place from the official Warframe Wiki (Decorations/Orbiter Decorations page).</t>
        </is>
      </c>
    </row>
    <row r="1471">
      <c r="A1471" t="inlineStr">
        <is>
          <t>/Lotus/Types/Items/ShipDecos/MasteryTrophies/Rank08Trophy</t>
        </is>
      </c>
      <c r="B1471" t="inlineStr">
        <is>
          <t>Silver Disciple Mastery Slate</t>
        </is>
      </c>
      <c r="D1471" t="inlineStr">
        <is>
          <t>ExportResources</t>
        </is>
      </c>
      <c r="F1471" t="inlineStr">
        <is>
          <t>Silver Disciple Mastery Slate</t>
        </is>
      </c>
      <c r="H1471" t="inlineStr">
        <is>
          <t>Solved: place filled from the wiki and archived 2026-10-16.</t>
        </is>
      </c>
      <c r="I1471" t="inlineStr">
        <is>
          <t>Resources</t>
        </is>
      </c>
      <c r="M1471" t="inlineStr">
        <is>
          <t>Reward for passing the Mastery Rank 8 Test.</t>
        </is>
      </c>
      <c r="N1471" t="inlineStr">
        <is>
          <t>Decorations/Orbiter Decorations</t>
        </is>
      </c>
      <c r="O1471" t="inlineStr">
        <is>
          <t>Saved a concrete acquisition place from the official Warframe Wiki (Decorations/Orbiter Decorations page).</t>
        </is>
      </c>
    </row>
    <row r="1472">
      <c r="A1472" t="inlineStr">
        <is>
          <t>/Lotus/Types/Items/ShipDecos/MasteryTrophies/Rank23Trophy</t>
        </is>
      </c>
      <c r="B1472" t="inlineStr">
        <is>
          <t>Silver Dragon Mastery Slate</t>
        </is>
      </c>
      <c r="D1472" t="inlineStr">
        <is>
          <t>ExportResources</t>
        </is>
      </c>
      <c r="F1472" t="inlineStr">
        <is>
          <t>Silver Dragon Mastery Slate</t>
        </is>
      </c>
      <c r="H1472" t="inlineStr">
        <is>
          <t>Solved: place filled from the wiki and archived 2026-10-16.</t>
        </is>
      </c>
      <c r="I1472" t="inlineStr">
        <is>
          <t>Resources</t>
        </is>
      </c>
      <c r="M1472" t="inlineStr">
        <is>
          <t>Reward for passing the Mastery Rank 23 Test.</t>
        </is>
      </c>
      <c r="N1472" t="inlineStr">
        <is>
          <t>Decorations/Orbiter Decorations</t>
        </is>
      </c>
      <c r="O1472" t="inlineStr">
        <is>
          <t>Saved a concrete acquisition place from the official Warframe Wiki (Decorations/Orbiter Decorations page).</t>
        </is>
      </c>
    </row>
    <row r="1473">
      <c r="A1473" t="inlineStr">
        <is>
          <t>/Lotus/Types/Items/ShipDecos/MasteryTrophies/Rank17Trophy</t>
        </is>
      </c>
      <c r="B1473" t="inlineStr">
        <is>
          <t>Silver Eagle Mastery Slate</t>
        </is>
      </c>
      <c r="D1473" t="inlineStr">
        <is>
          <t>ExportResources</t>
        </is>
      </c>
      <c r="F1473" t="inlineStr">
        <is>
          <t>Silver Eagle Mastery Slate</t>
        </is>
      </c>
      <c r="H1473" t="inlineStr">
        <is>
          <t>Solved: place filled from the wiki and archived 2026-10-16.</t>
        </is>
      </c>
      <c r="I1473" t="inlineStr">
        <is>
          <t>Resources</t>
        </is>
      </c>
      <c r="M1473" t="inlineStr">
        <is>
          <t>Reward for passing the Mastery Rank 17 Test.</t>
        </is>
      </c>
      <c r="N1473" t="inlineStr">
        <is>
          <t>Decorations/Orbiter Decorations</t>
        </is>
      </c>
      <c r="O1473" t="inlineStr">
        <is>
          <t>Saved a concrete acquisition place from the official Warframe Wiki (Decorations/Orbiter Decorations page).</t>
        </is>
      </c>
    </row>
    <row r="1474">
      <c r="A1474" t="inlineStr">
        <is>
          <t>/Lotus/Types/Items/ShipDecos/MasteryTrophies/Rank14Trophy</t>
        </is>
      </c>
      <c r="B1474" t="inlineStr">
        <is>
          <t>Silver Hunter Mastery Slate</t>
        </is>
      </c>
      <c r="D1474" t="inlineStr">
        <is>
          <t>ExportResources</t>
        </is>
      </c>
      <c r="F1474" t="inlineStr">
        <is>
          <t>Silver Hunter Mastery Slate</t>
        </is>
      </c>
      <c r="H1474" t="inlineStr">
        <is>
          <t>Solved: place filled from the wiki and archived 2026-10-16.</t>
        </is>
      </c>
      <c r="I1474" t="inlineStr">
        <is>
          <t>Resources</t>
        </is>
      </c>
      <c r="M1474" t="inlineStr">
        <is>
          <t>Reward for passing the Mastery Rank 14 Test.</t>
        </is>
      </c>
      <c r="N1474" t="inlineStr">
        <is>
          <t>Decorations/Orbiter Decorations</t>
        </is>
      </c>
      <c r="O1474" t="inlineStr">
        <is>
          <t>Saved a concrete acquisition place from the official Warframe Wiki (Decorations/Orbiter Decorations page).</t>
        </is>
      </c>
    </row>
    <row r="1475">
      <c r="A1475" t="inlineStr">
        <is>
          <t>/Lotus/Types/Items/ShipDecos/MasteryTrophies/Rank02Trophy</t>
        </is>
      </c>
      <c r="B1475" t="inlineStr">
        <is>
          <t>Silver Initiate Mastery Slate</t>
        </is>
      </c>
      <c r="D1475" t="inlineStr">
        <is>
          <t>ExportResources</t>
        </is>
      </c>
      <c r="F1475" t="inlineStr">
        <is>
          <t>Silver Initiate Mastery Slate</t>
        </is>
      </c>
      <c r="H1475" t="inlineStr">
        <is>
          <t>Solved: place filled from the wiki and archived 2026-10-16.</t>
        </is>
      </c>
      <c r="I1475" t="inlineStr">
        <is>
          <t>Resources</t>
        </is>
      </c>
      <c r="M1475" t="inlineStr">
        <is>
          <t>Reward for passing the Mastery Rank 2 Test.</t>
        </is>
      </c>
      <c r="N1475" t="inlineStr">
        <is>
          <t>Decorations/Orbiter Decorations</t>
        </is>
      </c>
      <c r="O1475" t="inlineStr">
        <is>
          <t>Saved a concrete acquisition place from the official Warframe Wiki (Decorations/Orbiter Decorations page).</t>
        </is>
      </c>
    </row>
    <row r="1476">
      <c r="A1476" t="inlineStr">
        <is>
          <t>/Lotus/Types/Items/ShipDecos/MasteryTrophies/Rank32Trophy</t>
        </is>
      </c>
      <c r="B1476" t="inlineStr">
        <is>
          <t>Silver Legendary Mastery Slate</t>
        </is>
      </c>
      <c r="D1476" t="inlineStr">
        <is>
          <t>ExportResources</t>
        </is>
      </c>
      <c r="F1476" t="inlineStr">
        <is>
          <t>Silver Legendary Mastery Slate</t>
        </is>
      </c>
      <c r="H1476" t="inlineStr">
        <is>
          <t>Solved: place filled from the wiki and archived 2026-10-16.</t>
        </is>
      </c>
      <c r="I1476" t="inlineStr">
        <is>
          <t>Resources</t>
        </is>
      </c>
      <c r="M1476" t="inlineStr">
        <is>
          <t>Reward for passing the Legendary 2 Mastery Rank Test.</t>
        </is>
      </c>
      <c r="N1476" t="inlineStr">
        <is>
          <t>Decorations/Orbiter Decorations</t>
        </is>
      </c>
      <c r="O1476" t="inlineStr">
        <is>
          <t>Saved a concrete acquisition place from the official Warframe Wiki (Decorations/Orbiter Decorations page).</t>
        </is>
      </c>
    </row>
    <row r="1477">
      <c r="A1477" t="inlineStr">
        <is>
          <t>/Lotus/Types/Items/ShipDecos/MasteryTrophies/Rank05Trophy</t>
        </is>
      </c>
      <c r="B1477" t="inlineStr">
        <is>
          <t>Silver Novice Mastery Slate</t>
        </is>
      </c>
      <c r="D1477" t="inlineStr">
        <is>
          <t>ExportResources</t>
        </is>
      </c>
      <c r="F1477" t="inlineStr">
        <is>
          <t>Silver Novice Mastery Slate</t>
        </is>
      </c>
      <c r="H1477" t="inlineStr">
        <is>
          <t>Solved: place filled from the wiki and archived 2026-10-16.</t>
        </is>
      </c>
      <c r="I1477" t="inlineStr">
        <is>
          <t>Resources</t>
        </is>
      </c>
      <c r="M1477" t="inlineStr">
        <is>
          <t>Reward for passing the Mastery Rank 5 Test.</t>
        </is>
      </c>
      <c r="N1477" t="inlineStr">
        <is>
          <t>Decorations/Orbiter Decorations</t>
        </is>
      </c>
      <c r="O1477" t="inlineStr">
        <is>
          <t>Saved a concrete acquisition place from the official Warframe Wiki (Decorations/Orbiter Decorations page).</t>
        </is>
      </c>
    </row>
    <row r="1478">
      <c r="A1478" t="inlineStr">
        <is>
          <t>/Lotus/Types/Items/ShipDecos/MasteryTrophies/Rank26Trophy</t>
        </is>
      </c>
      <c r="B1478" t="inlineStr">
        <is>
          <t>Silver Sage Mastery Slate</t>
        </is>
      </c>
      <c r="D1478" t="inlineStr">
        <is>
          <t>ExportResources</t>
        </is>
      </c>
      <c r="F1478" t="inlineStr">
        <is>
          <t>Silver Sage Mastery Slate</t>
        </is>
      </c>
      <c r="H1478" t="inlineStr">
        <is>
          <t>Solved: place filled from the wiki and archived 2026-10-16.</t>
        </is>
      </c>
      <c r="I1478" t="inlineStr">
        <is>
          <t>Resources</t>
        </is>
      </c>
      <c r="M1478" t="inlineStr">
        <is>
          <t>Reward for passing the Mastery Rank 26 Test.</t>
        </is>
      </c>
      <c r="N1478" t="inlineStr">
        <is>
          <t>Decorations/Orbiter Decorations</t>
        </is>
      </c>
      <c r="O1478" t="inlineStr">
        <is>
          <t>Saved a concrete acquisition place from the official Warframe Wiki (Decorations/Orbiter Decorations page).</t>
        </is>
      </c>
    </row>
    <row r="1479">
      <c r="A1479" t="inlineStr">
        <is>
          <t>/Lotus/Types/Items/ShipDecos/MasteryTrophies/Rank11Trophy</t>
        </is>
      </c>
      <c r="B1479" t="inlineStr">
        <is>
          <t>Silver Seeker Mastery Slate</t>
        </is>
      </c>
      <c r="D1479" t="inlineStr">
        <is>
          <t>ExportResources</t>
        </is>
      </c>
      <c r="F1479" t="inlineStr">
        <is>
          <t>Silver Seeker Mastery Slate</t>
        </is>
      </c>
      <c r="H1479" t="inlineStr">
        <is>
          <t>Solved: place filled from the wiki and archived 2026-10-16.</t>
        </is>
      </c>
      <c r="I1479" t="inlineStr">
        <is>
          <t>Resources</t>
        </is>
      </c>
      <c r="M1479" t="inlineStr">
        <is>
          <t>Reward for passing the Mastery Rank 11 Test.</t>
        </is>
      </c>
      <c r="N1479" t="inlineStr">
        <is>
          <t>Decorations/Orbiter Decorations</t>
        </is>
      </c>
      <c r="O1479" t="inlineStr">
        <is>
          <t>Saved a concrete acquisition place from the official Warframe Wiki (Decorations/Orbiter Decorations page).</t>
        </is>
      </c>
    </row>
    <row r="1480">
      <c r="A1480" t="inlineStr">
        <is>
          <t>/Lotus/Types/Items/ShipDecos/MasteryTrophies/Rank20Trophy</t>
        </is>
      </c>
      <c r="B1480" t="inlineStr">
        <is>
          <t>Silver Tiger Mastery Slate</t>
        </is>
      </c>
      <c r="D1480" t="inlineStr">
        <is>
          <t>ExportResources</t>
        </is>
      </c>
      <c r="F1480" t="inlineStr">
        <is>
          <t>Silver Tiger Mastery Slate</t>
        </is>
      </c>
      <c r="H1480" t="inlineStr">
        <is>
          <t>Solved: place filled from the wiki and archived 2026-10-16.</t>
        </is>
      </c>
      <c r="I1480" t="inlineStr">
        <is>
          <t>Resources</t>
        </is>
      </c>
      <c r="M1480" t="inlineStr">
        <is>
          <t>Reward for passing the Mastery Rank 20 Test.</t>
        </is>
      </c>
      <c r="N1480" t="inlineStr">
        <is>
          <t>Decorations/Orbiter Decorations</t>
        </is>
      </c>
      <c r="O1480" t="inlineStr">
        <is>
          <t>Saved a concrete acquisition place from the official Warframe Wiki (Decorations/Orbiter Decorations page).</t>
        </is>
      </c>
    </row>
    <row r="1481">
      <c r="A1481" t="inlineStr">
        <is>
          <t>/Lotus/Types/Items/ShipDecos/MasteryTrophies/Rank19Trophy</t>
        </is>
      </c>
      <c r="B1481" t="inlineStr">
        <is>
          <t>Tiger Mastery Slate</t>
        </is>
      </c>
      <c r="D1481" t="inlineStr">
        <is>
          <t>ExportResources</t>
        </is>
      </c>
      <c r="F1481" t="inlineStr">
        <is>
          <t>Tiger Mastery Slate</t>
        </is>
      </c>
      <c r="H1481" t="inlineStr">
        <is>
          <t>Solved: place filled from the wiki and archived 2026-10-16.</t>
        </is>
      </c>
      <c r="I1481" t="inlineStr">
        <is>
          <t>Resources</t>
        </is>
      </c>
      <c r="M1481" t="inlineStr">
        <is>
          <t>Reward for passing the Mastery Rank 19 Test.</t>
        </is>
      </c>
      <c r="N1481" t="inlineStr">
        <is>
          <t>Decorations/Orbiter Decorations</t>
        </is>
      </c>
      <c r="O1481" t="inlineStr">
        <is>
          <t>Saved a concrete acquisition place from the official Warframe Wiki (Decorations/Orbiter Decorations page).</t>
        </is>
      </c>
    </row>
    <row r="1482">
      <c r="A1482" t="inlineStr">
        <is>
          <t>/Lotus/Types/Items/ShipDecos/MasteryTrophies/Rank30Trophy</t>
        </is>
      </c>
      <c r="B1482" t="inlineStr">
        <is>
          <t>True Master Mastery Slate</t>
        </is>
      </c>
      <c r="D1482" t="inlineStr">
        <is>
          <t>ExportResources</t>
        </is>
      </c>
      <c r="F1482" t="inlineStr">
        <is>
          <t>True Master Mastery Slate</t>
        </is>
      </c>
      <c r="H1482" t="inlineStr">
        <is>
          <t>Solved: place filled from the wiki and archived 2026-10-16.</t>
        </is>
      </c>
      <c r="I1482" t="inlineStr">
        <is>
          <t>Resources</t>
        </is>
      </c>
      <c r="M1482" t="inlineStr">
        <is>
          <t>Reward for passing the Mastery Rank 30 Test.</t>
        </is>
      </c>
      <c r="N1482" t="inlineStr">
        <is>
          <t>Decorations/Orbiter Decorations</t>
        </is>
      </c>
      <c r="O1482" t="inlineStr">
        <is>
          <t>Saved a concrete acquisition place from the official Warframe Wiki (Decorations/Orbiter Decorations page).</t>
        </is>
      </c>
    </row>
    <row r="1483">
      <c r="A1483" t="inlineStr">
        <is>
          <t>/Lotus/Types/Items/ShipDecos/Focus/UnairuPoster</t>
        </is>
      </c>
      <c r="B1483" t="inlineStr">
        <is>
          <t>Unairu Poster</t>
        </is>
      </c>
      <c r="C1483" t="inlineStr">
        <is>
          <t>https://wiki.warframe.com/w/Decorations/Orbiter_Decorations</t>
        </is>
      </c>
      <c r="D1483" t="inlineStr">
        <is>
          <t>ExportResources</t>
        </is>
      </c>
      <c r="F1483" t="inlineStr">
        <is>
          <t>Unairu Poster</t>
        </is>
      </c>
      <c r="H1483" t="inlineStr">
        <is>
          <t>Solved: place filled from the wiki and archived 2026-10-16.</t>
        </is>
      </c>
      <c r="I1483" t="inlineStr">
        <is>
          <t>Resources</t>
        </is>
      </c>
      <c r="M1483" t="inlineStr">
        <is>
          <t>Purchase from the Unairu Represent shop for 1,000,000 Unairu Focus points, after unlocking and fully ranking every node in the school (including both Way-Bounds).</t>
        </is>
      </c>
      <c r="N1483" t="inlineStr">
        <is>
          <t>Decorations/Orbiter Decorations | Focus</t>
        </is>
      </c>
      <c r="O1483" t="inlineStr">
        <is>
          <t>Saved a concrete acquisition place from the official Warframe Wiki (Decorations/Orbiter Decorations page).</t>
        </is>
      </c>
    </row>
    <row r="1484">
      <c r="A1484" t="inlineStr">
        <is>
          <t>/Lotus/Types/Items/ShipDecos/Operator/SchoolDecalUnairu</t>
        </is>
      </c>
      <c r="B1484" t="inlineStr">
        <is>
          <t>Unairu Vosphene</t>
        </is>
      </c>
      <c r="C1484" t="inlineStr">
        <is>
          <t>https://wiki.warframe.com/w/Decorations/Orbiter_Decorations</t>
        </is>
      </c>
      <c r="D1484" t="inlineStr">
        <is>
          <t>ExportResources</t>
        </is>
      </c>
      <c r="F1484" t="inlineStr">
        <is>
          <t>Unairu Vosphene</t>
        </is>
      </c>
      <c r="H1484" t="inlineStr">
        <is>
          <t>Solved: place filled from the wiki and archived 2026-10-16.</t>
        </is>
      </c>
      <c r="I1484" t="inlineStr">
        <is>
          <t>Resources</t>
        </is>
      </c>
      <c r="M1484" t="inlineStr">
        <is>
          <t>Purchase from the Unairu Represent shop for 1,000,000 Unairu Focus points, after unlocking and fully ranking every node in the school (including both Way-Bounds).</t>
        </is>
      </c>
      <c r="N1484" t="inlineStr">
        <is>
          <t>Decorations/Orbiter Decorations | Focus</t>
        </is>
      </c>
      <c r="O1484" t="inlineStr">
        <is>
          <t>Saved a concrete acquisition place from the official Warframe Wiki (Decorations/Orbiter Decorations page).</t>
        </is>
      </c>
    </row>
    <row r="1485">
      <c r="A1485" t="inlineStr">
        <is>
          <t>/Lotus/Types/Items/ShipDecos/Focus/VazarinPoster</t>
        </is>
      </c>
      <c r="B1485" t="inlineStr">
        <is>
          <t>Vazarin Poster</t>
        </is>
      </c>
      <c r="C1485" t="inlineStr">
        <is>
          <t>https://wiki.warframe.com/w/Decorations/Orbiter_Decorations</t>
        </is>
      </c>
      <c r="D1485" t="inlineStr">
        <is>
          <t>ExportResources</t>
        </is>
      </c>
      <c r="F1485" t="inlineStr">
        <is>
          <t>Vazarin Poster</t>
        </is>
      </c>
      <c r="H1485" t="inlineStr">
        <is>
          <t>Solved: place filled from the wiki and archived 2026-10-16.</t>
        </is>
      </c>
      <c r="I1485" t="inlineStr">
        <is>
          <t>Resources</t>
        </is>
      </c>
      <c r="M1485" t="inlineStr">
        <is>
          <t>Purchase from the Vazarin Represent shop for 1,000,000 Vazarin Focus points, after unlocking and fully ranking every node in the school (including both Way-Bounds).</t>
        </is>
      </c>
      <c r="N1485" t="inlineStr">
        <is>
          <t>Decorations/Orbiter Decorations | Focus</t>
        </is>
      </c>
      <c r="O1485" t="inlineStr">
        <is>
          <t>Saved a concrete acquisition place from the official Warframe Wiki (Decorations/Orbiter Decorations page).</t>
        </is>
      </c>
    </row>
    <row r="1486">
      <c r="A1486" t="inlineStr">
        <is>
          <t>/Lotus/Types/Items/ShipDecos/Operator/SchoolDecalVazarin</t>
        </is>
      </c>
      <c r="B1486" t="inlineStr">
        <is>
          <t>Vazarin Vosphene</t>
        </is>
      </c>
      <c r="C1486" t="inlineStr">
        <is>
          <t>https://wiki.warframe.com/w/Decorations/Orbiter_Decorations</t>
        </is>
      </c>
      <c r="D1486" t="inlineStr">
        <is>
          <t>ExportResources</t>
        </is>
      </c>
      <c r="F1486" t="inlineStr">
        <is>
          <t>Vazarin Vosphene</t>
        </is>
      </c>
      <c r="H1486" t="inlineStr">
        <is>
          <t>Solved: place filled from the wiki and archived 2026-10-16.</t>
        </is>
      </c>
      <c r="I1486" t="inlineStr">
        <is>
          <t>Resources</t>
        </is>
      </c>
      <c r="M1486" t="inlineStr">
        <is>
          <t>Purchase from the Vazarin Represent shop for 1,000,000 Vazarin Focus points, after unlocking and fully ranking every node in the school (including both Way-Bounds).</t>
        </is>
      </c>
      <c r="N1486" t="inlineStr">
        <is>
          <t>Decorations/Orbiter Decorations | Focus</t>
        </is>
      </c>
      <c r="O1486" t="inlineStr">
        <is>
          <t>Saved a concrete acquisition place from the official Warframe Wiki (Decorations/Orbiter Decorations page).</t>
        </is>
      </c>
    </row>
    <row r="1487">
      <c r="A1487" t="inlineStr">
        <is>
          <t>/Lotus/Types/Items/ShipDecos/Focus/ZenurikPoster</t>
        </is>
      </c>
      <c r="B1487" t="inlineStr">
        <is>
          <t>Zenurik Poster</t>
        </is>
      </c>
      <c r="C1487" t="inlineStr">
        <is>
          <t>https://wiki.warframe.com/w/Decorations/Orbiter_Decorations</t>
        </is>
      </c>
      <c r="D1487" t="inlineStr">
        <is>
          <t>ExportResources</t>
        </is>
      </c>
      <c r="F1487" t="inlineStr">
        <is>
          <t>Zenurik Poster</t>
        </is>
      </c>
      <c r="H1487" t="inlineStr">
        <is>
          <t>Solved: place filled from the wiki and archived 2026-10-16.</t>
        </is>
      </c>
      <c r="I1487" t="inlineStr">
        <is>
          <t>Resources</t>
        </is>
      </c>
      <c r="M1487" t="inlineStr">
        <is>
          <t>Purchase from the Zenurik Represent shop for 1,000,000 Zenurik Focus points, after unlocking and fully ranking every node in the school (including both Way-Bounds).</t>
        </is>
      </c>
      <c r="N1487" t="inlineStr">
        <is>
          <t>Decorations/Orbiter Decorations | Focus</t>
        </is>
      </c>
      <c r="O1487" t="inlineStr">
        <is>
          <t>Saved a concrete acquisition place from the official Warframe Wiki (Decorations/Orbiter Decorations page).</t>
        </is>
      </c>
    </row>
    <row r="1488">
      <c r="A1488" t="inlineStr">
        <is>
          <t>/Lotus/Types/Items/ShipDecos/Operator/SchoolDecalZenurik</t>
        </is>
      </c>
      <c r="B1488" t="inlineStr">
        <is>
          <t>Zenurik Vosphene</t>
        </is>
      </c>
      <c r="C1488" t="inlineStr">
        <is>
          <t>https://wiki.warframe.com/w/Decorations/Orbiter_Decorations</t>
        </is>
      </c>
      <c r="D1488" t="inlineStr">
        <is>
          <t>ExportResources</t>
        </is>
      </c>
      <c r="F1488" t="inlineStr">
        <is>
          <t>Zenurik Vosphene</t>
        </is>
      </c>
      <c r="H1488" t="inlineStr">
        <is>
          <t>Solved: place filled from the wiki and archived 2026-10-16.</t>
        </is>
      </c>
      <c r="I1488" t="inlineStr">
        <is>
          <t>Resources</t>
        </is>
      </c>
      <c r="M1488" t="inlineStr">
        <is>
          <t>Purchase from the Zenurik Represent shop for 1,000,000 Zenurik Focus points, after unlocking and fully ranking every node in the school (including both Way-Bounds).</t>
        </is>
      </c>
      <c r="N1488" t="inlineStr">
        <is>
          <t>Decorations/Orbiter Decorations | Focus</t>
        </is>
      </c>
      <c r="O1488" t="inlineStr">
        <is>
          <t>Saved a concrete acquisition place from the official Warframe Wiki (Decorations/Orbiter Decorations page).</t>
        </is>
      </c>
    </row>
    <row r="1489">
      <c r="A1489" t="inlineStr">
        <is>
          <t>/Lotus/Types/Items/ShipDecos/Tennocon2017Display</t>
        </is>
      </c>
      <c r="B1489" t="inlineStr">
        <is>
          <t>Display - TennoCon 2017</t>
        </is>
      </c>
      <c r="D1489" t="inlineStr">
        <is>
          <t>ExportResources</t>
        </is>
      </c>
      <c r="F1489" t="inlineStr">
        <is>
          <t>Display - TennoCon 2017</t>
        </is>
      </c>
      <c r="H1489" t="inlineStr">
        <is>
          <t>Solved: place filled from the wiki and archived 2026-10-16.</t>
        </is>
      </c>
      <c r="I1489" t="inlineStr">
        <is>
          <t>Resources</t>
        </is>
      </c>
      <c r="M1489" t="inlineStr">
        <is>
          <t>Part of the TennoCon 2017 Digital Pack.</t>
        </is>
      </c>
      <c r="N1489" t="inlineStr">
        <is>
          <t>Decorations/Orbiter Decorations</t>
        </is>
      </c>
      <c r="O1489" t="inlineStr">
        <is>
          <t>Saved a concrete acquisition place from the official Warframe Wiki (Decorations/Orbiter Decorations page).</t>
        </is>
      </c>
    </row>
    <row r="1490">
      <c r="A1490" t="inlineStr">
        <is>
          <t>/Lotus/Types/Items/ShipDecos/Tennocon2018Display</t>
        </is>
      </c>
      <c r="B1490" t="inlineStr">
        <is>
          <t>Display - TennoCon 2018</t>
        </is>
      </c>
      <c r="D1490" t="inlineStr">
        <is>
          <t>ExportResources</t>
        </is>
      </c>
      <c r="F1490" t="inlineStr">
        <is>
          <t>Display - TennoCon 2018</t>
        </is>
      </c>
      <c r="H1490" t="inlineStr">
        <is>
          <t>Solved: place filled from the wiki and archived 2026-10-16.</t>
        </is>
      </c>
      <c r="I1490" t="inlineStr">
        <is>
          <t>Resources</t>
        </is>
      </c>
      <c r="M1490" t="inlineStr">
        <is>
          <t>Part of the TennoCon 2018 Digital Pack.</t>
        </is>
      </c>
      <c r="N1490" t="inlineStr">
        <is>
          <t>Decorations/Orbiter Decorations</t>
        </is>
      </c>
      <c r="O1490" t="inlineStr">
        <is>
          <t>Saved a concrete acquisition place from the official Warframe Wiki (Decorations/Orbiter Decorations page).</t>
        </is>
      </c>
    </row>
    <row r="1491">
      <c r="A1491" t="inlineStr">
        <is>
          <t>/Lotus/Types/Items/ShipDecos/Tennocon2019Display</t>
        </is>
      </c>
      <c r="B1491" t="inlineStr">
        <is>
          <t>Display - TennoCon 2019</t>
        </is>
      </c>
      <c r="D1491" t="inlineStr">
        <is>
          <t>ExportResources</t>
        </is>
      </c>
      <c r="F1491" t="inlineStr">
        <is>
          <t>Display - TennoCon 2019</t>
        </is>
      </c>
      <c r="H1491" t="inlineStr">
        <is>
          <t>Solved: place filled from the wiki and archived 2026-10-16.</t>
        </is>
      </c>
      <c r="I1491" t="inlineStr">
        <is>
          <t>Resources</t>
        </is>
      </c>
      <c r="M1491" t="inlineStr">
        <is>
          <t>Part of the TennoCon 2019 Digital Pack.</t>
        </is>
      </c>
      <c r="N1491" t="inlineStr">
        <is>
          <t>Decorations/Orbiter Decorations</t>
        </is>
      </c>
      <c r="O1491" t="inlineStr">
        <is>
          <t>Saved a concrete acquisition place from the official Warframe Wiki (Decorations/Orbiter Decorations page).</t>
        </is>
      </c>
    </row>
    <row r="1492">
      <c r="A1492" t="inlineStr">
        <is>
          <t>/Lotus/Types/Items/ShipDecos/Tennocon2020Display</t>
        </is>
      </c>
      <c r="B1492" t="inlineStr">
        <is>
          <t>Display - TennoCon 2020</t>
        </is>
      </c>
      <c r="D1492" t="inlineStr">
        <is>
          <t>ExportResources</t>
        </is>
      </c>
      <c r="F1492" t="inlineStr">
        <is>
          <t>Display - TennoCon 2020</t>
        </is>
      </c>
      <c r="H1492" t="inlineStr">
        <is>
          <t>Solved: place filled from the wiki and archived 2026-10-16.</t>
        </is>
      </c>
      <c r="I1492" t="inlineStr">
        <is>
          <t>Resources</t>
        </is>
      </c>
      <c r="M1492" t="inlineStr">
        <is>
          <t>Part of the TennoCon 2020 Digital Pack.</t>
        </is>
      </c>
      <c r="N1492" t="inlineStr">
        <is>
          <t>Decorations/Orbiter Decorations</t>
        </is>
      </c>
      <c r="O1492" t="inlineStr">
        <is>
          <t>Saved a concrete acquisition place from the official Warframe Wiki (Decorations/Orbiter Decorations page).</t>
        </is>
      </c>
    </row>
    <row r="1493">
      <c r="A1493" t="inlineStr">
        <is>
          <t>/Lotus/Types/Items/ShipDecos/TennoCon2022OrokinPortrait</t>
        </is>
      </c>
      <c r="B1493" t="inlineStr">
        <is>
          <t>Display - TennoCon 2022 Duviri</t>
        </is>
      </c>
      <c r="D1493" t="inlineStr">
        <is>
          <t>ExportResources</t>
        </is>
      </c>
      <c r="F1493" t="inlineStr">
        <is>
          <t>Display - TennoCon 2022 Duviri</t>
        </is>
      </c>
      <c r="H1493" t="inlineStr">
        <is>
          <t>Solved: place filled from the wiki and archived 2026-10-16.</t>
        </is>
      </c>
      <c r="I1493" t="inlineStr">
        <is>
          <t>Resources</t>
        </is>
      </c>
      <c r="M1493" t="inlineStr">
        <is>
          <t>Part of the TennoCon 2022 Digital Pack.</t>
        </is>
      </c>
      <c r="N1493" t="inlineStr">
        <is>
          <t>Decorations/Orbiter Decorations</t>
        </is>
      </c>
      <c r="O1493" t="inlineStr">
        <is>
          <t>Saved a concrete acquisition place from the official Warframe Wiki (Decorations/Orbiter Decorations page).</t>
        </is>
      </c>
    </row>
    <row r="1494">
      <c r="A1494" t="inlineStr">
        <is>
          <t>/Lotus/Types/Items/ShipDecos/Tennocon2023Display</t>
        </is>
      </c>
      <c r="B1494" t="inlineStr">
        <is>
          <t>Display - TennoCon 2023</t>
        </is>
      </c>
      <c r="D1494" t="inlineStr">
        <is>
          <t>ExportResources</t>
        </is>
      </c>
      <c r="F1494" t="inlineStr">
        <is>
          <t>Display - TennoCon 2023</t>
        </is>
      </c>
      <c r="H1494" t="inlineStr">
        <is>
          <t>Solved: place filled from the wiki and archived 2026-10-16.</t>
        </is>
      </c>
      <c r="I1494" t="inlineStr">
        <is>
          <t>Resources</t>
        </is>
      </c>
      <c r="M1494" t="inlineStr">
        <is>
          <t>Part of the TennoCon 2023 Digital Pack.</t>
        </is>
      </c>
      <c r="N1494" t="inlineStr">
        <is>
          <t>Decorations/Orbiter Decorations</t>
        </is>
      </c>
      <c r="O1494" t="inlineStr">
        <is>
          <t>Saved a concrete acquisition place from the official Warframe Wiki (Decorations/Orbiter Decorations page).</t>
        </is>
      </c>
    </row>
    <row r="1495">
      <c r="A1495" t="inlineStr">
        <is>
          <t>/Lotus/Types/Items/ShipDecos/Tennocon2024Display</t>
        </is>
      </c>
      <c r="B1495" t="inlineStr">
        <is>
          <t>Display - TennoCon 2024</t>
        </is>
      </c>
      <c r="D1495" t="inlineStr">
        <is>
          <t>ExportResources</t>
        </is>
      </c>
      <c r="F1495" t="inlineStr">
        <is>
          <t>Display - TennoCon 2024</t>
        </is>
      </c>
      <c r="H1495" t="inlineStr">
        <is>
          <t>Solved: place filled from the wiki and archived 2026-10-16.</t>
        </is>
      </c>
      <c r="I1495" t="inlineStr">
        <is>
          <t>Resources</t>
        </is>
      </c>
      <c r="M1495" t="inlineStr">
        <is>
          <t>Part of the TennoCon 2024 Digital Pack.</t>
        </is>
      </c>
      <c r="N1495" t="inlineStr">
        <is>
          <t>Decorations/Orbiter Decorations</t>
        </is>
      </c>
      <c r="O1495" t="inlineStr">
        <is>
          <t>Saved a concrete acquisition place from the official Warframe Wiki (Decorations/Orbiter Decorations page).</t>
        </is>
      </c>
    </row>
    <row r="1496">
      <c r="A1496" t="inlineStr">
        <is>
          <t>/Lotus/Types/Items/ShipDecos/Tennocon2025Display</t>
        </is>
      </c>
      <c r="B1496" t="inlineStr">
        <is>
          <t>Display - TennoCon 2025</t>
        </is>
      </c>
      <c r="C1496" t="inlineStr">
        <is>
          <t>https://wiki.warframe.com/w/Decorations/Orbiter_Decorations</t>
        </is>
      </c>
      <c r="D1496" t="inlineStr">
        <is>
          <t>ExportResources</t>
        </is>
      </c>
      <c r="F1496" t="inlineStr">
        <is>
          <t>Display - TennoCon 2025</t>
        </is>
      </c>
      <c r="H1496" t="inlineStr">
        <is>
          <t>Solved: place filled from the wiki and archived 2026-10-16.</t>
        </is>
      </c>
      <c r="I1496" t="inlineStr">
        <is>
          <t>Resources</t>
        </is>
      </c>
      <c r="M1496" t="inlineStr">
        <is>
          <t>Part of the TennoCon 2025 Digital Pack.</t>
        </is>
      </c>
      <c r="N1496" t="inlineStr">
        <is>
          <t>Decorations/Orbiter Decorations</t>
        </is>
      </c>
      <c r="O1496" t="inlineStr">
        <is>
          <t>Saved a concrete acquisition place from the official Warframe Wiki (Decorations/Orbiter Decorations page).</t>
        </is>
      </c>
    </row>
    <row r="1497">
      <c r="A1497" t="inlineStr">
        <is>
          <t>/Lotus/Types/Items/ShipDecos/Tennocon2020SimarisDisplay</t>
        </is>
      </c>
      <c r="B1497" t="inlineStr">
        <is>
          <t>Display - Tennotrivia 2020</t>
        </is>
      </c>
      <c r="D1497" t="inlineStr">
        <is>
          <t>ExportResources</t>
        </is>
      </c>
      <c r="F1497" t="inlineStr">
        <is>
          <t>Display - Tennotrivia 2020</t>
        </is>
      </c>
      <c r="H1497" t="inlineStr">
        <is>
          <t>Solved: place filled from the wiki and archived 2026-10-16.</t>
        </is>
      </c>
      <c r="I1497" t="inlineStr">
        <is>
          <t>Resources</t>
        </is>
      </c>
      <c r="M1497" t="inlineStr">
        <is>
          <t>Awarded to participants of TennoTrivia 2020.</t>
        </is>
      </c>
      <c r="N1497" t="inlineStr">
        <is>
          <t>Decorations/Orbiter Decorations</t>
        </is>
      </c>
      <c r="O1497" t="inlineStr">
        <is>
          <t>Saved a concrete acquisition place from the official Warframe Wiki (Decorations/Orbiter Decorations page).</t>
        </is>
      </c>
    </row>
    <row r="1498">
      <c r="A1498" t="inlineStr">
        <is>
          <t>/Lotus/Types/Items/ShipDecos/Props/ShadowgrapherEaselShipDeco</t>
        </is>
      </c>
      <c r="B1498" t="inlineStr">
        <is>
          <t>Follie's Shadowgraph</t>
        </is>
      </c>
      <c r="C1498" t="inlineStr">
        <is>
          <t>https://wiki.warframe.com/w/Operation:_Atramentum/Quotes | https://wiki.warframe.com/w/Follie's_Hunt/Quotes | https://wiki.warframe.com/w/Aspirant_Zorba/Quotes | https://wiki.warframe.com/w/Update_42:_The_Shadowgrapher</t>
        </is>
      </c>
      <c r="D1498" t="inlineStr">
        <is>
          <t>ExportResources</t>
        </is>
      </c>
      <c r="F1498" t="inlineStr">
        <is>
          <t>Follie's Shadowgraph</t>
        </is>
      </c>
      <c r="H1498" t="inlineStr">
        <is>
          <t>Solved: place filled from the wiki and archived 2026-10-16.</t>
        </is>
      </c>
      <c r="I1498" t="inlineStr">
        <is>
          <t>Resources</t>
        </is>
      </c>
      <c r="L1498" t="inlineStr">
        <is>
          <t>Cosmetics_data, Cosmetics_data_ephemera, ExportCustoms_ground_truth</t>
        </is>
      </c>
      <c r="M1498" t="inlineStr">
        <is>
          <t>Delivered after the conclusion of Operation: Atramentum.</t>
        </is>
      </c>
      <c r="N1498" t="inlineStr">
        <is>
          <t>Decorations/Orbiter Decorations</t>
        </is>
      </c>
      <c r="O1498" t="inlineStr">
        <is>
          <t>Saved a concrete acquisition place from the official Warframe Wiki (Decorations/Orbiter Decorations page).</t>
        </is>
      </c>
    </row>
    <row r="1499">
      <c r="A1499" t="inlineStr">
        <is>
          <t>/Lotus/Types/Items/ShipDecos/JackONaughtBobbleHead</t>
        </is>
      </c>
      <c r="B1499" t="inlineStr">
        <is>
          <t>Jack O'Naut Statue</t>
        </is>
      </c>
      <c r="D1499" t="inlineStr">
        <is>
          <t>ExportResources</t>
        </is>
      </c>
      <c r="F1499" t="inlineStr">
        <is>
          <t>Jack O'Naut Statue</t>
        </is>
      </c>
      <c r="H1499" t="inlineStr">
        <is>
          <t>Solved: place filled from the wiki and archived 2026-10-16.</t>
        </is>
      </c>
      <c r="I1499" t="inlineStr">
        <is>
          <t>Resources</t>
        </is>
      </c>
      <c r="J1499" t="inlineStr">
        <is>
          <t>Sold by Nights of Naberus (25 Mother Token)</t>
        </is>
      </c>
      <c r="K1499" t="inlineStr">
        <is>
          <t>Vendors/data</t>
        </is>
      </c>
      <c r="L1499" t="inlineStr">
        <is>
          <t>case</t>
        </is>
      </c>
      <c r="M1499" t="inlineStr">
        <is>
          <t>Purchase from Daughter for 25 Mother Tokens during Nights of Naberus.</t>
        </is>
      </c>
      <c r="N1499" t="inlineStr">
        <is>
          <t>Decorations/Orbiter Decorations</t>
        </is>
      </c>
      <c r="O1499" t="inlineStr">
        <is>
          <t>Saved a concrete acquisition place from the official Warframe Wiki (Decorations/Orbiter Decorations page).</t>
        </is>
      </c>
    </row>
    <row r="1500" ht="28.5" customHeight="1">
      <c r="A1500" t="inlineStr">
        <is>
          <t>/Lotus/Upgrades/Skins/Sentient/CalibanPrimeHelmet</t>
        </is>
      </c>
      <c r="B1500" t="inlineStr">
        <is>
          <t>Caliban Prime Helmet</t>
        </is>
      </c>
      <c r="D1500" t="inlineStr">
        <is>
          <t>ExportCustoms</t>
        </is>
      </c>
      <c r="F1500" t="inlineStr">
        <is>
          <t>Caliban Prime Helmet</t>
        </is>
      </c>
      <c r="H1500" t="inlineStr">
        <is>
          <t>Has a game name, but we never matched it to a wiki page.</t>
        </is>
      </c>
      <c r="I1500" t="inlineStr">
        <is>
          <t>Customs</t>
        </is>
      </c>
      <c r="J1500" t="inlineStr">
        <is>
          <t>Cosmetics_data, Cosmetics_userdata, ExportCustoms_ground_truth</t>
        </is>
      </c>
      <c r="K1500" t="inlineStr">
        <is>
          <t>name or path</t>
        </is>
      </c>
      <c r="M1500" t="inlineStr">
        <is>
          <t>Included with Caliban Prime; acquire Caliban Prime from Void Relics.</t>
        </is>
      </c>
      <c r="O1500" t="inlineStr">
        <is>
          <t>No wiki page uses this exact name.</t>
        </is>
      </c>
    </row>
    <row r="1501" ht="28.5" customHeight="1">
      <c r="A1501" t="inlineStr">
        <is>
          <t>/Lotus/Upgrades/Skins/Gyre/GyrePrimeHelmet</t>
        </is>
      </c>
      <c r="B1501" t="inlineStr">
        <is>
          <t>Gyre Prime Helmet</t>
        </is>
      </c>
      <c r="D1501" t="inlineStr">
        <is>
          <t>ExportCustoms</t>
        </is>
      </c>
      <c r="F1501" t="inlineStr">
        <is>
          <t>Gyre Prime Helmet</t>
        </is>
      </c>
      <c r="H1501" t="inlineStr">
        <is>
          <t>Has a game name, but we never matched it to a wiki page.</t>
        </is>
      </c>
      <c r="I1501" t="inlineStr">
        <is>
          <t>Customs</t>
        </is>
      </c>
      <c r="J1501" t="inlineStr">
        <is>
          <t>Cosmetics_data, Cosmetics_userdata, ExportCustoms_ground_truth</t>
        </is>
      </c>
      <c r="K1501" t="inlineStr">
        <is>
          <t>name or path</t>
        </is>
      </c>
      <c r="M1501" t="inlineStr">
        <is>
          <t>Included with Gyre Prime; acquire Gyre Prime from Void Relics.</t>
        </is>
      </c>
      <c r="O1501" t="inlineStr">
        <is>
          <t>No wiki page uses this exact name.</t>
        </is>
      </c>
    </row>
    <row r="1502" ht="25.5" customHeight="1">
      <c r="A1502" t="inlineStr">
        <is>
          <t>/Lotus/Upgrades/Skins/Scarves/BaroCape2RazzaExilisScarf</t>
        </is>
      </c>
      <c r="B1502" t="inlineStr">
        <is>
          <t>Ki'Teer Razza Elixis Syandana</t>
        </is>
      </c>
      <c r="D1502" t="inlineStr">
        <is>
          <t>ExportCustoms</t>
        </is>
      </c>
      <c r="F1502" t="inlineStr">
        <is>
          <t>Ki'Teer Razza Elixis Syandana</t>
        </is>
      </c>
      <c r="H1502" t="inlineStr">
        <is>
          <t>Has a game name, but we never matched it to a wiki page.</t>
        </is>
      </c>
      <c r="I1502" t="inlineStr">
        <is>
          <t>Customs</t>
        </is>
      </c>
      <c r="J1502" t="inlineStr">
        <is>
          <t>ExportCustoms_ground_truth</t>
        </is>
      </c>
      <c r="K1502" t="inlineStr">
        <is>
          <t>name or path</t>
        </is>
      </c>
      <c r="M1502" t="inlineStr">
        <is>
          <t>Baro Ki'Teer for 350,000 Credits and 400 Ducats.</t>
        </is>
      </c>
      <c r="O1502" t="inlineStr">
        <is>
          <t>No wiki page uses this exact name.</t>
        </is>
      </c>
    </row>
    <row r="1503">
      <c r="A1503" t="inlineStr">
        <is>
          <t>/Lotus/Upgrades/Skins/Cowgirl/MesaHeirloomHelmet</t>
        </is>
      </c>
      <c r="B1503" t="inlineStr">
        <is>
          <t>Mesa Heirloom Helmet</t>
        </is>
      </c>
      <c r="D1503" t="inlineStr">
        <is>
          <t>ExportCustoms</t>
        </is>
      </c>
      <c r="F1503" t="inlineStr">
        <is>
          <t>Mesa Heirloom Helmet</t>
        </is>
      </c>
      <c r="H1503" t="inlineStr">
        <is>
          <t>Has a game name, but we never matched it to a wiki page.</t>
        </is>
      </c>
      <c r="I1503" t="inlineStr">
        <is>
          <t>Customs</t>
        </is>
      </c>
      <c r="J1503" t="inlineStr">
        <is>
          <t>ExportCustoms_ground_truth</t>
        </is>
      </c>
      <c r="K1503" t="inlineStr">
        <is>
          <t>name or path</t>
        </is>
      </c>
      <c r="M1503" t="inlineStr">
        <is>
          <t>Market for 225 Platinum as part of the Mesa Heirloom Skin.</t>
        </is>
      </c>
      <c r="O1503" t="inlineStr">
        <is>
          <t>No wiki page uses this exact name.</t>
        </is>
      </c>
    </row>
    <row r="1504">
      <c r="A1504" t="inlineStr">
        <is>
          <t>/Lotus/Upgrades/Skins/Nokko/NokkoHelmet</t>
        </is>
      </c>
      <c r="B1504" t="inlineStr">
        <is>
          <t>Nokko Helmet</t>
        </is>
      </c>
      <c r="D1504" t="inlineStr">
        <is>
          <t>ExportCustoms</t>
        </is>
      </c>
      <c r="F1504" t="inlineStr">
        <is>
          <t>Nokko Helmet</t>
        </is>
      </c>
      <c r="H1504" t="inlineStr">
        <is>
          <t>Has a game name, but we never matched it to a wiki page.</t>
        </is>
      </c>
      <c r="I1504" t="inlineStr">
        <is>
          <t>Customs</t>
        </is>
      </c>
      <c r="J1504" t="inlineStr">
        <is>
          <t>Cosmetics_data, Cosmetics_userdata, ExportCustoms_ground_truth</t>
        </is>
      </c>
      <c r="K1504" t="inlineStr">
        <is>
          <t>name or path</t>
        </is>
      </c>
      <c r="M1504" t="inlineStr">
        <is>
          <t>Included with Nokko; acquire Nokko from Deepmines Bounties or Nightcap.</t>
        </is>
      </c>
      <c r="O1504" t="inlineStr">
        <is>
          <t>No wiki page uses this exact name.</t>
        </is>
      </c>
    </row>
    <row r="1505">
      <c r="A1505" t="inlineStr">
        <is>
          <t>/Lotus/Upgrades/Skins/Oraxia/OraxiaHelmet</t>
        </is>
      </c>
      <c r="B1505" t="inlineStr">
        <is>
          <t>Oraxia Helmet</t>
        </is>
      </c>
      <c r="D1505" t="inlineStr">
        <is>
          <t>ExportCustoms</t>
        </is>
      </c>
      <c r="F1505" t="inlineStr">
        <is>
          <t>Oraxia Helmet</t>
        </is>
      </c>
      <c r="H1505" t="inlineStr">
        <is>
          <t>Has a game name, but we never matched it to a wiki page.</t>
        </is>
      </c>
      <c r="I1505" t="inlineStr">
        <is>
          <t>Customs</t>
        </is>
      </c>
      <c r="J1505" t="inlineStr">
        <is>
          <t>Cosmetics_data, Cosmetics_userdata, ExportCustoms_ground_truth</t>
        </is>
      </c>
      <c r="K1505" t="inlineStr">
        <is>
          <t>name or path</t>
        </is>
      </c>
      <c r="M1505" t="inlineStr">
        <is>
          <t>Included with Oraxia; acquire Oraxia from Isleweaver or Acrithis.</t>
        </is>
      </c>
      <c r="O1505" t="inlineStr">
        <is>
          <t>No wiki page uses this exact name.</t>
        </is>
      </c>
    </row>
    <row r="1506">
      <c r="A1506" t="inlineStr">
        <is>
          <t>/Lotus/Upgrades/Skins/Temple/TempleHelmet</t>
        </is>
      </c>
      <c r="B1506" t="inlineStr">
        <is>
          <t>Temple Helmet</t>
        </is>
      </c>
      <c r="D1506" t="inlineStr">
        <is>
          <t>ExportCustoms</t>
        </is>
      </c>
      <c r="F1506" t="inlineStr">
        <is>
          <t>Temple Helmet</t>
        </is>
      </c>
      <c r="H1506" t="inlineStr">
        <is>
          <t>Has a game name, but we never matched it to a wiki page.</t>
        </is>
      </c>
      <c r="I1506" t="inlineStr">
        <is>
          <t>Customs</t>
        </is>
      </c>
      <c r="J1506" t="inlineStr">
        <is>
          <t>Cosmetics_data, Cosmetics_userdata, ExportCustoms_ground_truth</t>
        </is>
      </c>
      <c r="K1506" t="inlineStr">
        <is>
          <t>name or path</t>
        </is>
      </c>
      <c r="M1506" t="inlineStr">
        <is>
          <t>Included with Temple; acquire Temple from Stage Defense or Flare.</t>
        </is>
      </c>
      <c r="O1506" t="inlineStr">
        <is>
          <t>No wiki page uses this exact name.</t>
        </is>
      </c>
    </row>
    <row r="1507">
      <c r="A1507" t="inlineStr">
        <is>
          <t>/Lotus/Upgrades/Skins/Werewolf/VorunaPrimeHelmet</t>
        </is>
      </c>
      <c r="B1507" t="inlineStr">
        <is>
          <t>Voruna Prime Helmet</t>
        </is>
      </c>
      <c r="C1507" t="inlineStr">
        <is>
          <t>https://wiki.warframe.com/w/Voruna/Prime</t>
        </is>
      </c>
      <c r="D1507" t="inlineStr">
        <is>
          <t>ExportCustoms</t>
        </is>
      </c>
      <c r="F1507" t="inlineStr">
        <is>
          <t>Voruna Prime Helmet</t>
        </is>
      </c>
      <c r="H1507" t="inlineStr">
        <is>
          <t>Has a game name, but we never matched it to a wiki page.</t>
        </is>
      </c>
      <c r="I1507" t="inlineStr">
        <is>
          <t>Customs</t>
        </is>
      </c>
      <c r="J1507" t="inlineStr">
        <is>
          <t>Cosmetics_data, Cosmetics_userdata, ExportCustoms_ground_truth</t>
        </is>
      </c>
      <c r="K1507" t="inlineStr">
        <is>
          <t>name or path</t>
        </is>
      </c>
      <c r="M1507" t="inlineStr">
        <is>
          <t>Included with Voruna Prime; acquire Voruna Prime from Void Relics.</t>
        </is>
      </c>
      <c r="N1507" t="inlineStr">
        <is>
          <t>Voruna/Prime</t>
        </is>
      </c>
      <c r="O1507" t="inlineStr">
        <is>
          <t>There is a wiki page that mentions this name, but that page never says where you get the item.</t>
        </is>
      </c>
    </row>
    <row r="1508">
      <c r="A1508" t="inlineStr">
        <is>
          <t>/Lotus/Upgrades/Skins/Yareli/YareliPrimeHelmet</t>
        </is>
      </c>
      <c r="B1508" t="inlineStr">
        <is>
          <t>Yareli Prime Helmet</t>
        </is>
      </c>
      <c r="D1508" t="inlineStr">
        <is>
          <t>ExportCustoms</t>
        </is>
      </c>
      <c r="F1508" t="inlineStr">
        <is>
          <t>Yareli Prime Helmet</t>
        </is>
      </c>
      <c r="H1508" t="inlineStr">
        <is>
          <t>Has a game name, but we never matched it to a wiki page.</t>
        </is>
      </c>
      <c r="I1508" t="inlineStr">
        <is>
          <t>Customs</t>
        </is>
      </c>
      <c r="J1508" t="inlineStr">
        <is>
          <t>Cosmetics_data, Cosmetics_userdata, ExportCustoms_ground_truth</t>
        </is>
      </c>
      <c r="K1508" t="inlineStr">
        <is>
          <t>name or path</t>
        </is>
      </c>
      <c r="M1508" t="inlineStr">
        <is>
          <t>Included with Yareli Prime; acquire Yareli Prime from Void Relics.</t>
        </is>
      </c>
      <c r="O1508" t="inlineStr">
        <is>
          <t>No wiki page uses this exact name.</t>
        </is>
      </c>
    </row>
    <row r="1509">
      <c r="A1509" t="inlineStr">
        <is>
          <t>/Lotus/Types/Gameplay/1999Wf/Gifts/VideoCassette</t>
        </is>
      </c>
      <c r="B1509" t="inlineStr">
        <is>
          <t>"Circle of Comrades" Series on VHS</t>
        </is>
      </c>
      <c r="C1509" t="inlineStr">
        <is>
          <t>https://wiki.warframe.com/w/Kinemantik_Instant_Messenger</t>
        </is>
      </c>
      <c r="D1509" t="inlineStr">
        <is>
          <t>ExportResources</t>
        </is>
      </c>
      <c r="F1509" t="inlineStr">
        <is>
          <t>"Circle of Comrades" Series on VHS</t>
        </is>
      </c>
      <c r="H1509" t="inlineStr">
        <is>
          <t>Has a game name, but we never matched it to a wiki page.</t>
        </is>
      </c>
      <c r="I1509" t="inlineStr">
        <is>
          <t>Resources</t>
        </is>
      </c>
      <c r="M1509" t="inlineStr">
        <is>
          <t>DIRECTGIFTZ Shop for 12,000 Höllars.</t>
        </is>
      </c>
      <c r="N1509" t="inlineStr">
        <is>
          <t>Kinemantik Instant Messenger</t>
        </is>
      </c>
      <c r="O1509" t="inlineStr">
        <is>
          <t>There is a wiki page that mentions this name, but that page never says where you get the item.</t>
        </is>
      </c>
    </row>
    <row r="1510">
      <c r="A1510" t="inlineStr">
        <is>
          <t>/Lotus/Types/Items/ShipDecos/Plushies/PlushySawgawUncommon</t>
        </is>
      </c>
      <c r="B1510" t="inlineStr">
        <is>
          <t>Alpine Monitor Sawgaw Floof</t>
        </is>
      </c>
      <c r="C1510" t="inlineStr">
        <is>
          <t>https://wiki.warframe.com/w/Solaris_United</t>
        </is>
      </c>
      <c r="D1510" t="inlineStr">
        <is>
          <t>ExportResources</t>
        </is>
      </c>
      <c r="F1510" t="inlineStr">
        <is>
          <t>Alpine Monitor Sawgaw Floof</t>
        </is>
      </c>
      <c r="H1510" t="inlineStr">
        <is>
          <t>Has a game name, but we never matched it to a wiki page.</t>
        </is>
      </c>
      <c r="I1510" t="inlineStr">
        <is>
          <t>Resources</t>
        </is>
      </c>
      <c r="M1510" t="inlineStr">
        <is>
          <t>The Business in Fortuna for Alpine Monitor Sawgaw Tags.</t>
        </is>
      </c>
      <c r="N1510" t="inlineStr">
        <is>
          <t>Solaris United</t>
        </is>
      </c>
      <c r="O1510" t="inlineStr">
        <is>
          <t>There is a wiki page that mentions this name, but that page never says where you get the item.</t>
        </is>
      </c>
    </row>
    <row r="1511">
      <c r="A1511" t="inlineStr">
        <is>
          <t>/Lotus/Types/Items/Solaris/AnimalTagSawgawUncommon</t>
        </is>
      </c>
      <c r="B1511" t="inlineStr">
        <is>
          <t>Alpine Monitor Sawgaw Tag</t>
        </is>
      </c>
      <c r="D1511" t="inlineStr">
        <is>
          <t>ExportResources</t>
        </is>
      </c>
      <c r="F1511" t="inlineStr">
        <is>
          <t>Alpine Monitor Sawgaw Tag</t>
        </is>
      </c>
      <c r="G1511" t="inlineStr">
        <is>
          <t>Alpine Monitor Sawgaw Tag</t>
        </is>
      </c>
      <c r="H1511" t="inlineStr">
        <is>
          <t>Has a game name, but we never matched it to a wiki page.</t>
        </is>
      </c>
      <c r="I1511" t="inlineStr">
        <is>
          <t>Resources</t>
        </is>
      </c>
      <c r="J1511" t="inlineStr">
        <is>
          <t>Resources_data</t>
        </is>
      </c>
      <c r="K1511" t="inlineStr">
        <is>
          <t>Resources/data</t>
        </is>
      </c>
      <c r="L1511" t="inlineStr">
        <is>
          <t>listed, no place</t>
        </is>
      </c>
      <c r="M1511" t="inlineStr">
        <is>
          <t>Capture a Alpine Monitor Sawgaw through Conservation in the Orb Vallis.</t>
        </is>
      </c>
      <c r="O1511" t="inlineStr">
        <is>
          <t>No wiki page uses this exact name.</t>
        </is>
      </c>
    </row>
    <row r="1512">
      <c r="A1512" t="inlineStr">
        <is>
          <t>/Lotus/Types/Items/Solaris/AnimalTagBolarolaUncommon</t>
        </is>
      </c>
      <c r="B1512" t="inlineStr">
        <is>
          <t>Black-Banded Bolarola Tag</t>
        </is>
      </c>
      <c r="C1512" t="inlineStr">
        <is>
          <t>https://wiki.warframe.com/w/Bolarola</t>
        </is>
      </c>
      <c r="D1512" t="inlineStr">
        <is>
          <t>ExportResources</t>
        </is>
      </c>
      <c r="F1512" t="inlineStr">
        <is>
          <t>Black-Banded Bolarola Tag</t>
        </is>
      </c>
      <c r="G1512" t="inlineStr">
        <is>
          <t>Black-Banded Bolarola Tag</t>
        </is>
      </c>
      <c r="H1512" t="inlineStr">
        <is>
          <t>Has a game name, but we never matched it to a wiki page.</t>
        </is>
      </c>
      <c r="I1512" t="inlineStr">
        <is>
          <t>Resources</t>
        </is>
      </c>
      <c r="J1512" t="inlineStr">
        <is>
          <t>Resources_data</t>
        </is>
      </c>
      <c r="K1512" t="inlineStr">
        <is>
          <t>Resources/data</t>
        </is>
      </c>
      <c r="L1512" t="inlineStr">
        <is>
          <t>listed, no place</t>
        </is>
      </c>
      <c r="M1512" t="inlineStr">
        <is>
          <t>Capture a Black-Banded Bolarola through Conservation in the Orb Vallis.</t>
        </is>
      </c>
      <c r="N1512" t="inlineStr">
        <is>
          <t>Bolarola</t>
        </is>
      </c>
      <c r="O1512" t="inlineStr">
        <is>
          <t>There is a wiki page that mentions this name, but that page never says where you get the item.</t>
        </is>
      </c>
    </row>
    <row r="1513">
      <c r="A1513" t="inlineStr">
        <is>
          <t>/Lotus/Types/Items/Solaris/AnimalTagKubrodonCommon</t>
        </is>
      </c>
      <c r="B1513" t="inlineStr">
        <is>
          <t>Brindle Kubrodon Tag</t>
        </is>
      </c>
      <c r="C1513" t="inlineStr">
        <is>
          <t>https://wiki.warframe.com/w/Kubrodon</t>
        </is>
      </c>
      <c r="D1513" t="inlineStr">
        <is>
          <t>ExportResources</t>
        </is>
      </c>
      <c r="F1513" t="inlineStr">
        <is>
          <t>Brindle Kubrodon Tag</t>
        </is>
      </c>
      <c r="G1513" t="inlineStr">
        <is>
          <t>Brindle Kubrodon Tag</t>
        </is>
      </c>
      <c r="H1513" t="inlineStr">
        <is>
          <t>Has a game name, but we never matched it to a wiki page.</t>
        </is>
      </c>
      <c r="I1513" t="inlineStr">
        <is>
          <t>Resources</t>
        </is>
      </c>
      <c r="J1513" t="inlineStr">
        <is>
          <t>Resources_data</t>
        </is>
      </c>
      <c r="K1513" t="inlineStr">
        <is>
          <t>Resources/data</t>
        </is>
      </c>
      <c r="L1513" t="inlineStr">
        <is>
          <t>listed, no place</t>
        </is>
      </c>
      <c r="M1513" t="inlineStr">
        <is>
          <t>Capture a Brindle Kubrodon through Conservation in the Orb Vallis.</t>
        </is>
      </c>
      <c r="N1513" t="inlineStr">
        <is>
          <t>Prosperous Retriever</t>
        </is>
      </c>
      <c r="O1513" t="inlineStr">
        <is>
          <t>There is a wiki page that mentions this name, but that page never says where you get the item.</t>
        </is>
      </c>
    </row>
    <row r="1514">
      <c r="A1514" t="inlineStr">
        <is>
          <t>/Lotus/Types/Items/ShipDecos/Plants/Nokko/LisetPropZARxBushA</t>
        </is>
      </c>
      <c r="B1514" t="inlineStr">
        <is>
          <t>Bush Cluster (Dense)</t>
        </is>
      </c>
      <c r="D1514" t="inlineStr">
        <is>
          <t>ExportResources</t>
        </is>
      </c>
      <c r="F1514" t="inlineStr">
        <is>
          <t>Bush Cluster (Dense)</t>
        </is>
      </c>
      <c r="H1514" t="inlineStr">
        <is>
          <t>Has a game name, but we never matched it to a wiki page.</t>
        </is>
      </c>
      <c r="I1514" t="inlineStr">
        <is>
          <t>Resources</t>
        </is>
      </c>
      <c r="M1514" t="inlineStr">
        <is>
          <t>Nightcap's Nursery for 10 Fergolyte.</t>
        </is>
      </c>
      <c r="O1514" t="inlineStr">
        <is>
          <t>No wiki page uses this exact name.</t>
        </is>
      </c>
    </row>
    <row r="1515">
      <c r="A1515" t="inlineStr">
        <is>
          <t>/Lotus/Types/Items/SongItems/CelestialClashSongItem</t>
        </is>
      </c>
      <c r="B1515" t="inlineStr">
        <is>
          <t>Celestial Clash</t>
        </is>
      </c>
      <c r="C1515" t="inlineStr">
        <is>
          <t>https://wiki.warframe.com/w/Celestial_Clash</t>
        </is>
      </c>
      <c r="D1515" t="inlineStr">
        <is>
          <t>ExportResources</t>
        </is>
      </c>
      <c r="F1515" t="inlineStr">
        <is>
          <t>Celestial Clash</t>
        </is>
      </c>
      <c r="G1515" t="inlineStr">
        <is>
          <t>Celestial Clash</t>
        </is>
      </c>
      <c r="H1515" t="inlineStr">
        <is>
          <t>We know the wiki page name, but we never saved the 'where to get it' text from that page.</t>
        </is>
      </c>
      <c r="I1515" t="inlineStr">
        <is>
          <t>Resources</t>
        </is>
      </c>
      <c r="J1515" t="inlineStr">
        <is>
          <t>Ability_data, Tooltips_data_Ability, Tooltips_data_Warframes, Warframes_data</t>
        </is>
      </c>
      <c r="K1515" t="inlineStr">
        <is>
          <t>name or path</t>
        </is>
      </c>
      <c r="M1515" t="inlineStr">
        <is>
          <t>Pontis Tower for 60 Crimson Talent.</t>
        </is>
      </c>
      <c r="N1515" t="inlineStr">
        <is>
          <t>Update 43: Jade Shadows: Constellations | Celestial Clash (Soundtrack)</t>
        </is>
      </c>
      <c r="O1515" t="inlineStr">
        <is>
          <t>The 'Celestial Clash (Soundtrack)' page has an empty Somachord location and only a commented acquisition stub; the plain 'Celestial Clash' title is the Sirius and Orion ability. No place was assigned.</t>
        </is>
      </c>
    </row>
    <row r="1516">
      <c r="A1516" t="inlineStr">
        <is>
          <t>/Lotus/Types/Items/Eidolon/AnimalTagMergooCommon</t>
        </is>
      </c>
      <c r="B1516" t="inlineStr">
        <is>
          <t>Coastal Mergoo Tag</t>
        </is>
      </c>
      <c r="C1516" t="inlineStr">
        <is>
          <t>https://wiki.warframe.com/w/Mergoo</t>
        </is>
      </c>
      <c r="D1516" t="inlineStr">
        <is>
          <t>ExportResources</t>
        </is>
      </c>
      <c r="F1516" t="inlineStr">
        <is>
          <t>Coastal Mergoo Tag</t>
        </is>
      </c>
      <c r="G1516" t="inlineStr">
        <is>
          <t>Coastal Mergoo Tag</t>
        </is>
      </c>
      <c r="H1516" t="inlineStr">
        <is>
          <t>Has a game name, but we never matched it to a wiki page.</t>
        </is>
      </c>
      <c r="I1516" t="inlineStr">
        <is>
          <t>Resources</t>
        </is>
      </c>
      <c r="J1516" t="inlineStr">
        <is>
          <t>Resources_data</t>
        </is>
      </c>
      <c r="K1516" t="inlineStr">
        <is>
          <t>Resources/data</t>
        </is>
      </c>
      <c r="L1516" t="inlineStr">
        <is>
          <t>listed, no place</t>
        </is>
      </c>
      <c r="M1516" t="inlineStr">
        <is>
          <t>Capture a Coastal Mergoo through Conservation in the Plains of Eidolon.</t>
        </is>
      </c>
      <c r="N1516" t="inlineStr">
        <is>
          <t>Loyal Retriever</t>
        </is>
      </c>
      <c r="O1516" t="inlineStr">
        <is>
          <t>There is a wiki page that mentions this name, but that page never says where you get the item.</t>
        </is>
      </c>
    </row>
    <row r="1517">
      <c r="A1517" t="inlineStr">
        <is>
          <t>/Lotus/Types/Items/ShipDecos/Plants/LisetPropDUVxGardeningPlantCGrown</t>
        </is>
      </c>
      <c r="B1517" t="inlineStr">
        <is>
          <t>Connla Sprout Decoration</t>
        </is>
      </c>
      <c r="D1517" t="inlineStr">
        <is>
          <t>ExportResources</t>
        </is>
      </c>
      <c r="F1517" t="inlineStr">
        <is>
          <t>Connla Sprout Decoration</t>
        </is>
      </c>
      <c r="H1517" t="inlineStr">
        <is>
          <t>Has a game name, but we never matched it to a wiki page.</t>
        </is>
      </c>
      <c r="I1517" t="inlineStr">
        <is>
          <t>Resources</t>
        </is>
      </c>
      <c r="M1517" t="inlineStr">
        <is>
          <t>Acrithis's rotating wares in Duviri or the Dormizone.</t>
        </is>
      </c>
      <c r="O1517" t="inlineStr">
        <is>
          <t>No wiki page uses this exact name.</t>
        </is>
      </c>
    </row>
    <row r="1518">
      <c r="A1518" t="inlineStr">
        <is>
          <t>/Lotus/Types/Items/Fish/Deimos/OrokinBootItem</t>
        </is>
      </c>
      <c r="B1518" t="inlineStr">
        <is>
          <t>Crewman’s Boot</t>
        </is>
      </c>
      <c r="D1518" t="inlineStr">
        <is>
          <t>ExportResources</t>
        </is>
      </c>
      <c r="F1518" t="inlineStr">
        <is>
          <t>Crewman’s Boot</t>
        </is>
      </c>
      <c r="H1518" t="inlineStr">
        <is>
          <t>Has a game name, but we never matched it to a wiki page.</t>
        </is>
      </c>
      <c r="I1518" t="inlineStr">
        <is>
          <t>Resources</t>
        </is>
      </c>
      <c r="M1518" t="inlineStr">
        <is>
          <t>Rare catch while fishing in the Orb Vallis.</t>
        </is>
      </c>
      <c r="O1518" t="inlineStr">
        <is>
          <t>No wiki page uses this exact name.</t>
        </is>
      </c>
    </row>
    <row r="1519">
      <c r="A1519" t="inlineStr">
        <is>
          <t>/Lotus/Types/Items/ShipDecos/Props/LisetPropDUVxLootCrateB</t>
        </is>
      </c>
      <c r="B1519" t="inlineStr">
        <is>
          <t>Curax Dole Decoration</t>
        </is>
      </c>
      <c r="D1519" t="inlineStr">
        <is>
          <t>ExportResources</t>
        </is>
      </c>
      <c r="F1519" t="inlineStr">
        <is>
          <t>Curax Dole Decoration</t>
        </is>
      </c>
      <c r="H1519" t="inlineStr">
        <is>
          <t>Has a game name, but we never matched it to a wiki page.</t>
        </is>
      </c>
      <c r="I1519" t="inlineStr">
        <is>
          <t>Resources</t>
        </is>
      </c>
      <c r="M1519" t="inlineStr">
        <is>
          <t>Acrithis's rotating wares in Duviri or the Dormizone.</t>
        </is>
      </c>
      <c r="O1519" t="inlineStr">
        <is>
          <t>No wiki page uses this exact name.</t>
        </is>
      </c>
    </row>
    <row r="1520">
      <c r="A1520" t="inlineStr">
        <is>
          <t>/Lotus/Types/Items/ShipDecos/TarotCardCyte</t>
        </is>
      </c>
      <c r="B1520" t="inlineStr">
        <is>
          <t>Cyte-09 Prex</t>
        </is>
      </c>
      <c r="D1520" t="inlineStr">
        <is>
          <t>ExportResources</t>
        </is>
      </c>
      <c r="F1520" t="inlineStr">
        <is>
          <t>Cyte-09 Prex</t>
        </is>
      </c>
      <c r="H1520" t="inlineStr">
        <is>
          <t>Has a game name, but we never matched it to a wiki page.</t>
        </is>
      </c>
      <c r="I1520" t="inlineStr">
        <is>
          <t>Resources</t>
        </is>
      </c>
      <c r="M1520" t="inlineStr">
        <is>
          <t>Hidden pickup in Höllvania Central Mall, in the tall planter opposite the Backroom escalators.</t>
        </is>
      </c>
      <c r="O1520" t="inlineStr">
        <is>
          <t>No wiki page uses this exact name.</t>
        </is>
      </c>
    </row>
    <row r="1521">
      <c r="A1521" t="inlineStr">
        <is>
          <t>/Lotus/Types/Items/Solaris/AnimalTagHorrasqueCommon</t>
        </is>
      </c>
      <c r="B1521" t="inlineStr">
        <is>
          <t>Dappled Horrasque Tag</t>
        </is>
      </c>
      <c r="C1521" t="inlineStr">
        <is>
          <t>https://wiki.warframe.com/w/Horrasque</t>
        </is>
      </c>
      <c r="D1521" t="inlineStr">
        <is>
          <t>ExportResources</t>
        </is>
      </c>
      <c r="F1521" t="inlineStr">
        <is>
          <t>Dappled Horrasque Tag</t>
        </is>
      </c>
      <c r="G1521" t="inlineStr">
        <is>
          <t>Dappled Horrasque Tag</t>
        </is>
      </c>
      <c r="H1521" t="inlineStr">
        <is>
          <t>Has a game name, but we never matched it to a wiki page.</t>
        </is>
      </c>
      <c r="I1521" t="inlineStr">
        <is>
          <t>Resources</t>
        </is>
      </c>
      <c r="J1521" t="inlineStr">
        <is>
          <t>Resources_data</t>
        </is>
      </c>
      <c r="K1521" t="inlineStr">
        <is>
          <t>Resources/data</t>
        </is>
      </c>
      <c r="L1521" t="inlineStr">
        <is>
          <t>listed, no place</t>
        </is>
      </c>
      <c r="M1521" t="inlineStr">
        <is>
          <t>Capture a Dappled Horrasque through Conservation in the Orb Vallis.</t>
        </is>
      </c>
      <c r="N1521" t="inlineStr">
        <is>
          <t>Prosperous Retriever</t>
        </is>
      </c>
      <c r="O1521" t="inlineStr">
        <is>
          <t>There is a wiki page that mentions this name, but that page never says where you get the item.</t>
        </is>
      </c>
    </row>
    <row r="1522">
      <c r="A1522" t="inlineStr">
        <is>
          <t>/Lotus/Types/Items/Solaris/AnimalTagPobbersUncommon</t>
        </is>
      </c>
      <c r="B1522" t="inlineStr">
        <is>
          <t>Delicate Pobber Tag</t>
        </is>
      </c>
      <c r="C1522" t="inlineStr">
        <is>
          <t>https://wiki.warframe.com/w/Pobber</t>
        </is>
      </c>
      <c r="D1522" t="inlineStr">
        <is>
          <t>ExportResources</t>
        </is>
      </c>
      <c r="F1522" t="inlineStr">
        <is>
          <t>Delicate Pobber Tag</t>
        </is>
      </c>
      <c r="G1522" t="inlineStr">
        <is>
          <t>Delicate Pobber Tag</t>
        </is>
      </c>
      <c r="H1522" t="inlineStr">
        <is>
          <t>Has a game name, but we never matched it to a wiki page.</t>
        </is>
      </c>
      <c r="I1522" t="inlineStr">
        <is>
          <t>Resources</t>
        </is>
      </c>
      <c r="J1522" t="inlineStr">
        <is>
          <t>Resources_data</t>
        </is>
      </c>
      <c r="K1522" t="inlineStr">
        <is>
          <t>Resources/data</t>
        </is>
      </c>
      <c r="L1522" t="inlineStr">
        <is>
          <t>listed, no place</t>
        </is>
      </c>
      <c r="M1522" t="inlineStr">
        <is>
          <t>Capture a Delicate Pobber through Conservation in the Orb Vallis.</t>
        </is>
      </c>
      <c r="N1522" t="inlineStr">
        <is>
          <t>Pobber</t>
        </is>
      </c>
      <c r="O1522" t="inlineStr">
        <is>
          <t>There is a wiki page that mentions this name, but that page never says where you get the item.</t>
        </is>
      </c>
    </row>
    <row r="1523">
      <c r="A1523" t="inlineStr">
        <is>
          <t>/Lotus/Types/Items/SongItems/DevourerSongItem</t>
        </is>
      </c>
      <c r="B1523" t="inlineStr">
        <is>
          <t>Devourer</t>
        </is>
      </c>
      <c r="C1523" t="inlineStr">
        <is>
          <t>https://wiki.warframe.com/w/Ghoul_Devourer | https://wiki.warframe.com/w/Tak_%26_Lug</t>
        </is>
      </c>
      <c r="D1523" t="inlineStr">
        <is>
          <t>ExportResources</t>
        </is>
      </c>
      <c r="F1523" t="inlineStr">
        <is>
          <t>Devourer</t>
        </is>
      </c>
      <c r="H1523" t="inlineStr">
        <is>
          <t>Has a game name, but we never matched it to a wiki page.</t>
        </is>
      </c>
      <c r="I1523" t="inlineStr">
        <is>
          <t>Resources</t>
        </is>
      </c>
      <c r="M1523" t="inlineStr">
        <is>
          <t>Praghasa during Epoch Operation: Taubound for 125 Moonflesh.</t>
        </is>
      </c>
      <c r="N1523" t="inlineStr">
        <is>
          <t>Ghoul Devourer/Quotes | Ghoul/Quotes | Ghoul Devourer | Tak &amp; Lug</t>
        </is>
      </c>
      <c r="O1523" t="inlineStr">
        <is>
          <t>There is a wiki page that mentions this name, but that page never says where you get the item.</t>
        </is>
      </c>
    </row>
    <row r="1524">
      <c r="A1524" t="inlineStr">
        <is>
          <t>/Lotus/Types/Items/ShipDecos/Plants/LisetPropDUVxGardeningPlantFGrown</t>
        </is>
      </c>
      <c r="B1524" t="inlineStr">
        <is>
          <t>Dracroot Decoration</t>
        </is>
      </c>
      <c r="D1524" t="inlineStr">
        <is>
          <t>ExportResources</t>
        </is>
      </c>
      <c r="F1524" t="inlineStr">
        <is>
          <t>Dracroot Decoration</t>
        </is>
      </c>
      <c r="H1524" t="inlineStr">
        <is>
          <t>Has a game name, but we never matched it to a wiki page.</t>
        </is>
      </c>
      <c r="I1524" t="inlineStr">
        <is>
          <t>Resources</t>
        </is>
      </c>
      <c r="M1524" t="inlineStr">
        <is>
          <t>Acrithis's rotating wares in Duviri or the Dormizone.</t>
        </is>
      </c>
      <c r="O1524" t="inlineStr">
        <is>
          <t>No wiki page uses this exact name.</t>
        </is>
      </c>
    </row>
    <row r="1525">
      <c r="A1525" t="inlineStr">
        <is>
          <t>/Lotus/Types/Items/Solaris/AnimalTagVirminkUncommon</t>
        </is>
      </c>
      <c r="B1525" t="inlineStr">
        <is>
          <t>Dusky-Headed Virmink Tag</t>
        </is>
      </c>
      <c r="D1525" t="inlineStr">
        <is>
          <t>ExportResources</t>
        </is>
      </c>
      <c r="F1525" t="inlineStr">
        <is>
          <t>Dusky-Headed Virmink Tag</t>
        </is>
      </c>
      <c r="G1525" t="inlineStr">
        <is>
          <t>Dusky-Headed Virmink Tag</t>
        </is>
      </c>
      <c r="H1525" t="inlineStr">
        <is>
          <t>Has a game name, but we never matched it to a wiki page.</t>
        </is>
      </c>
      <c r="I1525" t="inlineStr">
        <is>
          <t>Resources</t>
        </is>
      </c>
      <c r="J1525" t="inlineStr">
        <is>
          <t>Resources_data</t>
        </is>
      </c>
      <c r="K1525" t="inlineStr">
        <is>
          <t>Resources/data</t>
        </is>
      </c>
      <c r="L1525" t="inlineStr">
        <is>
          <t>listed, no place</t>
        </is>
      </c>
      <c r="M1525" t="inlineStr">
        <is>
          <t>Capture a Dusky-Headed Virmink through Conservation in the Orb Vallis.</t>
        </is>
      </c>
      <c r="O1525" t="inlineStr">
        <is>
          <t>No wiki page uses this exact name.</t>
        </is>
      </c>
    </row>
    <row r="1526">
      <c r="A1526" t="inlineStr">
        <is>
          <t>/Lotus/Types/Items/ShipDecos/Leverian/LisetPropMuralMezzik</t>
        </is>
      </c>
      <c r="B1526" t="inlineStr">
        <is>
          <t>Dynar’s Leverian Mural</t>
        </is>
      </c>
      <c r="D1526" t="inlineStr">
        <is>
          <t>ExportResources</t>
        </is>
      </c>
      <c r="F1526" t="inlineStr">
        <is>
          <t>Dynar’s Leverian Mural</t>
        </is>
      </c>
      <c r="H1526" t="inlineStr">
        <is>
          <t>Has a game name, but we never matched it to a wiki page.</t>
        </is>
      </c>
      <c r="I1526" t="inlineStr">
        <is>
          <t>Resources</t>
        </is>
      </c>
      <c r="M1526" t="inlineStr">
        <is>
          <t>Market for 35 Platinum.</t>
        </is>
      </c>
      <c r="O1526" t="inlineStr">
        <is>
          <t>No wiki page uses this exact name.</t>
        </is>
      </c>
    </row>
    <row r="1527">
      <c r="A1527" t="inlineStr">
        <is>
          <t>/Lotus/Types/Items/ShipDecos/Plants/LisetPropDUVxGardeningPlantBGrown</t>
        </is>
      </c>
      <c r="B1527" t="inlineStr">
        <is>
          <t>Eevani Decoration</t>
        </is>
      </c>
      <c r="D1527" t="inlineStr">
        <is>
          <t>ExportResources</t>
        </is>
      </c>
      <c r="F1527" t="inlineStr">
        <is>
          <t>Eevani Decoration</t>
        </is>
      </c>
      <c r="H1527" t="inlineStr">
        <is>
          <t>Has a game name, but we never matched it to a wiki page.</t>
        </is>
      </c>
      <c r="I1527" t="inlineStr">
        <is>
          <t>Resources</t>
        </is>
      </c>
      <c r="M1527" t="inlineStr">
        <is>
          <t>Acrithis's rotating wares in Duviri or the Dormizone.</t>
        </is>
      </c>
      <c r="O1527" t="inlineStr">
        <is>
          <t>No wiki page uses this exact name.</t>
        </is>
      </c>
    </row>
    <row r="1528">
      <c r="A1528" t="inlineStr">
        <is>
          <t>/Lotus/Types/Items/Eidolon/AnimalTagCondrocRare</t>
        </is>
      </c>
      <c r="B1528" t="inlineStr">
        <is>
          <t>Emperor Condroc Tag</t>
        </is>
      </c>
      <c r="C1528" t="inlineStr">
        <is>
          <t>https://wiki.warframe.com/w/Conservation#Condroc</t>
        </is>
      </c>
      <c r="D1528" t="inlineStr">
        <is>
          <t>ExportResources</t>
        </is>
      </c>
      <c r="F1528" t="inlineStr">
        <is>
          <t>Emperor Condroc Tag</t>
        </is>
      </c>
      <c r="G1528" t="inlineStr">
        <is>
          <t>Emperor Condroc Tag</t>
        </is>
      </c>
      <c r="H1528" t="inlineStr">
        <is>
          <t>Has a game name, but we never matched it to a wiki page.</t>
        </is>
      </c>
      <c r="I1528" t="inlineStr">
        <is>
          <t>Resources</t>
        </is>
      </c>
      <c r="J1528" t="inlineStr">
        <is>
          <t>Resources_data</t>
        </is>
      </c>
      <c r="K1528" t="inlineStr">
        <is>
          <t>Resources/data</t>
        </is>
      </c>
      <c r="L1528" t="inlineStr">
        <is>
          <t>listed, no place</t>
        </is>
      </c>
      <c r="M1528" t="inlineStr">
        <is>
          <t>Capture a Emperor Condroc through Conservation in the Plains of Eidolon.</t>
        </is>
      </c>
      <c r="N1528" t="inlineStr">
        <is>
          <t>Conservation</t>
        </is>
      </c>
      <c r="O1528" t="inlineStr">
        <is>
          <t>There is a wiki page that mentions this name, but that page never says where you get the item.</t>
        </is>
      </c>
    </row>
    <row r="1529">
      <c r="A1529" t="inlineStr">
        <is>
          <t>/Lotus/Types/Items/ShipDecos/Plants/Nokko/LisetPropLASxIntFoliageFicusB</t>
        </is>
      </c>
      <c r="B1529" t="inlineStr">
        <is>
          <t>Ficus Tree (Cluster)</t>
        </is>
      </c>
      <c r="D1529" t="inlineStr">
        <is>
          <t>ExportResources</t>
        </is>
      </c>
      <c r="F1529" t="inlineStr">
        <is>
          <t>Ficus Tree (Cluster)</t>
        </is>
      </c>
      <c r="H1529" t="inlineStr">
        <is>
          <t>Has a game name, but we never matched it to a wiki page.</t>
        </is>
      </c>
      <c r="I1529" t="inlineStr">
        <is>
          <t>Resources</t>
        </is>
      </c>
      <c r="M1529" t="inlineStr">
        <is>
          <t>Nightcap's Nursery for 10 Fergolyte.</t>
        </is>
      </c>
      <c r="O1529" t="inlineStr">
        <is>
          <t>No wiki page uses this exact name.</t>
        </is>
      </c>
    </row>
    <row r="1530">
      <c r="A1530" t="inlineStr">
        <is>
          <t>/Lotus/Types/Items/ShipDecos/Plants/Nokko/LisetPropLASxIntFoliageFicusA</t>
        </is>
      </c>
      <c r="B1530" t="inlineStr">
        <is>
          <t>Ficus Tree (Single)</t>
        </is>
      </c>
      <c r="D1530" t="inlineStr">
        <is>
          <t>ExportResources</t>
        </is>
      </c>
      <c r="F1530" t="inlineStr">
        <is>
          <t>Ficus Tree (Single)</t>
        </is>
      </c>
      <c r="H1530" t="inlineStr">
        <is>
          <t>Has a game name, but we never matched it to a wiki page.</t>
        </is>
      </c>
      <c r="I1530" t="inlineStr">
        <is>
          <t>Resources</t>
        </is>
      </c>
      <c r="M1530" t="inlineStr">
        <is>
          <t>Nightcap's Nursery for 10 Fergolyte.</t>
        </is>
      </c>
      <c r="O1530" t="inlineStr">
        <is>
          <t>No wiki page uses this exact name.</t>
        </is>
      </c>
    </row>
    <row r="1531">
      <c r="A1531" t="inlineStr">
        <is>
          <t>/Lotus/Types/Gameplay/1999Wf/Gifts/CoffeeCup</t>
        </is>
      </c>
      <c r="B1531" t="inlineStr">
        <is>
          <t>File-A-Style&lt;RETRO_TM&gt; Coffee Cups</t>
        </is>
      </c>
      <c r="D1531" t="inlineStr">
        <is>
          <t>ExportResources</t>
        </is>
      </c>
      <c r="F1531" t="inlineStr">
        <is>
          <t>File-A-Style&lt;RETRO_TM&gt; Coffee Cups</t>
        </is>
      </c>
      <c r="H1531" t="inlineStr">
        <is>
          <t>Has a game name, but we never matched it to a wiki page.</t>
        </is>
      </c>
      <c r="I1531" t="inlineStr">
        <is>
          <t>Resources</t>
        </is>
      </c>
      <c r="M1531" t="inlineStr">
        <is>
          <t>DIRECTGIFTZ Shop for 4,000 Höllars.</t>
        </is>
      </c>
      <c r="O1531" t="inlineStr">
        <is>
          <t>No wiki page uses this exact name.</t>
        </is>
      </c>
    </row>
    <row r="1532">
      <c r="A1532" t="inlineStr">
        <is>
          <t>/Lotus/Types/Gameplay/1999Wf/Gifts/EntratiPoster</t>
        </is>
      </c>
      <c r="B1532" t="inlineStr">
        <is>
          <t>File-A-Style&lt;RETRO_TM&gt; Insta-Print Poster</t>
        </is>
      </c>
      <c r="D1532" t="inlineStr">
        <is>
          <t>ExportResources</t>
        </is>
      </c>
      <c r="F1532" t="inlineStr">
        <is>
          <t>File-A-Style&lt;RETRO_TM&gt; Insta-Print Poster</t>
        </is>
      </c>
      <c r="H1532" t="inlineStr">
        <is>
          <t>Has a game name, but we never matched it to a wiki page.</t>
        </is>
      </c>
      <c r="I1532" t="inlineStr">
        <is>
          <t>Resources</t>
        </is>
      </c>
      <c r="M1532" t="inlineStr">
        <is>
          <t>DIRECTGIFTZ Shop for 2,500 Höllars.</t>
        </is>
      </c>
      <c r="O1532" t="inlineStr">
        <is>
          <t>No wiki page uses this exact name.</t>
        </is>
      </c>
    </row>
    <row r="1533">
      <c r="A1533" t="inlineStr">
        <is>
          <t>/Lotus/Types/Gameplay/1999Wf/Gifts/Binder</t>
        </is>
      </c>
      <c r="B1533" t="inlineStr">
        <is>
          <t>File-a-Style&lt;RETRO_TM&gt; Binder</t>
        </is>
      </c>
      <c r="D1533" t="inlineStr">
        <is>
          <t>ExportResources</t>
        </is>
      </c>
      <c r="F1533" t="inlineStr">
        <is>
          <t>File-a-Style&lt;RETRO_TM&gt; Binder</t>
        </is>
      </c>
      <c r="H1533" t="inlineStr">
        <is>
          <t>Has a game name, but we never matched it to a wiki page.</t>
        </is>
      </c>
      <c r="I1533" t="inlineStr">
        <is>
          <t>Resources</t>
        </is>
      </c>
      <c r="M1533" t="inlineStr">
        <is>
          <t>DIRECTGIFTZ Shop for 8,000 Höllars.</t>
        </is>
      </c>
      <c r="O1533" t="inlineStr">
        <is>
          <t>No wiki page uses this exact name.</t>
        </is>
      </c>
    </row>
    <row r="1534">
      <c r="A1534" t="inlineStr">
        <is>
          <t>/Lotus/Types/Gameplay/1999Wf/Gifts/Calculator</t>
        </is>
      </c>
      <c r="B1534" t="inlineStr">
        <is>
          <t>File-a-Style&lt;RETRO_TM&gt; Deluxe Calculator</t>
        </is>
      </c>
      <c r="D1534" t="inlineStr">
        <is>
          <t>ExportResources</t>
        </is>
      </c>
      <c r="F1534" t="inlineStr">
        <is>
          <t>File-a-Style&lt;RETRO_TM&gt; Deluxe Calculator</t>
        </is>
      </c>
      <c r="H1534" t="inlineStr">
        <is>
          <t>Has a game name, but we never matched it to a wiki page.</t>
        </is>
      </c>
      <c r="I1534" t="inlineStr">
        <is>
          <t>Resources</t>
        </is>
      </c>
      <c r="M1534" t="inlineStr">
        <is>
          <t>DIRECTGIFTZ Shop for 12,000 Höllars.</t>
        </is>
      </c>
      <c r="O1534" t="inlineStr">
        <is>
          <t>No wiki page uses this exact name.</t>
        </is>
      </c>
    </row>
    <row r="1535">
      <c r="A1535" t="inlineStr">
        <is>
          <t>/Lotus/Types/Gameplay/1999Wf/Gifts/Highlighters</t>
        </is>
      </c>
      <c r="B1535" t="inlineStr">
        <is>
          <t>File-a-Style&lt;RETRO_TM&gt; Highlighters</t>
        </is>
      </c>
      <c r="D1535" t="inlineStr">
        <is>
          <t>ExportResources</t>
        </is>
      </c>
      <c r="F1535" t="inlineStr">
        <is>
          <t>File-a-Style&lt;RETRO_TM&gt; Highlighters</t>
        </is>
      </c>
      <c r="H1535" t="inlineStr">
        <is>
          <t>Has a game name, but we never matched it to a wiki page.</t>
        </is>
      </c>
      <c r="I1535" t="inlineStr">
        <is>
          <t>Resources</t>
        </is>
      </c>
      <c r="M1535" t="inlineStr">
        <is>
          <t>DIRECTGIFTZ Shop for 8,000 Höllars.</t>
        </is>
      </c>
      <c r="O1535" t="inlineStr">
        <is>
          <t>No wiki page uses this exact name.</t>
        </is>
      </c>
    </row>
    <row r="1536">
      <c r="A1536" t="inlineStr">
        <is>
          <t>/Lotus/Types/Gameplay/1999Wf/Gifts/MousePad</t>
        </is>
      </c>
      <c r="B1536" t="inlineStr">
        <is>
          <t>File-a-Style&lt;RETRO_TM&gt; Mouse Pad</t>
        </is>
      </c>
      <c r="D1536" t="inlineStr">
        <is>
          <t>ExportResources</t>
        </is>
      </c>
      <c r="F1536" t="inlineStr">
        <is>
          <t>File-a-Style&lt;RETRO_TM&gt; Mouse Pad</t>
        </is>
      </c>
      <c r="H1536" t="inlineStr">
        <is>
          <t>Has a game name, but we never matched it to a wiki page.</t>
        </is>
      </c>
      <c r="I1536" t="inlineStr">
        <is>
          <t>Resources</t>
        </is>
      </c>
      <c r="M1536" t="inlineStr">
        <is>
          <t>DIRECTGIFTZ Shop for 8,000 Höllars.</t>
        </is>
      </c>
      <c r="O1536" t="inlineStr">
        <is>
          <t>No wiki page uses this exact name.</t>
        </is>
      </c>
    </row>
    <row r="1537">
      <c r="A1537" t="inlineStr">
        <is>
          <t>/Lotus/Types/Gameplay/1999Wf/Gifts/Notepad</t>
        </is>
      </c>
      <c r="B1537" t="inlineStr">
        <is>
          <t>File-a-Style&lt;RETRO_TM&gt; Notepad</t>
        </is>
      </c>
      <c r="D1537" t="inlineStr">
        <is>
          <t>ExportResources</t>
        </is>
      </c>
      <c r="F1537" t="inlineStr">
        <is>
          <t>File-a-Style&lt;RETRO_TM&gt; Notepad</t>
        </is>
      </c>
      <c r="H1537" t="inlineStr">
        <is>
          <t>Has a game name, but we never matched it to a wiki page.</t>
        </is>
      </c>
      <c r="I1537" t="inlineStr">
        <is>
          <t>Resources</t>
        </is>
      </c>
      <c r="M1537" t="inlineStr">
        <is>
          <t>DIRECTGIFTZ Shop for 9,000 Höllars.</t>
        </is>
      </c>
      <c r="O1537" t="inlineStr">
        <is>
          <t>No wiki page uses this exact name.</t>
        </is>
      </c>
    </row>
    <row r="1538">
      <c r="A1538" t="inlineStr">
        <is>
          <t>/Lotus/Types/Gameplay/1999Wf/Gifts/OfficePhone</t>
        </is>
      </c>
      <c r="B1538" t="inlineStr">
        <is>
          <t>File-a-Style&lt;RETRO_TM&gt; Office Phone</t>
        </is>
      </c>
      <c r="D1538" t="inlineStr">
        <is>
          <t>ExportResources</t>
        </is>
      </c>
      <c r="F1538" t="inlineStr">
        <is>
          <t>File-a-Style&lt;RETRO_TM&gt; Office Phone</t>
        </is>
      </c>
      <c r="H1538" t="inlineStr">
        <is>
          <t>Has a game name, but we never matched it to a wiki page.</t>
        </is>
      </c>
      <c r="I1538" t="inlineStr">
        <is>
          <t>Resources</t>
        </is>
      </c>
      <c r="M1538" t="inlineStr">
        <is>
          <t>DIRECTGIFTZ Shop for 12,000 Höllars.</t>
        </is>
      </c>
      <c r="O1538" t="inlineStr">
        <is>
          <t>No wiki page uses this exact name.</t>
        </is>
      </c>
    </row>
    <row r="1539">
      <c r="A1539" t="inlineStr">
        <is>
          <t>/Lotus/Types/Gameplay/1999Wf/Gifts/Pencil</t>
        </is>
      </c>
      <c r="B1539" t="inlineStr">
        <is>
          <t>File-a-Style&lt;RETRO_TM&gt; Pencils</t>
        </is>
      </c>
      <c r="D1539" t="inlineStr">
        <is>
          <t>ExportResources</t>
        </is>
      </c>
      <c r="F1539" t="inlineStr">
        <is>
          <t>File-a-Style&lt;RETRO_TM&gt; Pencils</t>
        </is>
      </c>
      <c r="H1539" t="inlineStr">
        <is>
          <t>Has a game name, but we never matched it to a wiki page.</t>
        </is>
      </c>
      <c r="I1539" t="inlineStr">
        <is>
          <t>Resources</t>
        </is>
      </c>
      <c r="M1539" t="inlineStr">
        <is>
          <t>DIRECTGIFTZ Shop for 5,000 Höllars.</t>
        </is>
      </c>
      <c r="O1539" t="inlineStr">
        <is>
          <t>No wiki page uses this exact name.</t>
        </is>
      </c>
    </row>
    <row r="1540">
      <c r="A1540" t="inlineStr">
        <is>
          <t>/Lotus/Types/Gameplay/1999Wf/Gifts/Pen</t>
        </is>
      </c>
      <c r="B1540" t="inlineStr">
        <is>
          <t>File-a-Style&lt;RETRO_TM&gt; Pens</t>
        </is>
      </c>
      <c r="D1540" t="inlineStr">
        <is>
          <t>ExportResources</t>
        </is>
      </c>
      <c r="F1540" t="inlineStr">
        <is>
          <t>File-a-Style&lt;RETRO_TM&gt; Pens</t>
        </is>
      </c>
      <c r="H1540" t="inlineStr">
        <is>
          <t>Has a game name, but we never matched it to a wiki page.</t>
        </is>
      </c>
      <c r="I1540" t="inlineStr">
        <is>
          <t>Resources</t>
        </is>
      </c>
      <c r="M1540" t="inlineStr">
        <is>
          <t>DIRECTGIFTZ Shop for 6,000 Höllars.</t>
        </is>
      </c>
      <c r="O1540" t="inlineStr">
        <is>
          <t>No wiki page uses this exact name.</t>
        </is>
      </c>
    </row>
    <row r="1541">
      <c r="A1541" t="inlineStr">
        <is>
          <t>/Lotus/Types/Gameplay/1999Wf/Gifts/StickyNotes</t>
        </is>
      </c>
      <c r="B1541" t="inlineStr">
        <is>
          <t>File-a-Style&lt;RETRO_TM&gt; Sticky Notes</t>
        </is>
      </c>
      <c r="D1541" t="inlineStr">
        <is>
          <t>ExportResources</t>
        </is>
      </c>
      <c r="F1541" t="inlineStr">
        <is>
          <t>File-a-Style&lt;RETRO_TM&gt; Sticky Notes</t>
        </is>
      </c>
      <c r="H1541" t="inlineStr">
        <is>
          <t>Has a game name, but we never matched it to a wiki page.</t>
        </is>
      </c>
      <c r="I1541" t="inlineStr">
        <is>
          <t>Resources</t>
        </is>
      </c>
      <c r="M1541" t="inlineStr">
        <is>
          <t>DIRECTGIFTZ Shop for 5,000 Höllars.</t>
        </is>
      </c>
      <c r="O1541" t="inlineStr">
        <is>
          <t>No wiki page uses this exact name.</t>
        </is>
      </c>
    </row>
    <row r="1542">
      <c r="A1542" t="inlineStr">
        <is>
          <t>/Lotus/Types/Items/Solaris/AnimalTagStoverRare</t>
        </is>
      </c>
      <c r="B1542" t="inlineStr">
        <is>
          <t>Fire-Veined Stover Tag</t>
        </is>
      </c>
      <c r="D1542" t="inlineStr">
        <is>
          <t>ExportResources</t>
        </is>
      </c>
      <c r="F1542" t="inlineStr">
        <is>
          <t>Fire-Veined Stover Tag</t>
        </is>
      </c>
      <c r="G1542" t="inlineStr">
        <is>
          <t>Fire-Veined Stover Tag</t>
        </is>
      </c>
      <c r="H1542" t="inlineStr">
        <is>
          <t>Has a game name, but we never matched it to a wiki page.</t>
        </is>
      </c>
      <c r="I1542" t="inlineStr">
        <is>
          <t>Resources</t>
        </is>
      </c>
      <c r="J1542" t="inlineStr">
        <is>
          <t>Resources_data</t>
        </is>
      </c>
      <c r="K1542" t="inlineStr">
        <is>
          <t>Resources/data</t>
        </is>
      </c>
      <c r="L1542" t="inlineStr">
        <is>
          <t>listed, no place</t>
        </is>
      </c>
      <c r="M1542" t="inlineStr">
        <is>
          <t>Capture a Fire-Veined Stover through Conservation in the Orb Vallis.</t>
        </is>
      </c>
      <c r="O1542" t="inlineStr">
        <is>
          <t>No wiki page uses this exact name.</t>
        </is>
      </c>
    </row>
    <row r="1543">
      <c r="A1543" t="inlineStr">
        <is>
          <t>/Lotus/Types/Items/Solaris/AnimalTagSawgawCommon</t>
        </is>
      </c>
      <c r="B1543" t="inlineStr">
        <is>
          <t>Flossy Sawgaw Tag</t>
        </is>
      </c>
      <c r="C1543" t="inlineStr">
        <is>
          <t>https://wiki.warframe.com/w/Sawgaw</t>
        </is>
      </c>
      <c r="D1543" t="inlineStr">
        <is>
          <t>ExportResources</t>
        </is>
      </c>
      <c r="F1543" t="inlineStr">
        <is>
          <t>Flossy Sawgaw Tag</t>
        </is>
      </c>
      <c r="G1543" t="inlineStr">
        <is>
          <t>Flossy Sawgaw Tag</t>
        </is>
      </c>
      <c r="H1543" t="inlineStr">
        <is>
          <t>Has a game name, but we never matched it to a wiki page.</t>
        </is>
      </c>
      <c r="I1543" t="inlineStr">
        <is>
          <t>Resources</t>
        </is>
      </c>
      <c r="J1543" t="inlineStr">
        <is>
          <t>Resources_data</t>
        </is>
      </c>
      <c r="K1543" t="inlineStr">
        <is>
          <t>Resources/data</t>
        </is>
      </c>
      <c r="L1543" t="inlineStr">
        <is>
          <t>listed, no place</t>
        </is>
      </c>
      <c r="M1543" t="inlineStr">
        <is>
          <t>Capture a Flossy Sawgaw through Conservation in the Orb Vallis.</t>
        </is>
      </c>
      <c r="N1543" t="inlineStr">
        <is>
          <t>Prosperous Retriever</t>
        </is>
      </c>
      <c r="O1543" t="inlineStr">
        <is>
          <t>There is a wiki page that mentions this name, but that page never says where you get the item.</t>
        </is>
      </c>
    </row>
    <row r="1544">
      <c r="A1544" t="inlineStr">
        <is>
          <t>/Lotus/Types/Items/Solaris/AnimalTagSawgawRare</t>
        </is>
      </c>
      <c r="B1544" t="inlineStr">
        <is>
          <t>Frogmouthed Sawgaw Tag</t>
        </is>
      </c>
      <c r="D1544" t="inlineStr">
        <is>
          <t>ExportResources</t>
        </is>
      </c>
      <c r="F1544" t="inlineStr">
        <is>
          <t>Frogmouthed Sawgaw Tag</t>
        </is>
      </c>
      <c r="G1544" t="inlineStr">
        <is>
          <t>Frogmouthed Sawgaw Tag</t>
        </is>
      </c>
      <c r="H1544" t="inlineStr">
        <is>
          <t>Has a game name, but we never matched it to a wiki page.</t>
        </is>
      </c>
      <c r="I1544" t="inlineStr">
        <is>
          <t>Resources</t>
        </is>
      </c>
      <c r="J1544" t="inlineStr">
        <is>
          <t>Resources_data</t>
        </is>
      </c>
      <c r="K1544" t="inlineStr">
        <is>
          <t>Resources/data</t>
        </is>
      </c>
      <c r="L1544" t="inlineStr">
        <is>
          <t>listed, no place</t>
        </is>
      </c>
      <c r="M1544" t="inlineStr">
        <is>
          <t>Capture a Frogmouthed Sawgaw through Conservation in the Orb Vallis.</t>
        </is>
      </c>
      <c r="O1544" t="inlineStr">
        <is>
          <t>No wiki page uses this exact name.</t>
        </is>
      </c>
    </row>
    <row r="1545">
      <c r="A1545" t="inlineStr">
        <is>
          <t>/Lotus/Types/Items/Solaris/AnimalTagStoverUncommon</t>
        </is>
      </c>
      <c r="B1545" t="inlineStr">
        <is>
          <t>Fuming Dax Stover Tag</t>
        </is>
      </c>
      <c r="C1545" t="inlineStr">
        <is>
          <t>https://wiki.warframe.com/w/Stover</t>
        </is>
      </c>
      <c r="D1545" t="inlineStr">
        <is>
          <t>ExportResources</t>
        </is>
      </c>
      <c r="F1545" t="inlineStr">
        <is>
          <t>Fuming Dax Stover Tag</t>
        </is>
      </c>
      <c r="G1545" t="inlineStr">
        <is>
          <t>Fuming Dax Stover Tag</t>
        </is>
      </c>
      <c r="H1545" t="inlineStr">
        <is>
          <t>Has a game name, but we never matched it to a wiki page.</t>
        </is>
      </c>
      <c r="I1545" t="inlineStr">
        <is>
          <t>Resources</t>
        </is>
      </c>
      <c r="J1545" t="inlineStr">
        <is>
          <t>Resources_data</t>
        </is>
      </c>
      <c r="K1545" t="inlineStr">
        <is>
          <t>Resources/data</t>
        </is>
      </c>
      <c r="L1545" t="inlineStr">
        <is>
          <t>listed, no place</t>
        </is>
      </c>
      <c r="M1545" t="inlineStr">
        <is>
          <t>Capture a Fuming Dax Stover through Conservation in the Orb Vallis.</t>
        </is>
      </c>
      <c r="N1545" t="inlineStr">
        <is>
          <t>Stover</t>
        </is>
      </c>
      <c r="O1545" t="inlineStr">
        <is>
          <t>There is a wiki page that mentions this name, but that page never says where you get the item.</t>
        </is>
      </c>
    </row>
    <row r="1546">
      <c r="A1546" t="inlineStr">
        <is>
          <t>/Lotus/Types/Items/ShipDecos/Plants/Nokko/LisetPropOroBushA</t>
        </is>
      </c>
      <c r="B1546" t="inlineStr">
        <is>
          <t>Ghost Bush (Sickly)</t>
        </is>
      </c>
      <c r="D1546" t="inlineStr">
        <is>
          <t>ExportResources</t>
        </is>
      </c>
      <c r="F1546" t="inlineStr">
        <is>
          <t>Ghost Bush (Sickly)</t>
        </is>
      </c>
      <c r="H1546" t="inlineStr">
        <is>
          <t>Has a game name, but we never matched it to a wiki page.</t>
        </is>
      </c>
      <c r="I1546" t="inlineStr">
        <is>
          <t>Resources</t>
        </is>
      </c>
      <c r="M1546" t="inlineStr">
        <is>
          <t>Nightcap's Nursery for 10 Fergolyte.</t>
        </is>
      </c>
      <c r="O1546" t="inlineStr">
        <is>
          <t>No wiki page uses this exact name.</t>
        </is>
      </c>
    </row>
    <row r="1547">
      <c r="A1547" t="inlineStr">
        <is>
          <t>/Lotus/Types/Items/ShipDecos/LisetPropSentientCore</t>
        </is>
      </c>
      <c r="B1547" t="inlineStr">
        <is>
          <t>Glowing Sentient Core Decoration</t>
        </is>
      </c>
      <c r="C1547" t="inlineStr">
        <is>
          <t>https://wiki.warframe.com/w/Decorations | https://wiki.warframe.com/w/Sentient_Core</t>
        </is>
      </c>
      <c r="D1547" t="inlineStr">
        <is>
          <t>ExportResources</t>
        </is>
      </c>
      <c r="F1547" t="inlineStr">
        <is>
          <t>Glowing Sentient Core Decoration</t>
        </is>
      </c>
      <c r="H1547" t="inlineStr">
        <is>
          <t>Has a game name, but we never matched it to a wiki page.</t>
        </is>
      </c>
      <c r="I1547" t="inlineStr">
        <is>
          <t>Resources</t>
        </is>
      </c>
      <c r="M1547" t="inlineStr">
        <is>
          <t>The Quills for 10,000 Standing (Rank 4: Instrument).</t>
        </is>
      </c>
      <c r="N1547" t="inlineStr">
        <is>
          <t>Decorations | Sentient Core | Update 23</t>
        </is>
      </c>
      <c r="O1547" t="inlineStr">
        <is>
          <t>There is a wiki page that mentions this name, but that page never says where you get the item.</t>
        </is>
      </c>
    </row>
    <row r="1548">
      <c r="A1548" t="inlineStr">
        <is>
          <t>/Lotus/Types/Items/ShipDecos/Plants/Nokko/LisetPropZenGrassA</t>
        </is>
      </c>
      <c r="B1548" t="inlineStr">
        <is>
          <t>Grass Tuft (Short)</t>
        </is>
      </c>
      <c r="D1548" t="inlineStr">
        <is>
          <t>ExportResources</t>
        </is>
      </c>
      <c r="F1548" t="inlineStr">
        <is>
          <t>Grass Tuft (Short)</t>
        </is>
      </c>
      <c r="H1548" t="inlineStr">
        <is>
          <t>Has a game name, but we never matched it to a wiki page.</t>
        </is>
      </c>
      <c r="I1548" t="inlineStr">
        <is>
          <t>Resources</t>
        </is>
      </c>
      <c r="M1548" t="inlineStr">
        <is>
          <t>Nightcap's Nursery for 10 Fergolyte.</t>
        </is>
      </c>
      <c r="O1548" t="inlineStr">
        <is>
          <t>No wiki page uses this exact name.</t>
        </is>
      </c>
    </row>
    <row r="1549">
      <c r="A1549" t="inlineStr">
        <is>
          <t>/Lotus/Types/Items/ShipDecos/Plants/Nokko/LisetPropZenTallGrass</t>
        </is>
      </c>
      <c r="B1549" t="inlineStr">
        <is>
          <t>Grass Tuft (Tall)</t>
        </is>
      </c>
      <c r="D1549" t="inlineStr">
        <is>
          <t>ExportResources</t>
        </is>
      </c>
      <c r="F1549" t="inlineStr">
        <is>
          <t>Grass Tuft (Tall)</t>
        </is>
      </c>
      <c r="H1549" t="inlineStr">
        <is>
          <t>Has a game name, but we never matched it to a wiki page.</t>
        </is>
      </c>
      <c r="I1549" t="inlineStr">
        <is>
          <t>Resources</t>
        </is>
      </c>
      <c r="M1549" t="inlineStr">
        <is>
          <t>Nightcap's Nursery for 10 Fergolyte.</t>
        </is>
      </c>
      <c r="O1549" t="inlineStr">
        <is>
          <t>No wiki page uses this exact name.</t>
        </is>
      </c>
    </row>
    <row r="1550">
      <c r="A1550" t="inlineStr">
        <is>
          <t>/Lotus/Types/Gameplay/1999Wf/Gifts/PropaneGas</t>
        </is>
      </c>
      <c r="B1550" t="inlineStr">
        <is>
          <t>Green Gorilla&lt;RETRO_TM&gt; Propane Tank</t>
        </is>
      </c>
      <c r="D1550" t="inlineStr">
        <is>
          <t>ExportResources</t>
        </is>
      </c>
      <c r="F1550" t="inlineStr">
        <is>
          <t>Green Gorilla&lt;RETRO_TM&gt; Propane Tank</t>
        </is>
      </c>
      <c r="H1550" t="inlineStr">
        <is>
          <t>Has a game name, but we never matched it to a wiki page.</t>
        </is>
      </c>
      <c r="I1550" t="inlineStr">
        <is>
          <t>Resources</t>
        </is>
      </c>
      <c r="M1550" t="inlineStr">
        <is>
          <t>DIRECTGIFTZ Shop for 10,000 Höllars.</t>
        </is>
      </c>
      <c r="O1550" t="inlineStr">
        <is>
          <t>No wiki page uses this exact name.</t>
        </is>
      </c>
    </row>
    <row r="1551">
      <c r="A1551" t="inlineStr">
        <is>
          <t>/Lotus/Types/Items/ShipDecos/LisetPropOperatorHoodDisplayBlack</t>
        </is>
      </c>
      <c r="B1551" t="inlineStr">
        <is>
          <t>Hood Display Black Decoration</t>
        </is>
      </c>
      <c r="D1551" t="inlineStr">
        <is>
          <t>ExportResources</t>
        </is>
      </c>
      <c r="F1551" t="inlineStr">
        <is>
          <t>Hood Display Black Decoration</t>
        </is>
      </c>
      <c r="H1551" t="inlineStr">
        <is>
          <t>Has a game name, but we never matched it to a wiki page.</t>
        </is>
      </c>
      <c r="I1551" t="inlineStr">
        <is>
          <t>Resources</t>
        </is>
      </c>
      <c r="M1551" t="inlineStr">
        <is>
          <t>The Quills for 25,000 Standing (Rank 5: Architect).</t>
        </is>
      </c>
      <c r="O1551" t="inlineStr">
        <is>
          <t>No wiki page uses this exact name.</t>
        </is>
      </c>
    </row>
    <row r="1552">
      <c r="A1552" t="inlineStr">
        <is>
          <t>/Lotus/Types/Items/ShipDecos/LisetPropOperatorHoodDisplayGrey</t>
        </is>
      </c>
      <c r="B1552" t="inlineStr">
        <is>
          <t>Hood Display Grey Decoration</t>
        </is>
      </c>
      <c r="D1552" t="inlineStr">
        <is>
          <t>ExportResources</t>
        </is>
      </c>
      <c r="F1552" t="inlineStr">
        <is>
          <t>Hood Display Grey Decoration</t>
        </is>
      </c>
      <c r="H1552" t="inlineStr">
        <is>
          <t>Has a game name, but we never matched it to a wiki page.</t>
        </is>
      </c>
      <c r="I1552" t="inlineStr">
        <is>
          <t>Resources</t>
        </is>
      </c>
      <c r="M1552" t="inlineStr">
        <is>
          <t>The Quills for 25,000 Standing (Rank 5: Architect).</t>
        </is>
      </c>
      <c r="O1552" t="inlineStr">
        <is>
          <t>No wiki page uses this exact name.</t>
        </is>
      </c>
    </row>
    <row r="1553">
      <c r="A1553" t="inlineStr">
        <is>
          <t>/Lotus/Types/Items/ShipDecos/LisetPropOperatorHoodDisplayDefault</t>
        </is>
      </c>
      <c r="B1553" t="inlineStr">
        <is>
          <t>Hood Display Teal Decoration</t>
        </is>
      </c>
      <c r="D1553" t="inlineStr">
        <is>
          <t>ExportResources</t>
        </is>
      </c>
      <c r="F1553" t="inlineStr">
        <is>
          <t>Hood Display Teal Decoration</t>
        </is>
      </c>
      <c r="H1553" t="inlineStr">
        <is>
          <t>Has a game name, but we never matched it to a wiki page.</t>
        </is>
      </c>
      <c r="I1553" t="inlineStr">
        <is>
          <t>Resources</t>
        </is>
      </c>
      <c r="M1553" t="inlineStr">
        <is>
          <t>The Quills for 25,000 Standing (Rank 5: Architect).</t>
        </is>
      </c>
      <c r="O1553" t="inlineStr">
        <is>
          <t>No wiki page uses this exact name.</t>
        </is>
      </c>
    </row>
    <row r="1554">
      <c r="A1554" t="inlineStr">
        <is>
          <t>/Lotus/Types/Items/Solaris/AnimalTagHorrasqueRare</t>
        </is>
      </c>
      <c r="B1554" t="inlineStr">
        <is>
          <t>Horrasque Stormer Tag</t>
        </is>
      </c>
      <c r="C1554" t="inlineStr">
        <is>
          <t>https://wiki.warframe.com/w/Horrasque</t>
        </is>
      </c>
      <c r="D1554" t="inlineStr">
        <is>
          <t>ExportResources</t>
        </is>
      </c>
      <c r="F1554" t="inlineStr">
        <is>
          <t>Horrasque Stormer Tag</t>
        </is>
      </c>
      <c r="G1554" t="inlineStr">
        <is>
          <t>Horrasque Stormer Tag</t>
        </is>
      </c>
      <c r="H1554" t="inlineStr">
        <is>
          <t>Has a game name, but we never matched it to a wiki page.</t>
        </is>
      </c>
      <c r="I1554" t="inlineStr">
        <is>
          <t>Resources</t>
        </is>
      </c>
      <c r="J1554" t="inlineStr">
        <is>
          <t>Resources_data</t>
        </is>
      </c>
      <c r="K1554" t="inlineStr">
        <is>
          <t>Resources/data</t>
        </is>
      </c>
      <c r="L1554" t="inlineStr">
        <is>
          <t>listed, no place</t>
        </is>
      </c>
      <c r="M1554" t="inlineStr">
        <is>
          <t>Capture a Horrasque Stormer through Conservation in the Orb Vallis.</t>
        </is>
      </c>
      <c r="N1554" t="inlineStr">
        <is>
          <t>Horrasque</t>
        </is>
      </c>
      <c r="O1554" t="inlineStr">
        <is>
          <t>There is a wiki page that mentions this name, but that page never says where you get the item.</t>
        </is>
      </c>
    </row>
    <row r="1555">
      <c r="A1555" t="inlineStr">
        <is>
          <t>/Lotus/Types/Gameplay/1999Wf/Gifts/PackagedMonitor</t>
        </is>
      </c>
      <c r="B1555" t="inlineStr">
        <is>
          <t>K.A.H.&lt;RETRO_TM&gt; Game Monitor</t>
        </is>
      </c>
      <c r="D1555" t="inlineStr">
        <is>
          <t>ExportResources</t>
        </is>
      </c>
      <c r="F1555" t="inlineStr">
        <is>
          <t>K.A.H.&lt;RETRO_TM&gt; Game Monitor</t>
        </is>
      </c>
      <c r="H1555" t="inlineStr">
        <is>
          <t>Has a game name, but we never matched it to a wiki page.</t>
        </is>
      </c>
      <c r="I1555" t="inlineStr">
        <is>
          <t>Resources</t>
        </is>
      </c>
      <c r="M1555" t="inlineStr">
        <is>
          <t>DIRECTGIFTZ Shop for 12,500 Höllars.</t>
        </is>
      </c>
      <c r="O1555" t="inlineStr">
        <is>
          <t>No wiki page uses this exact name.</t>
        </is>
      </c>
    </row>
    <row r="1556">
      <c r="A1556" t="inlineStr">
        <is>
          <t>/Lotus/Types/Gameplay/1999Wf/Gifts/PackagedGameConsole</t>
        </is>
      </c>
      <c r="B1556" t="inlineStr">
        <is>
          <t>K.A.H.&lt;RETRO_TM&gt; Game System</t>
        </is>
      </c>
      <c r="D1556" t="inlineStr">
        <is>
          <t>ExportResources</t>
        </is>
      </c>
      <c r="F1556" t="inlineStr">
        <is>
          <t>K.A.H.&lt;RETRO_TM&gt; Game System</t>
        </is>
      </c>
      <c r="H1556" t="inlineStr">
        <is>
          <t>Has a game name, but we never matched it to a wiki page.</t>
        </is>
      </c>
      <c r="I1556" t="inlineStr">
        <is>
          <t>Resources</t>
        </is>
      </c>
      <c r="M1556" t="inlineStr">
        <is>
          <t>DIRECTGIFTZ Shop for 20,000 Höllars.</t>
        </is>
      </c>
      <c r="O1556" t="inlineStr">
        <is>
          <t>No wiki page uses this exact name.</t>
        </is>
      </c>
    </row>
    <row r="1557">
      <c r="A1557" t="inlineStr">
        <is>
          <t>/Lotus/Types/Gameplay/1999Wf/Gifts/Sign</t>
        </is>
      </c>
      <c r="B1557" t="inlineStr">
        <is>
          <t>KineBasik&lt;RETRO_TM&gt; Assorted Roadsigns</t>
        </is>
      </c>
      <c r="D1557" t="inlineStr">
        <is>
          <t>ExportResources</t>
        </is>
      </c>
      <c r="F1557" t="inlineStr">
        <is>
          <t>KineBasik&lt;RETRO_TM&gt; Assorted Roadsigns</t>
        </is>
      </c>
      <c r="H1557" t="inlineStr">
        <is>
          <t>Has a game name, but we never matched it to a wiki page.</t>
        </is>
      </c>
      <c r="I1557" t="inlineStr">
        <is>
          <t>Resources</t>
        </is>
      </c>
      <c r="M1557" t="inlineStr">
        <is>
          <t>DIRECTGIFTZ Shop for 32,000 Höllars.</t>
        </is>
      </c>
      <c r="O1557" t="inlineStr">
        <is>
          <t>No wiki page uses this exact name.</t>
        </is>
      </c>
    </row>
    <row r="1558">
      <c r="A1558" t="inlineStr">
        <is>
          <t>/Lotus/Types/Gameplay/1999Wf/Gifts/KeyChain</t>
        </is>
      </c>
      <c r="B1558" t="inlineStr">
        <is>
          <t>KineBasik&lt;RETRO_TM&gt; Asst. Metal Keychains</t>
        </is>
      </c>
      <c r="D1558" t="inlineStr">
        <is>
          <t>ExportResources</t>
        </is>
      </c>
      <c r="F1558" t="inlineStr">
        <is>
          <t>KineBasik&lt;RETRO_TM&gt; Asst. Metal Keychains</t>
        </is>
      </c>
      <c r="H1558" t="inlineStr">
        <is>
          <t>Has a game name, but we never matched it to a wiki page.</t>
        </is>
      </c>
      <c r="I1558" t="inlineStr">
        <is>
          <t>Resources</t>
        </is>
      </c>
      <c r="M1558" t="inlineStr">
        <is>
          <t>DIRECTGIFTZ Shop for 5,000 Höllars.</t>
        </is>
      </c>
      <c r="O1558" t="inlineStr">
        <is>
          <t>No wiki page uses this exact name.</t>
        </is>
      </c>
    </row>
    <row r="1559">
      <c r="A1559" t="inlineStr">
        <is>
          <t>/Lotus/Types/Gameplay/1999Wf/Gifts/Bicycle</t>
        </is>
      </c>
      <c r="B1559" t="inlineStr">
        <is>
          <t>KineBasik&lt;RETRO_TM&gt; Bicycle</t>
        </is>
      </c>
      <c r="D1559" t="inlineStr">
        <is>
          <t>ExportResources</t>
        </is>
      </c>
      <c r="F1559" t="inlineStr">
        <is>
          <t>KineBasik&lt;RETRO_TM&gt; Bicycle</t>
        </is>
      </c>
      <c r="H1559" t="inlineStr">
        <is>
          <t>Has a game name, but we never matched it to a wiki page.</t>
        </is>
      </c>
      <c r="I1559" t="inlineStr">
        <is>
          <t>Resources</t>
        </is>
      </c>
      <c r="M1559" t="inlineStr">
        <is>
          <t>DIRECTGIFTZ Shop for 80,000 Höllars.</t>
        </is>
      </c>
      <c r="O1559" t="inlineStr">
        <is>
          <t>No wiki page uses this exact name.</t>
        </is>
      </c>
    </row>
    <row r="1560">
      <c r="A1560" t="inlineStr">
        <is>
          <t>/Lotus/Types/Gameplay/1999Wf/Gifts/CardboardBox</t>
        </is>
      </c>
      <c r="B1560" t="inlineStr">
        <is>
          <t>KineBasik&lt;RETRO_TM&gt; Cardboard Box</t>
        </is>
      </c>
      <c r="D1560" t="inlineStr">
        <is>
          <t>ExportResources</t>
        </is>
      </c>
      <c r="F1560" t="inlineStr">
        <is>
          <t>KineBasik&lt;RETRO_TM&gt; Cardboard Box</t>
        </is>
      </c>
      <c r="H1560" t="inlineStr">
        <is>
          <t>Has a game name, but we never matched it to a wiki page.</t>
        </is>
      </c>
      <c r="I1560" t="inlineStr">
        <is>
          <t>Resources</t>
        </is>
      </c>
      <c r="M1560" t="inlineStr">
        <is>
          <t>DIRECTGIFTZ Shop for 25,000 Höllars.</t>
        </is>
      </c>
      <c r="O1560" t="inlineStr">
        <is>
          <t>No wiki page uses this exact name.</t>
        </is>
      </c>
    </row>
    <row r="1561">
      <c r="A1561" t="inlineStr">
        <is>
          <t>/Lotus/Types/Gameplay/1999Wf/Gifts/Mug</t>
        </is>
      </c>
      <c r="B1561" t="inlineStr">
        <is>
          <t>KineBasik&lt;RETRO_TM&gt; Coffee Mug</t>
        </is>
      </c>
      <c r="D1561" t="inlineStr">
        <is>
          <t>ExportResources</t>
        </is>
      </c>
      <c r="F1561" t="inlineStr">
        <is>
          <t>KineBasik&lt;RETRO_TM&gt; Coffee Mug</t>
        </is>
      </c>
      <c r="H1561" t="inlineStr">
        <is>
          <t>Has a game name, but we never matched it to a wiki page.</t>
        </is>
      </c>
      <c r="I1561" t="inlineStr">
        <is>
          <t>Resources</t>
        </is>
      </c>
      <c r="M1561" t="inlineStr">
        <is>
          <t>DIRECTGIFTZ Shop for 2,000 Höllars.</t>
        </is>
      </c>
      <c r="O1561" t="inlineStr">
        <is>
          <t>No wiki page uses this exact name.</t>
        </is>
      </c>
    </row>
    <row r="1562">
      <c r="A1562" t="inlineStr">
        <is>
          <t>/Lotus/Types/Gameplay/1999Wf/Gifts/FireExtinguisher</t>
        </is>
      </c>
      <c r="B1562" t="inlineStr">
        <is>
          <t>KineBasik&lt;RETRO_TM&gt; Fire Extinguisher</t>
        </is>
      </c>
      <c r="D1562" t="inlineStr">
        <is>
          <t>ExportResources</t>
        </is>
      </c>
      <c r="F1562" t="inlineStr">
        <is>
          <t>KineBasik&lt;RETRO_TM&gt; Fire Extinguisher</t>
        </is>
      </c>
      <c r="H1562" t="inlineStr">
        <is>
          <t>Has a game name, but we never matched it to a wiki page.</t>
        </is>
      </c>
      <c r="I1562" t="inlineStr">
        <is>
          <t>Resources</t>
        </is>
      </c>
      <c r="M1562" t="inlineStr">
        <is>
          <t>DIRECTGIFTZ Shop for 15,000 Höllars.</t>
        </is>
      </c>
      <c r="O1562" t="inlineStr">
        <is>
          <t>No wiki page uses this exact name.</t>
        </is>
      </c>
    </row>
    <row r="1563">
      <c r="A1563" t="inlineStr">
        <is>
          <t>/Lotus/Types/Gameplay/1999Wf/Gifts/JerryCanLarge</t>
        </is>
      </c>
      <c r="B1563" t="inlineStr">
        <is>
          <t>KineBasik&lt;RETRO_TM&gt; Gas Can (Large)</t>
        </is>
      </c>
      <c r="D1563" t="inlineStr">
        <is>
          <t>ExportResources</t>
        </is>
      </c>
      <c r="F1563" t="inlineStr">
        <is>
          <t>KineBasik&lt;RETRO_TM&gt; Gas Can (Large)</t>
        </is>
      </c>
      <c r="H1563" t="inlineStr">
        <is>
          <t>Has a game name, but we never matched it to a wiki page.</t>
        </is>
      </c>
      <c r="I1563" t="inlineStr">
        <is>
          <t>Resources</t>
        </is>
      </c>
      <c r="M1563" t="inlineStr">
        <is>
          <t>DIRECTGIFTZ Shop for 5,500 Höllars.</t>
        </is>
      </c>
      <c r="O1563" t="inlineStr">
        <is>
          <t>No wiki page uses this exact name.</t>
        </is>
      </c>
    </row>
    <row r="1564">
      <c r="A1564" t="inlineStr">
        <is>
          <t>/Lotus/Types/Gameplay/1999Wf/Gifts/JerryCanSmall</t>
        </is>
      </c>
      <c r="B1564" t="inlineStr">
        <is>
          <t>KineBasik&lt;RETRO_TM&gt; Gas Can (Small)</t>
        </is>
      </c>
      <c r="D1564" t="inlineStr">
        <is>
          <t>ExportResources</t>
        </is>
      </c>
      <c r="F1564" t="inlineStr">
        <is>
          <t>KineBasik&lt;RETRO_TM&gt; Gas Can (Small)</t>
        </is>
      </c>
      <c r="H1564" t="inlineStr">
        <is>
          <t>Has a game name, but we never matched it to a wiki page.</t>
        </is>
      </c>
      <c r="I1564" t="inlineStr">
        <is>
          <t>Resources</t>
        </is>
      </c>
      <c r="M1564" t="inlineStr">
        <is>
          <t>DIRECTGIFTZ Shop for 2,500 Höllars.</t>
        </is>
      </c>
      <c r="O1564" t="inlineStr">
        <is>
          <t>No wiki page uses this exact name.</t>
        </is>
      </c>
    </row>
    <row r="1565">
      <c r="A1565" t="inlineStr">
        <is>
          <t>/Lotus/Types/Gameplay/1999Wf/Gifts/Planter</t>
        </is>
      </c>
      <c r="B1565" t="inlineStr">
        <is>
          <t>KineBasik&lt;RETRO_TM&gt; Hanging Planter</t>
        </is>
      </c>
      <c r="D1565" t="inlineStr">
        <is>
          <t>ExportResources</t>
        </is>
      </c>
      <c r="F1565" t="inlineStr">
        <is>
          <t>KineBasik&lt;RETRO_TM&gt; Hanging Planter</t>
        </is>
      </c>
      <c r="H1565" t="inlineStr">
        <is>
          <t>Has a game name, but we never matched it to a wiki page.</t>
        </is>
      </c>
      <c r="I1565" t="inlineStr">
        <is>
          <t>Resources</t>
        </is>
      </c>
      <c r="M1565" t="inlineStr">
        <is>
          <t>DIRECTGIFTZ Shop for 10,000 Höllars.</t>
        </is>
      </c>
      <c r="O1565" t="inlineStr">
        <is>
          <t>No wiki page uses this exact name.</t>
        </is>
      </c>
    </row>
    <row r="1566">
      <c r="A1566" t="inlineStr">
        <is>
          <t>/Lotus/Types/Gameplay/1999Wf/Gifts/MedKit</t>
        </is>
      </c>
      <c r="B1566" t="inlineStr">
        <is>
          <t>KineBasik&lt;RETRO_TM&gt; Medical Kit</t>
        </is>
      </c>
      <c r="D1566" t="inlineStr">
        <is>
          <t>ExportResources</t>
        </is>
      </c>
      <c r="F1566" t="inlineStr">
        <is>
          <t>KineBasik&lt;RETRO_TM&gt; Medical Kit</t>
        </is>
      </c>
      <c r="H1566" t="inlineStr">
        <is>
          <t>Has a game name, but we never matched it to a wiki page.</t>
        </is>
      </c>
      <c r="I1566" t="inlineStr">
        <is>
          <t>Resources</t>
        </is>
      </c>
      <c r="M1566" t="inlineStr">
        <is>
          <t>DIRECTGIFTZ Shop for 60,000 Höllars.</t>
        </is>
      </c>
      <c r="O1566" t="inlineStr">
        <is>
          <t>No wiki page uses this exact name.</t>
        </is>
      </c>
    </row>
    <row r="1567">
      <c r="A1567" t="inlineStr">
        <is>
          <t>/Lotus/Types/Gameplay/1999Wf/Gifts/LunchBox</t>
        </is>
      </c>
      <c r="B1567" t="inlineStr">
        <is>
          <t>KineBasik&lt;RETRO_TM&gt; Metal Lunch Box</t>
        </is>
      </c>
      <c r="D1567" t="inlineStr">
        <is>
          <t>ExportResources</t>
        </is>
      </c>
      <c r="F1567" t="inlineStr">
        <is>
          <t>KineBasik&lt;RETRO_TM&gt; Metal Lunch Box</t>
        </is>
      </c>
      <c r="H1567" t="inlineStr">
        <is>
          <t>Has a game name, but we never matched it to a wiki page.</t>
        </is>
      </c>
      <c r="I1567" t="inlineStr">
        <is>
          <t>Resources</t>
        </is>
      </c>
      <c r="M1567" t="inlineStr">
        <is>
          <t>DIRECTGIFTZ Shop for 7,000 Höllars.</t>
        </is>
      </c>
      <c r="O1567" t="inlineStr">
        <is>
          <t>No wiki page uses this exact name.</t>
        </is>
      </c>
    </row>
    <row r="1568">
      <c r="A1568" t="inlineStr">
        <is>
          <t>/Lotus/Types/Gameplay/1999Wf/Gifts/PartyHat</t>
        </is>
      </c>
      <c r="B1568" t="inlineStr">
        <is>
          <t>KineBasik&lt;RETRO_TM&gt; Paper Party Hats</t>
        </is>
      </c>
      <c r="D1568" t="inlineStr">
        <is>
          <t>ExportResources</t>
        </is>
      </c>
      <c r="F1568" t="inlineStr">
        <is>
          <t>KineBasik&lt;RETRO_TM&gt; Paper Party Hats</t>
        </is>
      </c>
      <c r="H1568" t="inlineStr">
        <is>
          <t>Has a game name, but we never matched it to a wiki page.</t>
        </is>
      </c>
      <c r="I1568" t="inlineStr">
        <is>
          <t>Resources</t>
        </is>
      </c>
      <c r="M1568" t="inlineStr">
        <is>
          <t>DIRECTGIFTZ Shop for 22,000 Höllars.</t>
        </is>
      </c>
      <c r="O1568" t="inlineStr">
        <is>
          <t>No wiki page uses this exact name.</t>
        </is>
      </c>
    </row>
    <row r="1569">
      <c r="A1569" t="inlineStr">
        <is>
          <t>/Lotus/Types/Gameplay/1999Wf/Gifts/Pillow</t>
        </is>
      </c>
      <c r="B1569" t="inlineStr">
        <is>
          <t>KineBasik&lt;RETRO_TM&gt; Pillows</t>
        </is>
      </c>
      <c r="D1569" t="inlineStr">
        <is>
          <t>ExportResources</t>
        </is>
      </c>
      <c r="F1569" t="inlineStr">
        <is>
          <t>KineBasik&lt;RETRO_TM&gt; Pillows</t>
        </is>
      </c>
      <c r="H1569" t="inlineStr">
        <is>
          <t>Has a game name, but we never matched it to a wiki page.</t>
        </is>
      </c>
      <c r="I1569" t="inlineStr">
        <is>
          <t>Resources</t>
        </is>
      </c>
      <c r="M1569" t="inlineStr">
        <is>
          <t>DIRECTGIFTZ Shop for 4,000 Höllars.</t>
        </is>
      </c>
      <c r="O1569" t="inlineStr">
        <is>
          <t>No wiki page uses this exact name.</t>
        </is>
      </c>
    </row>
    <row r="1570">
      <c r="A1570" t="inlineStr">
        <is>
          <t>/Lotus/Types/Gameplay/1999Wf/Gifts/PizzaBox</t>
        </is>
      </c>
      <c r="B1570" t="inlineStr">
        <is>
          <t>KineBasik&lt;RETRO_TM&gt; Pizza Boxes</t>
        </is>
      </c>
      <c r="D1570" t="inlineStr">
        <is>
          <t>ExportResources</t>
        </is>
      </c>
      <c r="F1570" t="inlineStr">
        <is>
          <t>KineBasik&lt;RETRO_TM&gt; Pizza Boxes</t>
        </is>
      </c>
      <c r="H1570" t="inlineStr">
        <is>
          <t>Has a game name, but we never matched it to a wiki page.</t>
        </is>
      </c>
      <c r="I1570" t="inlineStr">
        <is>
          <t>Resources</t>
        </is>
      </c>
      <c r="M1570" t="inlineStr">
        <is>
          <t>DIRECTGIFTZ Shop for 22,000 Höllars.</t>
        </is>
      </c>
      <c r="O1570" t="inlineStr">
        <is>
          <t>No wiki page uses this exact name.</t>
        </is>
      </c>
    </row>
    <row r="1571">
      <c r="A1571" t="inlineStr">
        <is>
          <t>/Lotus/Types/Gameplay/1999Wf/Gifts/CoffeeMachine</t>
        </is>
      </c>
      <c r="B1571" t="inlineStr">
        <is>
          <t>KineKitchen&lt;RETRO_TM&gt; Coffee Machine</t>
        </is>
      </c>
      <c r="D1571" t="inlineStr">
        <is>
          <t>ExportResources</t>
        </is>
      </c>
      <c r="F1571" t="inlineStr">
        <is>
          <t>KineKitchen&lt;RETRO_TM&gt; Coffee Machine</t>
        </is>
      </c>
      <c r="H1571" t="inlineStr">
        <is>
          <t>Has a game name, but we never matched it to a wiki page.</t>
        </is>
      </c>
      <c r="I1571" t="inlineStr">
        <is>
          <t>Resources</t>
        </is>
      </c>
      <c r="M1571" t="inlineStr">
        <is>
          <t>DIRECTGIFTZ Shop for 45,000 Höllars.</t>
        </is>
      </c>
      <c r="O1571" t="inlineStr">
        <is>
          <t>No wiki page uses this exact name.</t>
        </is>
      </c>
    </row>
    <row r="1572">
      <c r="A1572" t="inlineStr">
        <is>
          <t>/Lotus/Types/Gameplay/1999Wf/Gifts/Microwave</t>
        </is>
      </c>
      <c r="B1572" t="inlineStr">
        <is>
          <t>KineKitchen&lt;RETRO_TM&gt; Microwave</t>
        </is>
      </c>
      <c r="D1572" t="inlineStr">
        <is>
          <t>ExportResources</t>
        </is>
      </c>
      <c r="F1572" t="inlineStr">
        <is>
          <t>KineKitchen&lt;RETRO_TM&gt; Microwave</t>
        </is>
      </c>
      <c r="H1572" t="inlineStr">
        <is>
          <t>Has a game name, but we never matched it to a wiki page.</t>
        </is>
      </c>
      <c r="I1572" t="inlineStr">
        <is>
          <t>Resources</t>
        </is>
      </c>
      <c r="M1572" t="inlineStr">
        <is>
          <t>DIRECTGIFTZ Shop for 45,000 Höllars.</t>
        </is>
      </c>
      <c r="O1572" t="inlineStr">
        <is>
          <t>No wiki page uses this exact name.</t>
        </is>
      </c>
    </row>
    <row r="1573">
      <c r="A1573" t="inlineStr">
        <is>
          <t>/Lotus/Types/Gameplay/1999Wf/Gifts/Toaster</t>
        </is>
      </c>
      <c r="B1573" t="inlineStr">
        <is>
          <t>KineKitchen&lt;RETRO_TM&gt; Toaster</t>
        </is>
      </c>
      <c r="D1573" t="inlineStr">
        <is>
          <t>ExportResources</t>
        </is>
      </c>
      <c r="F1573" t="inlineStr">
        <is>
          <t>KineKitchen&lt;RETRO_TM&gt; Toaster</t>
        </is>
      </c>
      <c r="H1573" t="inlineStr">
        <is>
          <t>Has a game name, but we never matched it to a wiki page.</t>
        </is>
      </c>
      <c r="I1573" t="inlineStr">
        <is>
          <t>Resources</t>
        </is>
      </c>
      <c r="M1573" t="inlineStr">
        <is>
          <t>DIRECTGIFTZ Shop for 22,000 Höllars.</t>
        </is>
      </c>
      <c r="O1573" t="inlineStr">
        <is>
          <t>No wiki page uses this exact name.</t>
        </is>
      </c>
    </row>
    <row r="1574">
      <c r="A1574" t="inlineStr">
        <is>
          <t>/Lotus/Types/Gameplay/1999Wf/Gifts/ToasterOven</t>
        </is>
      </c>
      <c r="B1574" t="inlineStr">
        <is>
          <t>KineKitchen&lt;RETRO_TM&gt; Toaster Oven</t>
        </is>
      </c>
      <c r="D1574" t="inlineStr">
        <is>
          <t>ExportResources</t>
        </is>
      </c>
      <c r="F1574" t="inlineStr">
        <is>
          <t>KineKitchen&lt;RETRO_TM&gt; Toaster Oven</t>
        </is>
      </c>
      <c r="H1574" t="inlineStr">
        <is>
          <t>Has a game name, but we never matched it to a wiki page.</t>
        </is>
      </c>
      <c r="I1574" t="inlineStr">
        <is>
          <t>Resources</t>
        </is>
      </c>
      <c r="M1574" t="inlineStr">
        <is>
          <t>DIRECTGIFTZ Shop for 35,000 Höllars.</t>
        </is>
      </c>
      <c r="O1574" t="inlineStr">
        <is>
          <t>No wiki page uses this exact name.</t>
        </is>
      </c>
    </row>
    <row r="1575">
      <c r="A1575" t="inlineStr">
        <is>
          <t>/Lotus/Types/Gameplay/1999Wf/Gifts/PackagedBoomBox</t>
        </is>
      </c>
      <c r="B1575" t="inlineStr">
        <is>
          <t>KineMagik!&lt;RETRO_TM&gt; Boom Box</t>
        </is>
      </c>
      <c r="D1575" t="inlineStr">
        <is>
          <t>ExportResources</t>
        </is>
      </c>
      <c r="F1575" t="inlineStr">
        <is>
          <t>KineMagik!&lt;RETRO_TM&gt; Boom Box</t>
        </is>
      </c>
      <c r="H1575" t="inlineStr">
        <is>
          <t>Has a game name, but we never matched it to a wiki page.</t>
        </is>
      </c>
      <c r="I1575" t="inlineStr">
        <is>
          <t>Resources</t>
        </is>
      </c>
      <c r="M1575" t="inlineStr">
        <is>
          <t>DIRECTGIFTZ Shop for 22,000 Höllars.</t>
        </is>
      </c>
      <c r="O1575" t="inlineStr">
        <is>
          <t>No wiki page uses this exact name.</t>
        </is>
      </c>
    </row>
    <row r="1576">
      <c r="A1576" t="inlineStr">
        <is>
          <t>/Lotus/Types/Gameplay/1999Wf/Gifts/FloodLight</t>
        </is>
      </c>
      <c r="B1576" t="inlineStr">
        <is>
          <t>KineMagik!&lt;RETRO_TM&gt; Party Light</t>
        </is>
      </c>
      <c r="D1576" t="inlineStr">
        <is>
          <t>ExportResources</t>
        </is>
      </c>
      <c r="F1576" t="inlineStr">
        <is>
          <t>KineMagik!&lt;RETRO_TM&gt; Party Light</t>
        </is>
      </c>
      <c r="H1576" t="inlineStr">
        <is>
          <t>Has a game name, but we never matched it to a wiki page.</t>
        </is>
      </c>
      <c r="I1576" t="inlineStr">
        <is>
          <t>Resources</t>
        </is>
      </c>
      <c r="M1576" t="inlineStr">
        <is>
          <t>DIRECTGIFTZ Shop for 80,000 Höllars.</t>
        </is>
      </c>
      <c r="O1576" t="inlineStr">
        <is>
          <t>No wiki page uses this exact name.</t>
        </is>
      </c>
    </row>
    <row r="1577">
      <c r="A1577" t="inlineStr">
        <is>
          <t>/Lotus/Types/Gameplay/1999Wf/Gifts/PackagedPortableTV</t>
        </is>
      </c>
      <c r="B1577" t="inlineStr">
        <is>
          <t>KineMagik!&lt;RETRO_TM&gt; Portable TV</t>
        </is>
      </c>
      <c r="D1577" t="inlineStr">
        <is>
          <t>ExportResources</t>
        </is>
      </c>
      <c r="F1577" t="inlineStr">
        <is>
          <t>KineMagik!&lt;RETRO_TM&gt; Portable TV</t>
        </is>
      </c>
      <c r="H1577" t="inlineStr">
        <is>
          <t>Has a game name, but we never matched it to a wiki page.</t>
        </is>
      </c>
      <c r="I1577" t="inlineStr">
        <is>
          <t>Resources</t>
        </is>
      </c>
      <c r="M1577" t="inlineStr">
        <is>
          <t>DIRECTGIFTZ Shop for 8,500 Höllars.</t>
        </is>
      </c>
      <c r="O1577" t="inlineStr">
        <is>
          <t>No wiki page uses this exact name.</t>
        </is>
      </c>
    </row>
    <row r="1578">
      <c r="A1578" t="inlineStr">
        <is>
          <t>/Lotus/Types/Gameplay/1999Wf/Gifts/Headphones</t>
        </is>
      </c>
      <c r="B1578" t="inlineStr">
        <is>
          <t>KineMagik!&lt;RETRO_TM&gt; Wireless Headphones</t>
        </is>
      </c>
      <c r="D1578" t="inlineStr">
        <is>
          <t>ExportResources</t>
        </is>
      </c>
      <c r="F1578" t="inlineStr">
        <is>
          <t>KineMagik!&lt;RETRO_TM&gt; Wireless Headphones</t>
        </is>
      </c>
      <c r="H1578" t="inlineStr">
        <is>
          <t>Has a game name, but we never matched it to a wiki page.</t>
        </is>
      </c>
      <c r="I1578" t="inlineStr">
        <is>
          <t>Resources</t>
        </is>
      </c>
      <c r="M1578" t="inlineStr">
        <is>
          <t>DIRECTGIFTZ Shop for 10,000 Höllars.</t>
        </is>
      </c>
      <c r="O1578" t="inlineStr">
        <is>
          <t>No wiki page uses this exact name.</t>
        </is>
      </c>
    </row>
    <row r="1579">
      <c r="A1579" t="inlineStr">
        <is>
          <t>/Lotus/Types/Gameplay/1999Wf/Gifts/HardwareGPU</t>
        </is>
      </c>
      <c r="B1579" t="inlineStr">
        <is>
          <t>Kinemantik&lt;RETRO_TM&gt; 256 GPU</t>
        </is>
      </c>
      <c r="D1579" t="inlineStr">
        <is>
          <t>ExportResources</t>
        </is>
      </c>
      <c r="F1579" t="inlineStr">
        <is>
          <t>Kinemantik&lt;RETRO_TM&gt; 256 GPU</t>
        </is>
      </c>
      <c r="H1579" t="inlineStr">
        <is>
          <t>Has a game name, but we never matched it to a wiki page.</t>
        </is>
      </c>
      <c r="I1579" t="inlineStr">
        <is>
          <t>Resources</t>
        </is>
      </c>
      <c r="M1579" t="inlineStr">
        <is>
          <t>DIRECTGIFTZ Shop for 70,000 Höllars.</t>
        </is>
      </c>
      <c r="O1579" t="inlineStr">
        <is>
          <t>No wiki page uses this exact name.</t>
        </is>
      </c>
    </row>
    <row r="1580">
      <c r="A1580" t="inlineStr">
        <is>
          <t>/Lotus/Types/Gameplay/1999Wf/Gifts/Television</t>
        </is>
      </c>
      <c r="B1580" t="inlineStr">
        <is>
          <t>Kinemantik&lt;RETRO_TM&gt; 840HD TV</t>
        </is>
      </c>
      <c r="D1580" t="inlineStr">
        <is>
          <t>ExportResources</t>
        </is>
      </c>
      <c r="F1580" t="inlineStr">
        <is>
          <t>Kinemantik&lt;RETRO_TM&gt; 840HD TV</t>
        </is>
      </c>
      <c r="H1580" t="inlineStr">
        <is>
          <t>Has a game name, but we never matched it to a wiki page.</t>
        </is>
      </c>
      <c r="I1580" t="inlineStr">
        <is>
          <t>Resources</t>
        </is>
      </c>
      <c r="M1580" t="inlineStr">
        <is>
          <t>DIRECTGIFTZ Shop for 8,500 Höllars.</t>
        </is>
      </c>
      <c r="O1580" t="inlineStr">
        <is>
          <t>No wiki page uses this exact name.</t>
        </is>
      </c>
    </row>
    <row r="1581">
      <c r="A1581" t="inlineStr">
        <is>
          <t>/Lotus/Types/Gameplay/1999Wf/Gifts/AVReceiver</t>
        </is>
      </c>
      <c r="B1581" t="inlineStr">
        <is>
          <t>Kinemantik&lt;RETRO_TM&gt; A/V Receiver</t>
        </is>
      </c>
      <c r="D1581" t="inlineStr">
        <is>
          <t>ExportResources</t>
        </is>
      </c>
      <c r="F1581" t="inlineStr">
        <is>
          <t>Kinemantik&lt;RETRO_TM&gt; A/V Receiver</t>
        </is>
      </c>
      <c r="H1581" t="inlineStr">
        <is>
          <t>Has a game name, but we never matched it to a wiki page.</t>
        </is>
      </c>
      <c r="I1581" t="inlineStr">
        <is>
          <t>Resources</t>
        </is>
      </c>
      <c r="M1581" t="inlineStr">
        <is>
          <t>DIRECTGIFTZ Shop for 15,000 Höllars.</t>
        </is>
      </c>
      <c r="O1581" t="inlineStr">
        <is>
          <t>No wiki page uses this exact name.</t>
        </is>
      </c>
    </row>
    <row r="1582">
      <c r="A1582" t="inlineStr">
        <is>
          <t>/Lotus/Types/Gameplay/1999Wf/Gifts/Microphone</t>
        </is>
      </c>
      <c r="B1582" t="inlineStr">
        <is>
          <t>Kinemantik&lt;RETRO_TM&gt; Announce</t>
        </is>
      </c>
      <c r="D1582" t="inlineStr">
        <is>
          <t>ExportResources</t>
        </is>
      </c>
      <c r="F1582" t="inlineStr">
        <is>
          <t>Kinemantik&lt;RETRO_TM&gt; Announce</t>
        </is>
      </c>
      <c r="H1582" t="inlineStr">
        <is>
          <t>Has a game name, but we never matched it to a wiki page.</t>
        </is>
      </c>
      <c r="I1582" t="inlineStr">
        <is>
          <t>Resources</t>
        </is>
      </c>
      <c r="M1582" t="inlineStr">
        <is>
          <t>DIRECTGIFTZ Shop for 30,000 Höllars.</t>
        </is>
      </c>
      <c r="O1582" t="inlineStr">
        <is>
          <t>No wiki page uses this exact name.</t>
        </is>
      </c>
    </row>
    <row r="1583">
      <c r="A1583" t="inlineStr">
        <is>
          <t>/Lotus/Types/Gameplay/1999Wf/Gifts/CellPhone</t>
        </is>
      </c>
      <c r="B1583" t="inlineStr">
        <is>
          <t>Kinemantik&lt;RETRO_TM&gt; Cellphone</t>
        </is>
      </c>
      <c r="D1583" t="inlineStr">
        <is>
          <t>ExportResources</t>
        </is>
      </c>
      <c r="F1583" t="inlineStr">
        <is>
          <t>Kinemantik&lt;RETRO_TM&gt; Cellphone</t>
        </is>
      </c>
      <c r="H1583" t="inlineStr">
        <is>
          <t>Has a game name, but we never matched it to a wiki page.</t>
        </is>
      </c>
      <c r="I1583" t="inlineStr">
        <is>
          <t>Resources</t>
        </is>
      </c>
      <c r="M1583" t="inlineStr">
        <is>
          <t>DIRECTGIFTZ Shop for 14,000 Höllars.</t>
        </is>
      </c>
      <c r="O1583" t="inlineStr">
        <is>
          <t>No wiki page uses this exact name.</t>
        </is>
      </c>
    </row>
    <row r="1584">
      <c r="A1584" t="inlineStr">
        <is>
          <t>/Lotus/Types/Gameplay/1999Wf/Gifts/DigitalPhone</t>
        </is>
      </c>
      <c r="B1584" t="inlineStr">
        <is>
          <t>Kinemantik&lt;RETRO_TM&gt; Digital Phone</t>
        </is>
      </c>
      <c r="D1584" t="inlineStr">
        <is>
          <t>ExportResources</t>
        </is>
      </c>
      <c r="F1584" t="inlineStr">
        <is>
          <t>Kinemantik&lt;RETRO_TM&gt; Digital Phone</t>
        </is>
      </c>
      <c r="H1584" t="inlineStr">
        <is>
          <t>Has a game name, but we never matched it to a wiki page.</t>
        </is>
      </c>
      <c r="I1584" t="inlineStr">
        <is>
          <t>Resources</t>
        </is>
      </c>
      <c r="M1584" t="inlineStr">
        <is>
          <t>DIRECTGIFTZ Shop for 12,000 Höllars.</t>
        </is>
      </c>
      <c r="O1584" t="inlineStr">
        <is>
          <t>No wiki page uses this exact name.</t>
        </is>
      </c>
    </row>
    <row r="1585">
      <c r="A1585" t="inlineStr">
        <is>
          <t>/Lotus/Types/Gameplay/1999Wf/Gifts/PackagedVideoCamera</t>
        </is>
      </c>
      <c r="B1585" t="inlineStr">
        <is>
          <t>Kinemantik&lt;RETRO_TM&gt; Digital Video Camera</t>
        </is>
      </c>
      <c r="D1585" t="inlineStr">
        <is>
          <t>ExportResources</t>
        </is>
      </c>
      <c r="F1585" t="inlineStr">
        <is>
          <t>Kinemantik&lt;RETRO_TM&gt; Digital Video Camera</t>
        </is>
      </c>
      <c r="H1585" t="inlineStr">
        <is>
          <t>Has a game name, but we never matched it to a wiki page.</t>
        </is>
      </c>
      <c r="I1585" t="inlineStr">
        <is>
          <t>Resources</t>
        </is>
      </c>
      <c r="M1585" t="inlineStr">
        <is>
          <t>DIRECTGIFTZ Shop for 35,000 Höllars.</t>
        </is>
      </c>
      <c r="O1585" t="inlineStr">
        <is>
          <t>No wiki page uses this exact name.</t>
        </is>
      </c>
    </row>
    <row r="1586">
      <c r="A1586" t="inlineStr">
        <is>
          <t>/Lotus/Types/Gameplay/1999Wf/Gifts/AirHockeyTable</t>
        </is>
      </c>
      <c r="B1586" t="inlineStr">
        <is>
          <t>Kinemantik&lt;RETRO_TM&gt; Hockey Table</t>
        </is>
      </c>
      <c r="D1586" t="inlineStr">
        <is>
          <t>ExportResources</t>
        </is>
      </c>
      <c r="F1586" t="inlineStr">
        <is>
          <t>Kinemantik&lt;RETRO_TM&gt; Hockey Table</t>
        </is>
      </c>
      <c r="H1586" t="inlineStr">
        <is>
          <t>Has a game name, but we never matched it to a wiki page.</t>
        </is>
      </c>
      <c r="I1586" t="inlineStr">
        <is>
          <t>Resources</t>
        </is>
      </c>
      <c r="M1586" t="inlineStr">
        <is>
          <t>DIRECTGIFTZ Shop for 85,000 Höllars.</t>
        </is>
      </c>
      <c r="O1586" t="inlineStr">
        <is>
          <t>No wiki page uses this exact name.</t>
        </is>
      </c>
    </row>
    <row r="1587">
      <c r="A1587" t="inlineStr">
        <is>
          <t>/Lotus/Types/Gameplay/1999Wf/Gifts/PackagedSpeaker</t>
        </is>
      </c>
      <c r="B1587" t="inlineStr">
        <is>
          <t>Kinemantik&lt;RETRO_TM&gt; Speaker</t>
        </is>
      </c>
      <c r="D1587" t="inlineStr">
        <is>
          <t>ExportResources</t>
        </is>
      </c>
      <c r="F1587" t="inlineStr">
        <is>
          <t>Kinemantik&lt;RETRO_TM&gt; Speaker</t>
        </is>
      </c>
      <c r="H1587" t="inlineStr">
        <is>
          <t>Has a game name, but we never matched it to a wiki page.</t>
        </is>
      </c>
      <c r="I1587" t="inlineStr">
        <is>
          <t>Resources</t>
        </is>
      </c>
      <c r="M1587" t="inlineStr">
        <is>
          <t>DIRECTGIFTZ Shop for 22,000 Höllars.</t>
        </is>
      </c>
      <c r="O1587" t="inlineStr">
        <is>
          <t>No wiki page uses this exact name.</t>
        </is>
      </c>
    </row>
    <row r="1588">
      <c r="A1588" t="inlineStr">
        <is>
          <t>/Lotus/Types/Gameplay/1999Wf/Gifts/PackagedStereoAmp</t>
        </is>
      </c>
      <c r="B1588" t="inlineStr">
        <is>
          <t>Kinemantik&lt;RETRO_TM&gt; Speaker System</t>
        </is>
      </c>
      <c r="D1588" t="inlineStr">
        <is>
          <t>ExportResources</t>
        </is>
      </c>
      <c r="F1588" t="inlineStr">
        <is>
          <t>Kinemantik&lt;RETRO_TM&gt; Speaker System</t>
        </is>
      </c>
      <c r="H1588" t="inlineStr">
        <is>
          <t>Has a game name, but we never matched it to a wiki page.</t>
        </is>
      </c>
      <c r="I1588" t="inlineStr">
        <is>
          <t>Resources</t>
        </is>
      </c>
      <c r="M1588" t="inlineStr">
        <is>
          <t>DIRECTGIFTZ Shop for 22,000 Höllars.</t>
        </is>
      </c>
      <c r="O1588" t="inlineStr">
        <is>
          <t>No wiki page uses this exact name.</t>
        </is>
      </c>
    </row>
    <row r="1589">
      <c r="A1589" t="inlineStr">
        <is>
          <t>/Lotus/Types/Items/ShipDecos/Plants/LisetPropDUVxGardeningPlantAGrown</t>
        </is>
      </c>
      <c r="B1589" t="inlineStr">
        <is>
          <t>Kovnik Decoration</t>
        </is>
      </c>
      <c r="D1589" t="inlineStr">
        <is>
          <t>ExportResources</t>
        </is>
      </c>
      <c r="F1589" t="inlineStr">
        <is>
          <t>Kovnik Decoration</t>
        </is>
      </c>
      <c r="H1589" t="inlineStr">
        <is>
          <t>Has a game name, but we never matched it to a wiki page.</t>
        </is>
      </c>
      <c r="I1589" t="inlineStr">
        <is>
          <t>Resources</t>
        </is>
      </c>
      <c r="M1589" t="inlineStr">
        <is>
          <t>Acrithis's rotating wares in Duviri or the Dormizone.</t>
        </is>
      </c>
      <c r="O1589" t="inlineStr">
        <is>
          <t>No wiki page uses this exact name.</t>
        </is>
      </c>
    </row>
    <row r="1590">
      <c r="A1590" t="inlineStr">
        <is>
          <t>/Lotus/Types/Items/Solaris/AnimalTagKubrodonRare</t>
        </is>
      </c>
      <c r="B1590" t="inlineStr">
        <is>
          <t>Kubrodon Incarnadine Tag</t>
        </is>
      </c>
      <c r="C1590" t="inlineStr">
        <is>
          <t>https://wiki.warframe.com/w/Kubrodon</t>
        </is>
      </c>
      <c r="D1590" t="inlineStr">
        <is>
          <t>ExportResources</t>
        </is>
      </c>
      <c r="F1590" t="inlineStr">
        <is>
          <t>Kubrodon Incarnadine Tag</t>
        </is>
      </c>
      <c r="G1590" t="inlineStr">
        <is>
          <t>Kubrodon Incarnadine Tag</t>
        </is>
      </c>
      <c r="H1590" t="inlineStr">
        <is>
          <t>Has a game name, but we never matched it to a wiki page.</t>
        </is>
      </c>
      <c r="I1590" t="inlineStr">
        <is>
          <t>Resources</t>
        </is>
      </c>
      <c r="J1590" t="inlineStr">
        <is>
          <t>Resources_data</t>
        </is>
      </c>
      <c r="K1590" t="inlineStr">
        <is>
          <t>Resources/data</t>
        </is>
      </c>
      <c r="L1590" t="inlineStr">
        <is>
          <t>listed, no place</t>
        </is>
      </c>
      <c r="M1590" t="inlineStr">
        <is>
          <t>Capture a Kubrodon Incarnadine through Conservation in the Orb Vallis.</t>
        </is>
      </c>
      <c r="N1590" t="inlineStr">
        <is>
          <t>Kubrodon</t>
        </is>
      </c>
      <c r="O1590" t="inlineStr">
        <is>
          <t>There is a wiki page that mentions this name, but that page never says where you get the item.</t>
        </is>
      </c>
    </row>
    <row r="1591">
      <c r="A1591" t="inlineStr">
        <is>
          <t>/Lotus/Types/Items/ShipDecos/Leverian/LisetPropMuralVonnel</t>
        </is>
      </c>
      <c r="B1591" t="inlineStr">
        <is>
          <t>Lycath’s Leverian Mural</t>
        </is>
      </c>
      <c r="D1591" t="inlineStr">
        <is>
          <t>ExportResources</t>
        </is>
      </c>
      <c r="F1591" t="inlineStr">
        <is>
          <t>Lycath’s Leverian Mural</t>
        </is>
      </c>
      <c r="H1591" t="inlineStr">
        <is>
          <t>Has a game name, but we never matched it to a wiki page.</t>
        </is>
      </c>
      <c r="I1591" t="inlineStr">
        <is>
          <t>Resources</t>
        </is>
      </c>
      <c r="M1591" t="inlineStr">
        <is>
          <t>Market for 35 Platinum.</t>
        </is>
      </c>
      <c r="O1591" t="inlineStr">
        <is>
          <t>No wiki page uses this exact name.</t>
        </is>
      </c>
    </row>
    <row r="1592">
      <c r="A1592" t="inlineStr">
        <is>
          <t>/Lotus/Types/Items/ShipDecos/Plants/Nokko/LisetPropGftPlantLilyNightGrpA</t>
        </is>
      </c>
      <c r="B1592" t="inlineStr">
        <is>
          <t>Moonlight Dragonlily Decoration</t>
        </is>
      </c>
      <c r="D1592" t="inlineStr">
        <is>
          <t>ExportResources</t>
        </is>
      </c>
      <c r="F1592" t="inlineStr">
        <is>
          <t>Moonlight Dragonlily Decoration</t>
        </is>
      </c>
      <c r="H1592" t="inlineStr">
        <is>
          <t>Has a game name, but we never matched it to a wiki page.</t>
        </is>
      </c>
      <c r="I1592" t="inlineStr">
        <is>
          <t>Resources</t>
        </is>
      </c>
      <c r="M1592" t="inlineStr">
        <is>
          <t>Nightcap's Nursery for 10 Fergolyte.</t>
        </is>
      </c>
      <c r="O1592" t="inlineStr">
        <is>
          <t>No wiki page uses this exact name.</t>
        </is>
      </c>
    </row>
    <row r="1593">
      <c r="A1593" t="inlineStr">
        <is>
          <t>/Lotus/Types/Items/ShipDecos/Plushies/PlushyBabyNatah</t>
        </is>
      </c>
      <c r="B1593" t="inlineStr">
        <is>
          <t>Neolyst Natah Floof</t>
        </is>
      </c>
      <c r="D1593" t="inlineStr">
        <is>
          <t>ExportResources</t>
        </is>
      </c>
      <c r="F1593" t="inlineStr">
        <is>
          <t>Neolyst Natah Floof</t>
        </is>
      </c>
      <c r="H1593" t="inlineStr">
        <is>
          <t>Has a game name, but we never matched it to a wiki page.</t>
        </is>
      </c>
      <c r="I1593" t="inlineStr">
        <is>
          <t>Resources</t>
        </is>
      </c>
      <c r="M1593" t="inlineStr">
        <is>
          <t>Praghasa during Epoch Operation: Taubound for 125 Moonflesh.</t>
        </is>
      </c>
      <c r="N1593" t="inlineStr">
        <is>
          <t>Epoch Operation: Taubound</t>
        </is>
      </c>
      <c r="O1593" t="inlineStr">
        <is>
          <t>There is a wiki page that mentions this name, but that page never says where you get the item.</t>
        </is>
      </c>
    </row>
    <row r="1594">
      <c r="A1594" t="inlineStr">
        <is>
          <t>/Lotus/Types/Items/Eidolon/AnimalTagVampireKavatRare</t>
        </is>
      </c>
      <c r="B1594" t="inlineStr">
        <is>
          <t>Nephil Vasca Kavat Tag</t>
        </is>
      </c>
      <c r="D1594" t="inlineStr">
        <is>
          <t>ExportResources</t>
        </is>
      </c>
      <c r="F1594" t="inlineStr">
        <is>
          <t>Nephil Vasca Kavat Tag</t>
        </is>
      </c>
      <c r="G1594" t="inlineStr">
        <is>
          <t>Nephil Vasca Kavat Tag</t>
        </is>
      </c>
      <c r="H1594" t="inlineStr">
        <is>
          <t>Has a game name, but we never matched it to a wiki page.</t>
        </is>
      </c>
      <c r="I1594" t="inlineStr">
        <is>
          <t>Resources</t>
        </is>
      </c>
      <c r="J1594" t="inlineStr">
        <is>
          <t>Resources_data</t>
        </is>
      </c>
      <c r="K1594" t="inlineStr">
        <is>
          <t>Resources/data</t>
        </is>
      </c>
      <c r="L1594" t="inlineStr">
        <is>
          <t>listed, no place</t>
        </is>
      </c>
      <c r="M1594" t="inlineStr">
        <is>
          <t>Capture a Nephil Vasca Kavat through Conservation in the Plains of Eidolon.</t>
        </is>
      </c>
      <c r="O1594" t="inlineStr">
        <is>
          <t>No wiki page uses this exact name.</t>
        </is>
      </c>
    </row>
    <row r="1595">
      <c r="A1595" t="inlineStr">
        <is>
          <t>/Lotus/Types/Items/ShipDecos/Plushies/PlushyOllie</t>
        </is>
      </c>
      <c r="B1595" t="inlineStr">
        <is>
          <t>Ollie Floof</t>
        </is>
      </c>
      <c r="C1595" t="inlineStr">
        <is>
          <t>https://wiki.warframe.com/w/Devstream_186</t>
        </is>
      </c>
      <c r="D1595" t="inlineStr">
        <is>
          <t>ExportResources</t>
        </is>
      </c>
      <c r="F1595" t="inlineStr">
        <is>
          <t>Ollie Floof</t>
        </is>
      </c>
      <c r="H1595" t="inlineStr">
        <is>
          <t>Has a game name, but we never matched it to a wiki page.</t>
        </is>
      </c>
      <c r="I1595" t="inlineStr">
        <is>
          <t>Resources</t>
        </is>
      </c>
      <c r="M1595" t="inlineStr">
        <is>
          <t>First completion of Ollie's Crash Course.</t>
        </is>
      </c>
      <c r="N1595" t="inlineStr">
        <is>
          <t>Devstream 186 | Amir/Quotes | Update 38</t>
        </is>
      </c>
      <c r="O1595" t="inlineStr">
        <is>
          <t>There is a wiki page that mentions this name, but that page never says where you get the item.</t>
        </is>
      </c>
    </row>
    <row r="1596">
      <c r="A1596" t="inlineStr">
        <is>
          <t>/Lotus/Types/Gameplay/1999Wf/Gifts/CompactDisc</t>
        </is>
      </c>
      <c r="B1596" t="inlineStr">
        <is>
          <t>On-lyne: The Boys R Back</t>
        </is>
      </c>
      <c r="C1596" t="inlineStr">
        <is>
          <t>https://wiki.warframe.com/w/Kinemantik_Instant_Messenger</t>
        </is>
      </c>
      <c r="D1596" t="inlineStr">
        <is>
          <t>ExportResources</t>
        </is>
      </c>
      <c r="F1596" t="inlineStr">
        <is>
          <t>On-lyne: The Boys R Back</t>
        </is>
      </c>
      <c r="H1596" t="inlineStr">
        <is>
          <t>Has a game name, but we never matched it to a wiki page.</t>
        </is>
      </c>
      <c r="I1596" t="inlineStr">
        <is>
          <t>Resources</t>
        </is>
      </c>
      <c r="M1596" t="inlineStr">
        <is>
          <t>DIRECTGIFTZ Shop for 4,000 Höllars.</t>
        </is>
      </c>
      <c r="N1596" t="inlineStr">
        <is>
          <t>Kinemantik Instant Messenger</t>
        </is>
      </c>
      <c r="O1596" t="inlineStr">
        <is>
          <t>There is a wiki page that mentions this name, but that page never says where you get the item.</t>
        </is>
      </c>
    </row>
    <row r="1597">
      <c r="A1597" t="inlineStr">
        <is>
          <t>/Lotus/Types/Items/Eidolon/AnimalTagVampireKavatCommon</t>
        </is>
      </c>
      <c r="B1597" t="inlineStr">
        <is>
          <t>Ostia Vasca Kavat Tag</t>
        </is>
      </c>
      <c r="C1597" t="inlineStr">
        <is>
          <t>https://wiki.warframe.com/w/Vasca_Kavat</t>
        </is>
      </c>
      <c r="D1597" t="inlineStr">
        <is>
          <t>ExportResources</t>
        </is>
      </c>
      <c r="F1597" t="inlineStr">
        <is>
          <t>Ostia Vasca Kavat Tag</t>
        </is>
      </c>
      <c r="G1597" t="inlineStr">
        <is>
          <t>Ostia Vasca Kavat Tag</t>
        </is>
      </c>
      <c r="H1597" t="inlineStr">
        <is>
          <t>Has a game name, but we never matched it to a wiki page.</t>
        </is>
      </c>
      <c r="I1597" t="inlineStr">
        <is>
          <t>Resources</t>
        </is>
      </c>
      <c r="J1597" t="inlineStr">
        <is>
          <t>Resources_data</t>
        </is>
      </c>
      <c r="K1597" t="inlineStr">
        <is>
          <t>Resources/data</t>
        </is>
      </c>
      <c r="L1597" t="inlineStr">
        <is>
          <t>listed, no place</t>
        </is>
      </c>
      <c r="M1597" t="inlineStr">
        <is>
          <t>Capture a Ostia Vasca Kavat through Conservation in the Plains of Eidolon.</t>
        </is>
      </c>
      <c r="N1597" t="inlineStr">
        <is>
          <t>Loyal Retriever</t>
        </is>
      </c>
      <c r="O1597" t="inlineStr">
        <is>
          <t>There is a wiki page that mentions this name, but that page never says where you get the item.</t>
        </is>
      </c>
    </row>
    <row r="1598">
      <c r="A1598" t="inlineStr">
        <is>
          <t>/Lotus/Types/Items/ShipDecos/LisetPropOstRugBlue</t>
        </is>
      </c>
      <c r="B1598" t="inlineStr">
        <is>
          <t>Ostron Blau Rug</t>
        </is>
      </c>
      <c r="D1598" t="inlineStr">
        <is>
          <t>ExportResources</t>
        </is>
      </c>
      <c r="F1598" t="inlineStr">
        <is>
          <t>Ostron Blau Rug</t>
        </is>
      </c>
      <c r="H1598" t="inlineStr">
        <is>
          <t>Has a game name, but we never matched it to a wiki page.</t>
        </is>
      </c>
      <c r="I1598" t="inlineStr">
        <is>
          <t>Resources</t>
        </is>
      </c>
      <c r="M1598" t="inlineStr">
        <is>
          <t>Market in the Ostron Rug Collection for 135 Platinum.</t>
        </is>
      </c>
      <c r="O1598" t="inlineStr">
        <is>
          <t>No wiki page uses this exact name.</t>
        </is>
      </c>
    </row>
    <row r="1599">
      <c r="A1599" t="inlineStr">
        <is>
          <t>/Lotus/Types/Items/ShipDecos/LisetPropOstRugOrange</t>
        </is>
      </c>
      <c r="B1599" t="inlineStr">
        <is>
          <t>Ostron Oraggu Rug</t>
        </is>
      </c>
      <c r="D1599" t="inlineStr">
        <is>
          <t>ExportResources</t>
        </is>
      </c>
      <c r="F1599" t="inlineStr">
        <is>
          <t>Ostron Oraggu Rug</t>
        </is>
      </c>
      <c r="H1599" t="inlineStr">
        <is>
          <t>Has a game name, but we never matched it to a wiki page.</t>
        </is>
      </c>
      <c r="I1599" t="inlineStr">
        <is>
          <t>Resources</t>
        </is>
      </c>
      <c r="M1599" t="inlineStr">
        <is>
          <t>Market in the Ostron Rug Collection for 135 Platinum.</t>
        </is>
      </c>
      <c r="O1599" t="inlineStr">
        <is>
          <t>No wiki page uses this exact name.</t>
        </is>
      </c>
    </row>
    <row r="1600">
      <c r="A1600" t="inlineStr">
        <is>
          <t>/Lotus/Types/Items/ShipDecos/LisetPropOstRugRed</t>
        </is>
      </c>
      <c r="B1600" t="inlineStr">
        <is>
          <t>Ostron Rahd Rug</t>
        </is>
      </c>
      <c r="D1600" t="inlineStr">
        <is>
          <t>ExportResources</t>
        </is>
      </c>
      <c r="F1600" t="inlineStr">
        <is>
          <t>Ostron Rahd Rug</t>
        </is>
      </c>
      <c r="H1600" t="inlineStr">
        <is>
          <t>Has a game name, but we never matched it to a wiki page.</t>
        </is>
      </c>
      <c r="I1600" t="inlineStr">
        <is>
          <t>Resources</t>
        </is>
      </c>
      <c r="M1600" t="inlineStr">
        <is>
          <t>Market in the Ostron Rug Collection for 135 Platinum.</t>
        </is>
      </c>
      <c r="O1600" t="inlineStr">
        <is>
          <t>No wiki page uses this exact name.</t>
        </is>
      </c>
    </row>
    <row r="1601">
      <c r="A1601" t="inlineStr">
        <is>
          <t>/Lotus/Types/Items/ShipDecos/LisetPropOstRugGreen</t>
        </is>
      </c>
      <c r="B1601" t="inlineStr">
        <is>
          <t>Ostron Verru Rug</t>
        </is>
      </c>
      <c r="D1601" t="inlineStr">
        <is>
          <t>ExportResources</t>
        </is>
      </c>
      <c r="F1601" t="inlineStr">
        <is>
          <t>Ostron Verru Rug</t>
        </is>
      </c>
      <c r="H1601" t="inlineStr">
        <is>
          <t>Has a game name, but we never matched it to a wiki page.</t>
        </is>
      </c>
      <c r="I1601" t="inlineStr">
        <is>
          <t>Resources</t>
        </is>
      </c>
      <c r="M1601" t="inlineStr">
        <is>
          <t>Market in the Ostron Rug Collection for 135 Platinum.</t>
        </is>
      </c>
      <c r="O1601" t="inlineStr">
        <is>
          <t>No wiki page uses this exact name.</t>
        </is>
      </c>
    </row>
    <row r="1602">
      <c r="A1602" t="inlineStr">
        <is>
          <t>/Lotus/Types/Items/ShipDecos/LisetPropOstRugYellow</t>
        </is>
      </c>
      <c r="B1602" t="inlineStr">
        <is>
          <t>Ostron Yollau Rug</t>
        </is>
      </c>
      <c r="D1602" t="inlineStr">
        <is>
          <t>ExportResources</t>
        </is>
      </c>
      <c r="F1602" t="inlineStr">
        <is>
          <t>Ostron Yollau Rug</t>
        </is>
      </c>
      <c r="H1602" t="inlineStr">
        <is>
          <t>Has a game name, but we never matched it to a wiki page.</t>
        </is>
      </c>
      <c r="I1602" t="inlineStr">
        <is>
          <t>Resources</t>
        </is>
      </c>
      <c r="M1602" t="inlineStr">
        <is>
          <t>Market in the Ostron Rug Collection for 135 Platinum.</t>
        </is>
      </c>
      <c r="O1602" t="inlineStr">
        <is>
          <t>No wiki page uses this exact name.</t>
        </is>
      </c>
    </row>
    <row r="1603">
      <c r="A1603" t="inlineStr">
        <is>
          <t>/Lotus/Types/Items/ShipDecos/Vignettes/Enemies/ArachnoidCamperAFItem</t>
        </is>
      </c>
      <c r="B1603" t="inlineStr">
        <is>
          <t>Profit-Taker Orb Articula</t>
        </is>
      </c>
      <c r="C1603" t="inlineStr">
        <is>
          <t>https://wiki.warframe.com/w/Decorations/Orbiter_Decorations</t>
        </is>
      </c>
      <c r="D1603" t="inlineStr">
        <is>
          <t>ExportResources</t>
        </is>
      </c>
      <c r="F1603" t="inlineStr">
        <is>
          <t>Profit-Taker Orb Articula</t>
        </is>
      </c>
      <c r="H1603" t="inlineStr">
        <is>
          <t>Has a game name, but we never matched it to a wiki page.</t>
        </is>
      </c>
      <c r="I1603" t="inlineStr">
        <is>
          <t>Resources</t>
        </is>
      </c>
      <c r="M1603" t="inlineStr">
        <is>
          <t>Rare drop from the Profit-Taker Orb.</t>
        </is>
      </c>
      <c r="N1603" t="inlineStr">
        <is>
          <t>Decorations/Orbiter Decorations | Update 24</t>
        </is>
      </c>
      <c r="O1603" t="inlineStr">
        <is>
          <t>There is a wiki page that mentions this name, but that page never says where you get the item.</t>
        </is>
      </c>
    </row>
    <row r="1604">
      <c r="A1604" t="inlineStr">
        <is>
          <t>/Lotus/Types/Items/ShipDecos/Leverian/LisetPropMuralShyur</t>
        </is>
      </c>
      <c r="B1604" t="inlineStr">
        <is>
          <t>Raksh’s Leverian Mural</t>
        </is>
      </c>
      <c r="D1604" t="inlineStr">
        <is>
          <t>ExportResources</t>
        </is>
      </c>
      <c r="F1604" t="inlineStr">
        <is>
          <t>Raksh’s Leverian Mural</t>
        </is>
      </c>
      <c r="H1604" t="inlineStr">
        <is>
          <t>Has a game name, but we never matched it to a wiki page.</t>
        </is>
      </c>
      <c r="I1604" t="inlineStr">
        <is>
          <t>Resources</t>
        </is>
      </c>
      <c r="M1604" t="inlineStr">
        <is>
          <t>Market for 35 Platinum.</t>
        </is>
      </c>
      <c r="O1604" t="inlineStr">
        <is>
          <t>No wiki page uses this exact name.</t>
        </is>
      </c>
    </row>
    <row r="1605">
      <c r="A1605" t="inlineStr">
        <is>
          <t>/Lotus/Types/Items/Solaris/AnimalTagVirminkRare</t>
        </is>
      </c>
      <c r="B1605" t="inlineStr">
        <is>
          <t>Red-Crested Virmink Tag</t>
        </is>
      </c>
      <c r="D1605" t="inlineStr">
        <is>
          <t>ExportResources</t>
        </is>
      </c>
      <c r="F1605" t="inlineStr">
        <is>
          <t>Red-Crested Virmink Tag</t>
        </is>
      </c>
      <c r="G1605" t="inlineStr">
        <is>
          <t>Red-Crested Virmink Tag</t>
        </is>
      </c>
      <c r="H1605" t="inlineStr">
        <is>
          <t>Has a game name, but we never matched it to a wiki page.</t>
        </is>
      </c>
      <c r="I1605" t="inlineStr">
        <is>
          <t>Resources</t>
        </is>
      </c>
      <c r="J1605" t="inlineStr">
        <is>
          <t>Resources_data</t>
        </is>
      </c>
      <c r="K1605" t="inlineStr">
        <is>
          <t>Resources/data</t>
        </is>
      </c>
      <c r="L1605" t="inlineStr">
        <is>
          <t>listed, no place</t>
        </is>
      </c>
      <c r="M1605" t="inlineStr">
        <is>
          <t>Capture a Red-Crested Virmink through Conservation in the Orb Vallis.</t>
        </is>
      </c>
      <c r="O1605" t="inlineStr">
        <is>
          <t>No wiki page uses this exact name.</t>
        </is>
      </c>
    </row>
    <row r="1606">
      <c r="A1606" t="inlineStr">
        <is>
          <t>/Lotus/Types/Items/ShipDecos/Props/LisetPropDUVxFractalItem</t>
        </is>
      </c>
      <c r="B1606" t="inlineStr">
        <is>
          <t>Runic Compact Decoration</t>
        </is>
      </c>
      <c r="D1606" t="inlineStr">
        <is>
          <t>ExportResources</t>
        </is>
      </c>
      <c r="F1606" t="inlineStr">
        <is>
          <t>Runic Compact Decoration</t>
        </is>
      </c>
      <c r="H1606" t="inlineStr">
        <is>
          <t>Has a game name, but we never matched it to a wiki page.</t>
        </is>
      </c>
      <c r="I1606" t="inlineStr">
        <is>
          <t>Resources</t>
        </is>
      </c>
      <c r="M1606" t="inlineStr">
        <is>
          <t>Acrithis's rotating wares in Duviri or the Dormizone.</t>
        </is>
      </c>
      <c r="O1606" t="inlineStr">
        <is>
          <t>No wiki page uses this exact name.</t>
        </is>
      </c>
    </row>
    <row r="1607">
      <c r="A1607" t="inlineStr">
        <is>
          <t>/Lotus/Types/Items/SongItems/NightwaveRunningLateSongItem</t>
        </is>
      </c>
      <c r="B1607" t="inlineStr">
        <is>
          <t>Running Late</t>
        </is>
      </c>
      <c r="C1607" t="inlineStr">
        <is>
          <t>https://wiki.warframe.com/w/Running_Late</t>
        </is>
      </c>
      <c r="D1607" t="inlineStr">
        <is>
          <t>ExportResources</t>
        </is>
      </c>
      <c r="F1607" t="inlineStr">
        <is>
          <t>Running Late</t>
        </is>
      </c>
      <c r="G1607" t="inlineStr">
        <is>
          <t>Running Late</t>
        </is>
      </c>
      <c r="H1607" t="inlineStr">
        <is>
          <t>We know the wiki page name, but we never saved the 'where to get it' text from that page.</t>
        </is>
      </c>
      <c r="I1607" t="inlineStr">
        <is>
          <t>Resources</t>
        </is>
      </c>
      <c r="M1607" t="inlineStr">
        <is>
          <t>Amir for 5,000 Standing.</t>
        </is>
      </c>
      <c r="N1607" t="inlineStr">
        <is>
          <t>Running Late | Fables &amp; Frontiers/Quotes | Update 43: Jade Shadows: Constellations</t>
        </is>
      </c>
      <c r="O1607" t="inlineStr">
        <is>
          <t>The official soundtrack page describes the song but gives no Somachord or item acquisition.</t>
        </is>
      </c>
    </row>
    <row r="1608">
      <c r="A1608" t="inlineStr">
        <is>
          <t>/Lotus/Types/Items/SongItems/SacredLightSongItem</t>
        </is>
      </c>
      <c r="B1608" t="inlineStr">
        <is>
          <t>Sacred Light</t>
        </is>
      </c>
      <c r="C1608" t="inlineStr">
        <is>
          <t>https://wiki.warframe.com/w/Sacred_Light</t>
        </is>
      </c>
      <c r="D1608" t="inlineStr">
        <is>
          <t>ExportResources</t>
        </is>
      </c>
      <c r="F1608" t="inlineStr">
        <is>
          <t>Sacred Light</t>
        </is>
      </c>
      <c r="G1608" t="inlineStr">
        <is>
          <t>Sacred Light</t>
        </is>
      </c>
      <c r="H1608" t="inlineStr">
        <is>
          <t>We know the wiki page name, but we never saved the 'where to get it' text from that page.</t>
        </is>
      </c>
      <c r="I1608" t="inlineStr">
        <is>
          <t>Resources</t>
        </is>
      </c>
      <c r="M1608" t="inlineStr">
        <is>
          <t>Pontis Tower for 60 Emerald Talent.</t>
        </is>
      </c>
      <c r="N1608" t="inlineStr">
        <is>
          <t>Sacred Light | Deepest Dark</t>
        </is>
      </c>
      <c r="O1608" t="inlineStr">
        <is>
          <t>The official soundtrack page contains only a commented acquisition stub and no real acquisition text.</t>
        </is>
      </c>
    </row>
    <row r="1609">
      <c r="A1609" t="inlineStr">
        <is>
          <t>/Lotus/Types/Recipes/Weapons/WeaponParts/SagekPrimeStock</t>
        </is>
      </c>
      <c r="B1609" t="inlineStr">
        <is>
          <t>Sagek Prime Stock</t>
        </is>
      </c>
      <c r="D1609" t="inlineStr">
        <is>
          <t>ExportResources</t>
        </is>
      </c>
      <c r="F1609" t="inlineStr">
        <is>
          <t>Sagek Prime Stock</t>
        </is>
      </c>
      <c r="H1609" t="inlineStr">
        <is>
          <t>Has a game name, but we never matched it to a wiki page.</t>
        </is>
      </c>
      <c r="I1609" t="inlineStr">
        <is>
          <t>Resources</t>
        </is>
      </c>
      <c r="M1609" t="inlineStr">
        <is>
          <t>The Perita Rebellion Rotation A, or Roathe for 25 Maphica.</t>
        </is>
      </c>
      <c r="O1609" t="inlineStr">
        <is>
          <t>No wiki page uses this exact name.</t>
        </is>
      </c>
    </row>
    <row r="1610">
      <c r="A1610" t="inlineStr">
        <is>
          <t>/Lotus/Types/Items/ShipDecos/Props/LisetPropDuviriProcessedItemContainer</t>
        </is>
      </c>
      <c r="B1610" t="inlineStr">
        <is>
          <t>Saggen Well Decoration</t>
        </is>
      </c>
      <c r="C1610" t="inlineStr">
        <is>
          <t>https://wiki.warframe.com/w/Decorations</t>
        </is>
      </c>
      <c r="D1610" t="inlineStr">
        <is>
          <t>ExportResources</t>
        </is>
      </c>
      <c r="F1610" t="inlineStr">
        <is>
          <t>Saggen Well Decoration</t>
        </is>
      </c>
      <c r="H1610" t="inlineStr">
        <is>
          <t>Has a game name, but we never matched it to a wiki page.</t>
        </is>
      </c>
      <c r="I1610" t="inlineStr">
        <is>
          <t>Resources</t>
        </is>
      </c>
      <c r="M1610" t="inlineStr">
        <is>
          <t>Acrithis's rotating wares in Duviri or the Dormizone.</t>
        </is>
      </c>
      <c r="N1610" t="inlineStr">
        <is>
          <t>Decorations</t>
        </is>
      </c>
      <c r="O1610" t="inlineStr">
        <is>
          <t>There is a wiki page that mentions this name, but that page never says where you get the item.</t>
        </is>
      </c>
    </row>
    <row r="1611">
      <c r="A1611" t="inlineStr">
        <is>
          <t>/Lotus/Types/Items/Solaris/AnimalTagStoverCommon</t>
        </is>
      </c>
      <c r="B1611" t="inlineStr">
        <is>
          <t>Sentinel Stover Tag</t>
        </is>
      </c>
      <c r="C1611" t="inlineStr">
        <is>
          <t>https://wiki.warframe.com/w/Stover</t>
        </is>
      </c>
      <c r="D1611" t="inlineStr">
        <is>
          <t>ExportResources</t>
        </is>
      </c>
      <c r="F1611" t="inlineStr">
        <is>
          <t>Sentinel Stover Tag</t>
        </is>
      </c>
      <c r="G1611" t="inlineStr">
        <is>
          <t>Sentinel Stover Tag</t>
        </is>
      </c>
      <c r="H1611" t="inlineStr">
        <is>
          <t>Has a game name, but we never matched it to a wiki page.</t>
        </is>
      </c>
      <c r="I1611" t="inlineStr">
        <is>
          <t>Resources</t>
        </is>
      </c>
      <c r="J1611" t="inlineStr">
        <is>
          <t>Resources_data</t>
        </is>
      </c>
      <c r="K1611" t="inlineStr">
        <is>
          <t>Resources/data</t>
        </is>
      </c>
      <c r="L1611" t="inlineStr">
        <is>
          <t>listed, no place</t>
        </is>
      </c>
      <c r="M1611" t="inlineStr">
        <is>
          <t>Capture a Sentinel Stover through Conservation in the Orb Vallis.</t>
        </is>
      </c>
      <c r="N1611" t="inlineStr">
        <is>
          <t>Prosperous Retriever</t>
        </is>
      </c>
      <c r="O1611" t="inlineStr">
        <is>
          <t>There is a wiki page that mentions this name, but that page never says where you get the item.</t>
        </is>
      </c>
    </row>
    <row r="1612">
      <c r="A1612" t="inlineStr">
        <is>
          <t>/Lotus/Types/Items/ShipDecos/LisetPropSimarisOfferings</t>
        </is>
      </c>
      <c r="B1612" t="inlineStr">
        <is>
          <t>Simaris Offerings Replica Console</t>
        </is>
      </c>
      <c r="D1612" t="inlineStr">
        <is>
          <t>ExportResources</t>
        </is>
      </c>
      <c r="F1612" t="inlineStr">
        <is>
          <t>Simaris Offerings Replica Console</t>
        </is>
      </c>
      <c r="H1612" t="inlineStr">
        <is>
          <t>Has a game name, but we never matched it to a wiki page.</t>
        </is>
      </c>
      <c r="I1612" t="inlineStr">
        <is>
          <t>Resources</t>
        </is>
      </c>
      <c r="M1612" t="inlineStr">
        <is>
          <t>Cephalon Simaris for 20,000 Standing.</t>
        </is>
      </c>
      <c r="O1612" t="inlineStr">
        <is>
          <t>No wiki page uses this exact name.</t>
        </is>
      </c>
    </row>
    <row r="1613">
      <c r="A1613" t="inlineStr">
        <is>
          <t>/Lotus/Types/Items/ShipDecos/LisetPropSimarisResearch</t>
        </is>
      </c>
      <c r="B1613" t="inlineStr">
        <is>
          <t>Simaris Research Replica Console</t>
        </is>
      </c>
      <c r="D1613" t="inlineStr">
        <is>
          <t>ExportResources</t>
        </is>
      </c>
      <c r="F1613" t="inlineStr">
        <is>
          <t>Simaris Research Replica Console</t>
        </is>
      </c>
      <c r="H1613" t="inlineStr">
        <is>
          <t>Has a game name, but we never matched it to a wiki page.</t>
        </is>
      </c>
      <c r="I1613" t="inlineStr">
        <is>
          <t>Resources</t>
        </is>
      </c>
      <c r="M1613" t="inlineStr">
        <is>
          <t>Cephalon Simaris for 20,000 Standing.</t>
        </is>
      </c>
      <c r="O1613" t="inlineStr">
        <is>
          <t>No wiki page uses this exact name.</t>
        </is>
      </c>
    </row>
    <row r="1614">
      <c r="A1614" t="inlineStr">
        <is>
          <t>/Lotus/Types/Items/Eidolon/AnimalTagMergooRare</t>
        </is>
      </c>
      <c r="B1614" t="inlineStr">
        <is>
          <t>Splendid Mergoo Tag</t>
        </is>
      </c>
      <c r="C1614" t="inlineStr">
        <is>
          <t>https://wiki.warframe.com/w/Mergoo</t>
        </is>
      </c>
      <c r="D1614" t="inlineStr">
        <is>
          <t>ExportResources</t>
        </is>
      </c>
      <c r="F1614" t="inlineStr">
        <is>
          <t>Splendid Mergoo Tag</t>
        </is>
      </c>
      <c r="G1614" t="inlineStr">
        <is>
          <t>Splendid Mergoo Tag</t>
        </is>
      </c>
      <c r="H1614" t="inlineStr">
        <is>
          <t>Has a game name, but we never matched it to a wiki page.</t>
        </is>
      </c>
      <c r="I1614" t="inlineStr">
        <is>
          <t>Resources</t>
        </is>
      </c>
      <c r="J1614" t="inlineStr">
        <is>
          <t>Resources_data</t>
        </is>
      </c>
      <c r="K1614" t="inlineStr">
        <is>
          <t>Resources/data</t>
        </is>
      </c>
      <c r="L1614" t="inlineStr">
        <is>
          <t>listed, no place</t>
        </is>
      </c>
      <c r="M1614" t="inlineStr">
        <is>
          <t>Capture a Splendid Mergoo through Conservation in the Plains of Eidolon.</t>
        </is>
      </c>
      <c r="N1614" t="inlineStr">
        <is>
          <t>Mergoo</t>
        </is>
      </c>
      <c r="O1614" t="inlineStr">
        <is>
          <t>There is a wiki page that mentions this name, but that page never says where you get the item.</t>
        </is>
      </c>
    </row>
    <row r="1615">
      <c r="A1615" t="inlineStr">
        <is>
          <t>/Lotus/Types/Items/Solaris/AnimalTagBolarolaCommon</t>
        </is>
      </c>
      <c r="B1615" t="inlineStr">
        <is>
          <t>Spotted Bolarola Tag</t>
        </is>
      </c>
      <c r="C1615" t="inlineStr">
        <is>
          <t>https://wiki.warframe.com/w/Bolarola</t>
        </is>
      </c>
      <c r="D1615" t="inlineStr">
        <is>
          <t>ExportResources</t>
        </is>
      </c>
      <c r="F1615" t="inlineStr">
        <is>
          <t>Spotted Bolarola Tag</t>
        </is>
      </c>
      <c r="G1615" t="inlineStr">
        <is>
          <t>Spotted Bolarola Tag</t>
        </is>
      </c>
      <c r="H1615" t="inlineStr">
        <is>
          <t>Has a game name, but we never matched it to a wiki page.</t>
        </is>
      </c>
      <c r="I1615" t="inlineStr">
        <is>
          <t>Resources</t>
        </is>
      </c>
      <c r="J1615" t="inlineStr">
        <is>
          <t>Resources_data</t>
        </is>
      </c>
      <c r="K1615" t="inlineStr">
        <is>
          <t>Resources/data</t>
        </is>
      </c>
      <c r="L1615" t="inlineStr">
        <is>
          <t>listed, no place</t>
        </is>
      </c>
      <c r="M1615" t="inlineStr">
        <is>
          <t>Capture a Spotted Bolarola through Conservation in the Orb Vallis.</t>
        </is>
      </c>
      <c r="N1615" t="inlineStr">
        <is>
          <t>Prosperous Retriever</t>
        </is>
      </c>
      <c r="O1615" t="inlineStr">
        <is>
          <t>There is a wiki page that mentions this name, but that page never says where you get the item.</t>
        </is>
      </c>
    </row>
    <row r="1616">
      <c r="A1616" t="inlineStr">
        <is>
          <t>/Lotus/Types/Items/ShipDecos/Plushies/PlushyNokkoMushroom</t>
        </is>
      </c>
      <c r="B1616" t="inlineStr">
        <is>
          <t>Sprodling Floof</t>
        </is>
      </c>
      <c r="D1616" t="inlineStr">
        <is>
          <t>ExportResources</t>
        </is>
      </c>
      <c r="F1616" t="inlineStr">
        <is>
          <t>Sprodling Floof</t>
        </is>
      </c>
      <c r="H1616" t="inlineStr">
        <is>
          <t>Has a game name, but we never matched it to a wiki page.</t>
        </is>
      </c>
      <c r="I1616" t="inlineStr">
        <is>
          <t>Resources</t>
        </is>
      </c>
      <c r="M1616" t="inlineStr">
        <is>
          <t>Market for 35 Platinum.</t>
        </is>
      </c>
      <c r="O1616" t="inlineStr">
        <is>
          <t>No wiki page uses this exact name.</t>
        </is>
      </c>
    </row>
    <row r="1617">
      <c r="A1617" t="inlineStr">
        <is>
          <t>/Lotus/Types/Items/ShipDecos/OrokinFelisBobbleHead</t>
        </is>
      </c>
      <c r="B1617" t="inlineStr">
        <is>
          <t>Statuette - Kuria</t>
        </is>
      </c>
      <c r="D1617" t="inlineStr">
        <is>
          <t>ExportResources</t>
        </is>
      </c>
      <c r="F1617" t="inlineStr">
        <is>
          <t>Statuette - Kuria</t>
        </is>
      </c>
      <c r="H1617" t="inlineStr">
        <is>
          <t>Has a game name, but we never matched it to a wiki page.</t>
        </is>
      </c>
      <c r="I1617" t="inlineStr">
        <is>
          <t>Resources</t>
        </is>
      </c>
      <c r="M1617" t="inlineStr">
        <is>
          <t>Scan all 56 Kuria.</t>
        </is>
      </c>
      <c r="O1617" t="inlineStr">
        <is>
          <t>No wiki page uses this exact name.</t>
        </is>
      </c>
    </row>
    <row r="1618">
      <c r="A1618" t="inlineStr">
        <is>
          <t>/Lotus/Types/Items/ShipDecos/WraithQuestRewardDeco</t>
        </is>
      </c>
      <c r="B1618" t="inlineStr">
        <is>
          <t xml:space="preserve">Statuette - Sevagoth </t>
        </is>
      </c>
      <c r="D1618" t="inlineStr">
        <is>
          <t>ExportResources</t>
        </is>
      </c>
      <c r="F1618" t="inlineStr">
        <is>
          <t xml:space="preserve">Statuette - Sevagoth </t>
        </is>
      </c>
      <c r="H1618" t="inlineStr">
        <is>
          <t>Has a game name, but we never matched it to a wiki page.</t>
        </is>
      </c>
      <c r="I1618" t="inlineStr">
        <is>
          <t>Resources</t>
        </is>
      </c>
      <c r="M1618" t="inlineStr">
        <is>
          <t>Complete the Call of the Tempestarii quest.</t>
        </is>
      </c>
      <c r="O1618" t="inlineStr">
        <is>
          <t>No wiki page uses this exact name.</t>
        </is>
      </c>
    </row>
    <row r="1619">
      <c r="A1619" t="inlineStr">
        <is>
          <t>/Lotus/Types/Items/ShipDecos/LisetPropOstStoneFish</t>
        </is>
      </c>
      <c r="B1619" t="inlineStr">
        <is>
          <t xml:space="preserve">Statuette - Thousand-Year Fish </t>
        </is>
      </c>
      <c r="D1619" t="inlineStr">
        <is>
          <t>ExportResources</t>
        </is>
      </c>
      <c r="F1619" t="inlineStr">
        <is>
          <t xml:space="preserve">Statuette - Thousand-Year Fish </t>
        </is>
      </c>
      <c r="H1619" t="inlineStr">
        <is>
          <t>Has a game name, but we never matched it to a wiki page.</t>
        </is>
      </c>
      <c r="I1619" t="inlineStr">
        <is>
          <t>Resources</t>
        </is>
      </c>
      <c r="M1619" t="inlineStr">
        <is>
          <t>Scan all 20 Thousand-Year Fish in the Plains of Eidolon.</t>
        </is>
      </c>
      <c r="O1619" t="inlineStr">
        <is>
          <t>No wiki page uses this exact name.</t>
        </is>
      </c>
    </row>
    <row r="1620">
      <c r="A1620" t="inlineStr">
        <is>
          <t>/Lotus/Types/Items/Solaris/AnimalTagPobbersRare</t>
        </is>
      </c>
      <c r="B1620" t="inlineStr">
        <is>
          <t>Subterranean Pobber Tag</t>
        </is>
      </c>
      <c r="D1620" t="inlineStr">
        <is>
          <t>ExportResources</t>
        </is>
      </c>
      <c r="F1620" t="inlineStr">
        <is>
          <t>Subterranean Pobber Tag</t>
        </is>
      </c>
      <c r="G1620" t="inlineStr">
        <is>
          <t>Subterranean Pobber Tag</t>
        </is>
      </c>
      <c r="H1620" t="inlineStr">
        <is>
          <t>Has a game name, but we never matched it to a wiki page.</t>
        </is>
      </c>
      <c r="I1620" t="inlineStr">
        <is>
          <t>Resources</t>
        </is>
      </c>
      <c r="J1620" t="inlineStr">
        <is>
          <t>Resources_data</t>
        </is>
      </c>
      <c r="K1620" t="inlineStr">
        <is>
          <t>Resources/data</t>
        </is>
      </c>
      <c r="L1620" t="inlineStr">
        <is>
          <t>listed, no place</t>
        </is>
      </c>
      <c r="M1620" t="inlineStr">
        <is>
          <t>Capture a Subterranean Pobber through Conservation in the Orb Vallis.</t>
        </is>
      </c>
      <c r="O1620" t="inlineStr">
        <is>
          <t>No wiki page uses this exact name.</t>
        </is>
      </c>
    </row>
    <row r="1621">
      <c r="A1621" t="inlineStr">
        <is>
          <t>/Lotus/Types/Items/ShipDecos/Plants/LisetPropDUVxGardeningPlantEGrown</t>
        </is>
      </c>
      <c r="B1621" t="inlineStr">
        <is>
          <t>Sun Silph Decoration</t>
        </is>
      </c>
      <c r="D1621" t="inlineStr">
        <is>
          <t>ExportResources</t>
        </is>
      </c>
      <c r="F1621" t="inlineStr">
        <is>
          <t>Sun Silph Decoration</t>
        </is>
      </c>
      <c r="H1621" t="inlineStr">
        <is>
          <t>Has a game name, but we never matched it to a wiki page.</t>
        </is>
      </c>
      <c r="I1621" t="inlineStr">
        <is>
          <t>Resources</t>
        </is>
      </c>
      <c r="M1621" t="inlineStr">
        <is>
          <t>Acrithis's rotating wares in Duviri or the Dormizone.</t>
        </is>
      </c>
      <c r="O1621" t="inlineStr">
        <is>
          <t>No wiki page uses this exact name.</t>
        </is>
      </c>
    </row>
    <row r="1622">
      <c r="A1622" t="inlineStr">
        <is>
          <t>/Lotus/Types/Items/ShipDecos/Plants/Nokko/LisetPropGftPlantLilyDayGrpA</t>
        </is>
      </c>
      <c r="B1622" t="inlineStr">
        <is>
          <t>Sunlight Dragonlily Decoration</t>
        </is>
      </c>
      <c r="D1622" t="inlineStr">
        <is>
          <t>ExportResources</t>
        </is>
      </c>
      <c r="F1622" t="inlineStr">
        <is>
          <t>Sunlight Dragonlily Decoration</t>
        </is>
      </c>
      <c r="H1622" t="inlineStr">
        <is>
          <t>Has a game name, but we never matched it to a wiki page.</t>
        </is>
      </c>
      <c r="I1622" t="inlineStr">
        <is>
          <t>Resources</t>
        </is>
      </c>
      <c r="M1622" t="inlineStr">
        <is>
          <t>Nightcap's Nursery for 10 Fergolyte.</t>
        </is>
      </c>
      <c r="O1622" t="inlineStr">
        <is>
          <t>No wiki page uses this exact name.</t>
        </is>
      </c>
    </row>
    <row r="1623">
      <c r="A1623" t="inlineStr">
        <is>
          <t>/Lotus/Types/Items/Solaris/AnimalTagPobbersCommon</t>
        </is>
      </c>
      <c r="B1623" t="inlineStr">
        <is>
          <t>Sunny Pobber Tag</t>
        </is>
      </c>
      <c r="C1623" t="inlineStr">
        <is>
          <t>https://wiki.warframe.com/w/Pobber</t>
        </is>
      </c>
      <c r="D1623" t="inlineStr">
        <is>
          <t>ExportResources</t>
        </is>
      </c>
      <c r="F1623" t="inlineStr">
        <is>
          <t>Sunny Pobber Tag</t>
        </is>
      </c>
      <c r="G1623" t="inlineStr">
        <is>
          <t>Sunny Pobber Tag</t>
        </is>
      </c>
      <c r="H1623" t="inlineStr">
        <is>
          <t>Has a game name, but we never matched it to a wiki page.</t>
        </is>
      </c>
      <c r="I1623" t="inlineStr">
        <is>
          <t>Resources</t>
        </is>
      </c>
      <c r="J1623" t="inlineStr">
        <is>
          <t>Resources_data</t>
        </is>
      </c>
      <c r="K1623" t="inlineStr">
        <is>
          <t>Resources/data</t>
        </is>
      </c>
      <c r="L1623" t="inlineStr">
        <is>
          <t>listed, no place</t>
        </is>
      </c>
      <c r="M1623" t="inlineStr">
        <is>
          <t>Capture a Sunny Pobber through Conservation in the Orb Vallis.</t>
        </is>
      </c>
      <c r="N1623" t="inlineStr">
        <is>
          <t>Prosperous Retriever</t>
        </is>
      </c>
      <c r="O1623" t="inlineStr">
        <is>
          <t>There is a wiki page that mentions this name, but that page never says where you get the item.</t>
        </is>
      </c>
    </row>
    <row r="1624">
      <c r="A1624" t="inlineStr">
        <is>
          <t>/Lotus/Types/Items/Solaris/AnimalTagHorrasqueUncommon</t>
        </is>
      </c>
      <c r="B1624" t="inlineStr">
        <is>
          <t>Swimmer Horrasque Tag</t>
        </is>
      </c>
      <c r="D1624" t="inlineStr">
        <is>
          <t>ExportResources</t>
        </is>
      </c>
      <c r="F1624" t="inlineStr">
        <is>
          <t>Swimmer Horrasque Tag</t>
        </is>
      </c>
      <c r="G1624" t="inlineStr">
        <is>
          <t>Swimmer Horrasque Tag</t>
        </is>
      </c>
      <c r="H1624" t="inlineStr">
        <is>
          <t>Has a game name, but we never matched it to a wiki page.</t>
        </is>
      </c>
      <c r="I1624" t="inlineStr">
        <is>
          <t>Resources</t>
        </is>
      </c>
      <c r="J1624" t="inlineStr">
        <is>
          <t>Resources_data</t>
        </is>
      </c>
      <c r="K1624" t="inlineStr">
        <is>
          <t>Resources/data</t>
        </is>
      </c>
      <c r="L1624" t="inlineStr">
        <is>
          <t>listed, no place</t>
        </is>
      </c>
      <c r="M1624" t="inlineStr">
        <is>
          <t>Capture a Swimmer Horrasque through Conservation in the Orb Vallis.</t>
        </is>
      </c>
      <c r="O1624" t="inlineStr">
        <is>
          <t>No wiki page uses this exact name.</t>
        </is>
      </c>
    </row>
    <row r="1625">
      <c r="A1625" t="inlineStr">
        <is>
          <t>/Lotus/Types/Items/ShipDecos/Plushies/DeerPlush</t>
        </is>
      </c>
      <c r="B1625" t="inlineStr">
        <is>
          <t>Tagfer Floof</t>
        </is>
      </c>
      <c r="D1625" t="inlineStr">
        <is>
          <t>ExportResources</t>
        </is>
      </c>
      <c r="F1625" t="inlineStr">
        <is>
          <t>Tagfer Floof</t>
        </is>
      </c>
      <c r="H1625" t="inlineStr">
        <is>
          <t>Has a game name, but we never matched it to a wiki page.</t>
        </is>
      </c>
      <c r="I1625" t="inlineStr">
        <is>
          <t>Resources</t>
        </is>
      </c>
      <c r="M1625" t="inlineStr">
        <is>
          <t>Market for 35 Platinum.</t>
        </is>
      </c>
      <c r="O1625" t="inlineStr">
        <is>
          <t>No wiki page uses this exact name.</t>
        </is>
      </c>
    </row>
    <row r="1626">
      <c r="A1626" t="inlineStr">
        <is>
          <t>/Lotus/Types/Items/ShipDecos/Plants/LisetPropDuvxDuviriMushroomItem2m</t>
        </is>
      </c>
      <c r="B1626" t="inlineStr">
        <is>
          <t>Tasoma Decoration</t>
        </is>
      </c>
      <c r="D1626" t="inlineStr">
        <is>
          <t>ExportResources</t>
        </is>
      </c>
      <c r="F1626" t="inlineStr">
        <is>
          <t>Tasoma Decoration</t>
        </is>
      </c>
      <c r="H1626" t="inlineStr">
        <is>
          <t>Has a game name, but we never matched it to a wiki page.</t>
        </is>
      </c>
      <c r="I1626" t="inlineStr">
        <is>
          <t>Resources</t>
        </is>
      </c>
      <c r="M1626" t="inlineStr">
        <is>
          <t>Acrithis's rotating wares in Duviri or the Dormizone.</t>
        </is>
      </c>
      <c r="O1626" t="inlineStr">
        <is>
          <t>No wiki page uses this exact name.</t>
        </is>
      </c>
    </row>
    <row r="1627">
      <c r="A1627" t="inlineStr">
        <is>
          <t>/Lotus/Types/Items/ShipDecos/TarotCardTemple</t>
        </is>
      </c>
      <c r="B1627" t="inlineStr">
        <is>
          <t>Temple Prex</t>
        </is>
      </c>
      <c r="D1627" t="inlineStr">
        <is>
          <t>ExportResources</t>
        </is>
      </c>
      <c r="F1627" t="inlineStr">
        <is>
          <t>Temple Prex</t>
        </is>
      </c>
      <c r="H1627" t="inlineStr">
        <is>
          <t>Has a game name, but we never matched it to a wiki page.</t>
        </is>
      </c>
      <c r="I1627" t="inlineStr">
        <is>
          <t>Resources</t>
        </is>
      </c>
      <c r="M1627" t="inlineStr">
        <is>
          <t>Hidden pickup in the Round Table Pub in Höllvania Central Mall.</t>
        </is>
      </c>
      <c r="O1627" t="inlineStr">
        <is>
          <t>No wiki page uses this exact name.</t>
        </is>
      </c>
    </row>
    <row r="1628">
      <c r="A1628" t="inlineStr">
        <is>
          <t>/Lotus/Types/Gameplay/1999Wf/Gifts/Scooter</t>
        </is>
      </c>
      <c r="B1628" t="inlineStr">
        <is>
          <t>The Scooticle&lt;RETRO_TM&gt;</t>
        </is>
      </c>
      <c r="D1628" t="inlineStr">
        <is>
          <t>ExportResources</t>
        </is>
      </c>
      <c r="F1628" t="inlineStr">
        <is>
          <t>The Scooticle&lt;RETRO_TM&gt;</t>
        </is>
      </c>
      <c r="H1628" t="inlineStr">
        <is>
          <t>Has a game name, but we never matched it to a wiki page.</t>
        </is>
      </c>
      <c r="I1628" t="inlineStr">
        <is>
          <t>Resources</t>
        </is>
      </c>
      <c r="M1628" t="inlineStr">
        <is>
          <t>DIRECTGIFTZ Shop for 100,000 Höllars.</t>
        </is>
      </c>
      <c r="O1628" t="inlineStr">
        <is>
          <t>No wiki page uses this exact name.</t>
        </is>
      </c>
    </row>
    <row r="1629">
      <c r="A1629" t="inlineStr">
        <is>
          <t>/Lotus/Types/Items/ShipDecos/PlanetTrophies/PlanetTrophyDerelictBronze</t>
        </is>
      </c>
      <c r="B1629" t="inlineStr">
        <is>
          <t>The Steel Path - Derelicts</t>
        </is>
      </c>
      <c r="D1629" t="inlineStr">
        <is>
          <t>ExportResources</t>
        </is>
      </c>
      <c r="F1629" t="inlineStr">
        <is>
          <t>The Steel Path - Derelicts</t>
        </is>
      </c>
      <c r="H1629" t="inlineStr">
        <is>
          <t>Has a game name, but we never matched it to a wiki page.</t>
        </is>
      </c>
      <c r="I1629" t="inlineStr">
        <is>
          <t>Resources</t>
        </is>
      </c>
      <c r="M1629" t="inlineStr">
        <is>
          <t>Fully clear Deimos on The Steel Path.</t>
        </is>
      </c>
      <c r="O1629" t="inlineStr">
        <is>
          <t>No wiki page uses this exact name.</t>
        </is>
      </c>
    </row>
    <row r="1630">
      <c r="A1630" t="inlineStr">
        <is>
          <t>/Lotus/Types/Items/Solaris/AnimalTagBolarolaRare</t>
        </is>
      </c>
      <c r="B1630" t="inlineStr">
        <is>
          <t>Thorny Bolarola Tag</t>
        </is>
      </c>
      <c r="C1630" t="inlineStr">
        <is>
          <t>https://wiki.warframe.com/w/Bolarola</t>
        </is>
      </c>
      <c r="D1630" t="inlineStr">
        <is>
          <t>ExportResources</t>
        </is>
      </c>
      <c r="F1630" t="inlineStr">
        <is>
          <t>Thorny Bolarola Tag</t>
        </is>
      </c>
      <c r="G1630" t="inlineStr">
        <is>
          <t>Thorny Bolarola Tag</t>
        </is>
      </c>
      <c r="H1630" t="inlineStr">
        <is>
          <t>Has a game name, but we never matched it to a wiki page.</t>
        </is>
      </c>
      <c r="I1630" t="inlineStr">
        <is>
          <t>Resources</t>
        </is>
      </c>
      <c r="J1630" t="inlineStr">
        <is>
          <t>Resources_data</t>
        </is>
      </c>
      <c r="K1630" t="inlineStr">
        <is>
          <t>Resources/data</t>
        </is>
      </c>
      <c r="L1630" t="inlineStr">
        <is>
          <t>listed, no place</t>
        </is>
      </c>
      <c r="M1630" t="inlineStr">
        <is>
          <t>Capture a Thorny Bolarola through Conservation in the Orb Vallis.</t>
        </is>
      </c>
      <c r="N1630" t="inlineStr">
        <is>
          <t>Bolarola</t>
        </is>
      </c>
      <c r="O1630" t="inlineStr">
        <is>
          <t>There is a wiki page that mentions this name, but that page never says where you get the item.</t>
        </is>
      </c>
    </row>
    <row r="1631">
      <c r="A1631" t="inlineStr">
        <is>
          <t>/Lotus/Types/Items/ShipDecos/Plants/LisetPropDUVxGardeningCactus</t>
        </is>
      </c>
      <c r="B1631" t="inlineStr">
        <is>
          <t>Ueymag Decoration</t>
        </is>
      </c>
      <c r="D1631" t="inlineStr">
        <is>
          <t>ExportResources</t>
        </is>
      </c>
      <c r="F1631" t="inlineStr">
        <is>
          <t>Ueymag Decoration</t>
        </is>
      </c>
      <c r="H1631" t="inlineStr">
        <is>
          <t>Has a game name, but we never matched it to a wiki page.</t>
        </is>
      </c>
      <c r="I1631" t="inlineStr">
        <is>
          <t>Resources</t>
        </is>
      </c>
      <c r="M1631" t="inlineStr">
        <is>
          <t>Acrithis's rotating wares in Duviri or the Dormizone.</t>
        </is>
      </c>
      <c r="O1631" t="inlineStr">
        <is>
          <t>No wiki page uses this exact name.</t>
        </is>
      </c>
    </row>
    <row r="1632">
      <c r="A1632" t="inlineStr">
        <is>
          <t>/Lotus/Types/Items/ShipDecos/Leverian/LisetPropMuralFenrus</t>
        </is>
      </c>
      <c r="B1632" t="inlineStr">
        <is>
          <t>Ulfrun’s Leverian Mural</t>
        </is>
      </c>
      <c r="D1632" t="inlineStr">
        <is>
          <t>ExportResources</t>
        </is>
      </c>
      <c r="F1632" t="inlineStr">
        <is>
          <t>Ulfrun’s Leverian Mural</t>
        </is>
      </c>
      <c r="H1632" t="inlineStr">
        <is>
          <t>Has a game name, but we never matched it to a wiki page.</t>
        </is>
      </c>
      <c r="I1632" t="inlineStr">
        <is>
          <t>Resources</t>
        </is>
      </c>
      <c r="M1632" t="inlineStr">
        <is>
          <t>Market for 35 Platinum.</t>
        </is>
      </c>
      <c r="O1632" t="inlineStr">
        <is>
          <t>No wiki page uses this exact name.</t>
        </is>
      </c>
    </row>
    <row r="1633">
      <c r="A1633" t="inlineStr">
        <is>
          <t>/Lotus/Types/Items/Solaris/AnimalTagKubrodonUncommon</t>
        </is>
      </c>
      <c r="B1633" t="inlineStr">
        <is>
          <t>Vallis Kubrodon Tag</t>
        </is>
      </c>
      <c r="C1633" t="inlineStr">
        <is>
          <t>https://wiki.warframe.com/w/Kubrodon</t>
        </is>
      </c>
      <c r="D1633" t="inlineStr">
        <is>
          <t>ExportResources</t>
        </is>
      </c>
      <c r="F1633" t="inlineStr">
        <is>
          <t>Vallis Kubrodon Tag</t>
        </is>
      </c>
      <c r="G1633" t="inlineStr">
        <is>
          <t>Vallis Kubrodon Tag</t>
        </is>
      </c>
      <c r="H1633" t="inlineStr">
        <is>
          <t>Has a game name, but we never matched it to a wiki page.</t>
        </is>
      </c>
      <c r="I1633" t="inlineStr">
        <is>
          <t>Resources</t>
        </is>
      </c>
      <c r="J1633" t="inlineStr">
        <is>
          <t>Resources_data</t>
        </is>
      </c>
      <c r="K1633" t="inlineStr">
        <is>
          <t>Resources/data</t>
        </is>
      </c>
      <c r="L1633" t="inlineStr">
        <is>
          <t>listed, no place</t>
        </is>
      </c>
      <c r="M1633" t="inlineStr">
        <is>
          <t>Capture a Vallis Kubrodon through Conservation in the Orb Vallis.</t>
        </is>
      </c>
      <c r="N1633" t="inlineStr">
        <is>
          <t>Kubrodon</t>
        </is>
      </c>
      <c r="O1633" t="inlineStr">
        <is>
          <t>There is a wiki page that mentions this name, but that page never says where you get the item.</t>
        </is>
      </c>
    </row>
    <row r="1634">
      <c r="A1634" t="inlineStr">
        <is>
          <t>/Lotus/Types/Items/Solaris/AnimalTagVirminkCommon</t>
        </is>
      </c>
      <c r="B1634" t="inlineStr">
        <is>
          <t>White-Breasted Virmink Tag</t>
        </is>
      </c>
      <c r="C1634" t="inlineStr">
        <is>
          <t>https://wiki.warframe.com/w/Prosperous_Retriever</t>
        </is>
      </c>
      <c r="D1634" t="inlineStr">
        <is>
          <t>ExportResources</t>
        </is>
      </c>
      <c r="F1634" t="inlineStr">
        <is>
          <t>White-Breasted Virmink Tag</t>
        </is>
      </c>
      <c r="G1634" t="inlineStr">
        <is>
          <t>White-Breasted Virmink Tag</t>
        </is>
      </c>
      <c r="H1634" t="inlineStr">
        <is>
          <t>Has a game name, but we never matched it to a wiki page.</t>
        </is>
      </c>
      <c r="I1634" t="inlineStr">
        <is>
          <t>Resources</t>
        </is>
      </c>
      <c r="J1634" t="inlineStr">
        <is>
          <t>Resources_data</t>
        </is>
      </c>
      <c r="K1634" t="inlineStr">
        <is>
          <t>Resources/data</t>
        </is>
      </c>
      <c r="L1634" t="inlineStr">
        <is>
          <t>listed, no place</t>
        </is>
      </c>
      <c r="M1634" t="inlineStr">
        <is>
          <t>Capture a White-Breasted Virmink through Conservation in the Orb Vallis.</t>
        </is>
      </c>
      <c r="N1634" t="inlineStr">
        <is>
          <t>Prosperous Retriever</t>
        </is>
      </c>
      <c r="O1634" t="inlineStr">
        <is>
          <t>There is a wiki page that mentions this name, but that page never says where you get the item.</t>
        </is>
      </c>
    </row>
    <row r="1635">
      <c r="A1635" t="inlineStr">
        <is>
          <t>/Lotus/Types/Items/Eidolon/AnimalTagMergooUncommon</t>
        </is>
      </c>
      <c r="B1635" t="inlineStr">
        <is>
          <t>Woodland Mergoo Tag</t>
        </is>
      </c>
      <c r="D1635" t="inlineStr">
        <is>
          <t>ExportResources</t>
        </is>
      </c>
      <c r="F1635" t="inlineStr">
        <is>
          <t>Woodland Mergoo Tag</t>
        </is>
      </c>
      <c r="G1635" t="inlineStr">
        <is>
          <t>Woodland Mergoo Tag</t>
        </is>
      </c>
      <c r="H1635" t="inlineStr">
        <is>
          <t>Has a game name, but we never matched it to a wiki page.</t>
        </is>
      </c>
      <c r="I1635" t="inlineStr">
        <is>
          <t>Resources</t>
        </is>
      </c>
      <c r="J1635" t="inlineStr">
        <is>
          <t>Resources_data</t>
        </is>
      </c>
      <c r="K1635" t="inlineStr">
        <is>
          <t>Resources/data</t>
        </is>
      </c>
      <c r="L1635" t="inlineStr">
        <is>
          <t>listed, no place</t>
        </is>
      </c>
      <c r="M1635" t="inlineStr">
        <is>
          <t>Capture a Woodland Mergoo through Conservation in the Plains of Eidolon.</t>
        </is>
      </c>
      <c r="O1635" t="inlineStr">
        <is>
          <t>No wiki page uses this exact name.</t>
        </is>
      </c>
    </row>
    <row r="1636">
      <c r="A1636" t="inlineStr">
        <is>
          <t>/Lotus/Types/Items/ShipDecos/Plants/LisetPropDUVxGardeningPlantDGrown</t>
        </is>
      </c>
      <c r="B1636" t="inlineStr">
        <is>
          <t>Yao Shrub Decoration</t>
        </is>
      </c>
      <c r="D1636" t="inlineStr">
        <is>
          <t>ExportResources</t>
        </is>
      </c>
      <c r="F1636" t="inlineStr">
        <is>
          <t>Yao Shrub Decoration</t>
        </is>
      </c>
      <c r="H1636" t="inlineStr">
        <is>
          <t>Has a game name, but we never matched it to a wiki page.</t>
        </is>
      </c>
      <c r="I1636" t="inlineStr">
        <is>
          <t>Resources</t>
        </is>
      </c>
      <c r="M1636" t="inlineStr">
        <is>
          <t>Acrithis's rotating wares in Duviri or the Dormizone.</t>
        </is>
      </c>
      <c r="O1636" t="inlineStr">
        <is>
          <t>No wiki page uses this exact name.</t>
        </is>
      </c>
    </row>
    <row r="1637">
      <c r="A1637" t="inlineStr">
        <is>
          <t>/Lotus/Types/Items/ShipDecos/TarotCardTennotober</t>
        </is>
      </c>
      <c r="B1637" t="inlineStr">
        <is>
          <t>Tennotober Prex</t>
        </is>
      </c>
      <c r="D1637" t="inlineStr">
        <is>
          <t>ExportResources</t>
        </is>
      </c>
      <c r="F1637" t="inlineStr">
        <is>
          <t>Tennotober Prex</t>
        </is>
      </c>
      <c r="H1637" t="inlineStr">
        <is>
          <t>Solved: current place verified and archived 2026-10-17.</t>
        </is>
      </c>
      <c r="I1637" t="inlineStr">
        <is>
          <t>Resources</t>
        </is>
      </c>
      <c r="M1637" t="inlineStr">
        <is>
          <t>Participate in Tennotober (5+ consecutive days) for Prex Card orbiter decorations.</t>
        </is>
      </c>
      <c r="N1637" t="inlineStr">
        <is>
          <t>Halloween | Decorations/Orbiter Decorations</t>
        </is>
      </c>
      <c r="O1637" t="inlineStr">
        <is>
          <t>Halloween page, Tennotober section: 5 or more consecutive days of entries earns Prex Card orbiter decorations (Orbiter Decorations lists each year's Tennotober Prex as awarded for participating). No separate undated base entry is listed, so this is the hub-level rule.</t>
        </is>
      </c>
    </row>
    <row r="1638">
      <c r="A1638" t="inlineStr">
        <is>
          <t>/Lotus/Types/Items/ShipDecos/TarotCard2025Tennotober</t>
        </is>
      </c>
      <c r="B1638" t="inlineStr">
        <is>
          <t>Tennotober 2025 Prex</t>
        </is>
      </c>
      <c r="D1638" t="inlineStr">
        <is>
          <t>ExportResources</t>
        </is>
      </c>
      <c r="F1638" t="inlineStr">
        <is>
          <t>Tennotober 2025 Prex</t>
        </is>
      </c>
      <c r="H1638" t="inlineStr">
        <is>
          <t>Solved: current place verified and archived 2026-10-17.</t>
        </is>
      </c>
      <c r="I1638" t="inlineStr">
        <is>
          <t>Resources</t>
        </is>
      </c>
      <c r="M1638" t="inlineStr">
        <is>
          <t>Participate in Tennotober 2025 (5+ consecutive days) for a Prex Card orbiter decoration.</t>
        </is>
      </c>
      <c r="N1638" t="inlineStr">
        <is>
          <t>Halloween</t>
        </is>
      </c>
      <c r="O1638" t="inlineStr">
        <is>
          <t>Halloween page, Tennotober section: players who submit for 5 consecutive days or more get Prex Card orbiter decorations; the Tennotober 2025 Prex is listed as awarded for participating in Tennotober 2025.</t>
        </is>
      </c>
    </row>
    <row r="1639">
      <c r="A1639" t="inlineStr">
        <is>
          <t>/Lotus/Types/Items/ShipDecos/TarotCard2024Tennotober</t>
        </is>
      </c>
      <c r="B1639" t="inlineStr">
        <is>
          <t>Tennotober 2024 Prex</t>
        </is>
      </c>
      <c r="D1639" t="inlineStr">
        <is>
          <t>ExportResources</t>
        </is>
      </c>
      <c r="F1639" t="inlineStr">
        <is>
          <t>Tennotober 2024 Prex</t>
        </is>
      </c>
      <c r="H1639" t="inlineStr">
        <is>
          <t>Solved: current place verified and archived 2026-10-17.</t>
        </is>
      </c>
      <c r="I1639" t="inlineStr">
        <is>
          <t>Resources</t>
        </is>
      </c>
      <c r="M1639" t="inlineStr">
        <is>
          <t>Participate in Tennotober 2024 (5+ consecutive days) for a Prex Card orbiter decoration.</t>
        </is>
      </c>
      <c r="N1639" t="inlineStr">
        <is>
          <t>Halloween</t>
        </is>
      </c>
      <c r="O1639" t="inlineStr">
        <is>
          <t>Halloween page, Tennotober section: players who submit for 5 consecutive days or more get Prex Card orbiter decorations; the Tennotober 2024 Prex is listed as awarded for participating in Tennotober 2024.</t>
        </is>
      </c>
    </row>
    <row r="1640">
      <c r="A1640" t="inlineStr">
        <is>
          <t>/Lotus/Types/Items/ShipDecos/TarotCard2023Tennotober</t>
        </is>
      </c>
      <c r="B1640" t="inlineStr">
        <is>
          <t>Tennotober 2023 Prex</t>
        </is>
      </c>
      <c r="D1640" t="inlineStr">
        <is>
          <t>ExportResources</t>
        </is>
      </c>
      <c r="F1640" t="inlineStr">
        <is>
          <t>Tennotober 2023 Prex</t>
        </is>
      </c>
      <c r="H1640" t="inlineStr">
        <is>
          <t>Solved: current place verified and archived 2026-10-17.</t>
        </is>
      </c>
      <c r="I1640" t="inlineStr">
        <is>
          <t>Resources</t>
        </is>
      </c>
      <c r="M1640" t="inlineStr">
        <is>
          <t>Participate in Tennotober 2023 (5+ consecutive days) for a Prex Card orbiter decoration.</t>
        </is>
      </c>
      <c r="N1640" t="inlineStr">
        <is>
          <t>Halloween</t>
        </is>
      </c>
      <c r="O1640" t="inlineStr">
        <is>
          <t>Halloween page, Tennotober section: players who submit for 5 consecutive days or more get Prex Card orbiter decorations; the Tennotober 2023 Prex is listed as awarded for participating in Tennotober 2023.</t>
        </is>
      </c>
    </row>
    <row r="1641">
      <c r="A1641" t="inlineStr">
        <is>
          <t>/Lotus/Types/Items/ShipDecos/TarotCard2022Tennotober</t>
        </is>
      </c>
      <c r="B1641" t="inlineStr">
        <is>
          <t>Tennotober 2022 Prex</t>
        </is>
      </c>
      <c r="D1641" t="inlineStr">
        <is>
          <t>ExportResources</t>
        </is>
      </c>
      <c r="F1641" t="inlineStr">
        <is>
          <t>Tennotober 2022 Prex</t>
        </is>
      </c>
      <c r="H1641" t="inlineStr">
        <is>
          <t>Solved: current place verified and archived 2026-10-17.</t>
        </is>
      </c>
      <c r="I1641" t="inlineStr">
        <is>
          <t>Resources</t>
        </is>
      </c>
      <c r="M1641" t="inlineStr">
        <is>
          <t>Participate in Tennotober 2022 (5+ consecutive days) for a Prex Card orbiter decoration.</t>
        </is>
      </c>
      <c r="N1641" t="inlineStr">
        <is>
          <t>Halloween</t>
        </is>
      </c>
      <c r="O1641" t="inlineStr">
        <is>
          <t>Halloween page, Tennotober section: players who submit for 5 consecutive days or more get Prex Card orbiter decorations; the Tennotober 2022 Prex is listed as awarded for participating in Tennotober 2022.</t>
        </is>
      </c>
    </row>
    <row r="1642">
      <c r="A1642" t="inlineStr">
        <is>
          <t>/Lotus/Types/Items/ShipDecos/TarotCard2021Tennotober</t>
        </is>
      </c>
      <c r="B1642" t="inlineStr">
        <is>
          <t>Tennotober 2021 Prex</t>
        </is>
      </c>
      <c r="D1642" t="inlineStr">
        <is>
          <t>ExportResources</t>
        </is>
      </c>
      <c r="F1642" t="inlineStr">
        <is>
          <t>Tennotober 2021 Prex</t>
        </is>
      </c>
      <c r="H1642" t="inlineStr">
        <is>
          <t>Solved: current place verified and archived 2026-10-17.</t>
        </is>
      </c>
      <c r="I1642" t="inlineStr">
        <is>
          <t>Resources</t>
        </is>
      </c>
      <c r="M1642" t="inlineStr">
        <is>
          <t>Participate in Tennotober 2021 (5+ consecutive days) for a Prex Card orbiter decoration.</t>
        </is>
      </c>
      <c r="N1642" t="inlineStr">
        <is>
          <t>Halloween</t>
        </is>
      </c>
      <c r="O1642" t="inlineStr">
        <is>
          <t>Halloween page, Tennotober section: players who submit for 5 consecutive days or more get Prex Card orbiter decorations; the Tennotober 2021 Prex is listed as awarded for participating in Tennotober 2021.</t>
        </is>
      </c>
    </row>
    <row r="1643">
      <c r="A1643" t="inlineStr">
        <is>
          <t>/Lotus/Types/Items/ShipDecos/Tennocon2026DigitalItemDisplay</t>
        </is>
      </c>
      <c r="B1643" t="inlineStr">
        <is>
          <t>TennoCon 2026 Pin Display</t>
        </is>
      </c>
      <c r="D1643" t="inlineStr">
        <is>
          <t>ExportResources</t>
        </is>
      </c>
      <c r="F1643" t="inlineStr">
        <is>
          <t>TennoCon 2026 Pin Display</t>
        </is>
      </c>
      <c r="H1643" t="inlineStr">
        <is>
          <t>Solved: current place verified and archived 2026-10-17.</t>
        </is>
      </c>
      <c r="I1643" t="inlineStr">
        <is>
          <t>Resources</t>
        </is>
      </c>
      <c r="M1643" t="inlineStr">
        <is>
          <t>Included in the TennoCon 2026 Merch Pack.</t>
        </is>
      </c>
      <c r="N1643" t="inlineStr">
        <is>
          <t>Decorations/Orbiter Decorations (live)</t>
        </is>
      </c>
      <c r="O1643" t="inlineStr">
        <is>
          <t>Live Orbiter Decorations, Merch Packs: TennoCon2026PinDisplay.png, Display - TennoCon 2026 Merch, part of the TennoCon 2026 Merch Pack. Matched on the "Pin Display" file name.</t>
        </is>
      </c>
    </row>
    <row r="1644">
      <c r="A1644" t="inlineStr">
        <is>
          <t>/Lotus/Types/Items/ShipDecos/TennoCon2026CosplayBestWorkmanshipTrophy</t>
        </is>
      </c>
      <c r="B1644" t="inlineStr">
        <is>
          <t>TennoCon 2026 - Solaris Worksmanship Award</t>
        </is>
      </c>
      <c r="D1644" t="inlineStr">
        <is>
          <t>ExportResources</t>
        </is>
      </c>
      <c r="F1644" t="inlineStr">
        <is>
          <t>TennoCon 2026 - Solaris Worksmanship Award</t>
        </is>
      </c>
      <c r="H1644" t="inlineStr">
        <is>
          <t>Solved: current place verified and archived 2026-10-17.</t>
        </is>
      </c>
      <c r="I1644" t="inlineStr">
        <is>
          <t>Resources</t>
        </is>
      </c>
      <c r="M1644" t="inlineStr">
        <is>
          <t>Awarded to the winner of the Solaris Worksmanship Award category of the TennoCon 2026 Cosplay Contest.</t>
        </is>
      </c>
      <c r="N1644" t="inlineStr">
        <is>
          <t>Decorations/Orbiter Decorations (live)</t>
        </is>
      </c>
      <c r="O1644" t="inlineStr">
        <is>
          <t>Orbiter Decorations, Cosplay Contest trophies: TennoCon 2026 - Solaris Workmanship Award listed under the TennoCon 2026 cosplay trophies, awarded to winners of each category.</t>
        </is>
      </c>
    </row>
    <row r="1645">
      <c r="A1645" t="inlineStr">
        <is>
          <t>/Lotus/Types/Items/ShipDecos/Tennocon2025DigitalItemDisplay</t>
        </is>
      </c>
      <c r="B1645" t="inlineStr">
        <is>
          <t>TennoCon 2025 Pin Display</t>
        </is>
      </c>
      <c r="D1645" t="inlineStr">
        <is>
          <t>ExportResources</t>
        </is>
      </c>
      <c r="F1645" t="inlineStr">
        <is>
          <t>TennoCon 2025 Pin Display</t>
        </is>
      </c>
      <c r="H1645" t="inlineStr">
        <is>
          <t>Solved: current place verified and archived 2026-10-17.</t>
        </is>
      </c>
      <c r="I1645" t="inlineStr">
        <is>
          <t>Resources</t>
        </is>
      </c>
      <c r="M1645" t="inlineStr">
        <is>
          <t>Included in the TennoCon 2025 Merch Pack.</t>
        </is>
      </c>
      <c r="N1645" t="inlineStr">
        <is>
          <t>Decorations/Orbiter Decorations (live)</t>
        </is>
      </c>
      <c r="O1645" t="inlineStr">
        <is>
          <t>Live Orbiter Decorations, Merch Packs: TennoCon2025DigitalItemDisplay.png, Display - TennoCon 2025 Merch, part of the TennoCon 2025 Merch Pack. Image file name equals the item id.</t>
        </is>
      </c>
    </row>
    <row r="1646">
      <c r="A1646" t="inlineStr">
        <is>
          <t>/Lotus/Types/Items/ShipDecos/TennoCon2025CosplayBestWorkmanshipTrophy</t>
        </is>
      </c>
      <c r="B1646" t="inlineStr">
        <is>
          <t>TennoCon 2025 - Solaris Worksmanship Award</t>
        </is>
      </c>
      <c r="D1646" t="inlineStr">
        <is>
          <t>ExportResources</t>
        </is>
      </c>
      <c r="F1646" t="inlineStr">
        <is>
          <t>TennoCon 2025 - Solaris Worksmanship Award</t>
        </is>
      </c>
      <c r="H1646" t="inlineStr">
        <is>
          <t>Solved: current place verified and archived 2026-10-17.</t>
        </is>
      </c>
      <c r="I1646" t="inlineStr">
        <is>
          <t>Resources</t>
        </is>
      </c>
      <c r="M1646" t="inlineStr">
        <is>
          <t>Awarded to the winner of the Solaris Worksmanship Award category of the TennoCon 2025 Cosplay Contest.</t>
        </is>
      </c>
      <c r="N1646" t="inlineStr">
        <is>
          <t>Decorations/Orbiter Decorations (live)</t>
        </is>
      </c>
      <c r="O1646" t="inlineStr">
        <is>
          <t>Orbiter Decorations, Cosplay Contest trophies: TennoCon 2025 - Solaris Workmanship Award listed under the TennoCon 2025 cosplay trophies, awarded to winners of each category.</t>
        </is>
      </c>
    </row>
    <row r="1647">
      <c r="A1647" t="inlineStr">
        <is>
          <t>/Lotus/Types/Items/ShipDecos/TennoCon2024CosplayBestWorkmanshipTrophy</t>
        </is>
      </c>
      <c r="B1647" t="inlineStr">
        <is>
          <t>TennoCon 2024 - Solaris Worksmanship Award</t>
        </is>
      </c>
      <c r="D1647" t="inlineStr">
        <is>
          <t>ExportResources</t>
        </is>
      </c>
      <c r="F1647" t="inlineStr">
        <is>
          <t>TennoCon 2024 - Solaris Worksmanship Award</t>
        </is>
      </c>
      <c r="H1647" t="inlineStr">
        <is>
          <t>Solved: current place verified and archived 2026-10-17.</t>
        </is>
      </c>
      <c r="I1647" t="inlineStr">
        <is>
          <t>Resources</t>
        </is>
      </c>
      <c r="M1647" t="inlineStr">
        <is>
          <t>Awarded to the winner of the Solaris Worksmanship Award category of the TennoCon 2024 Cosplay Contest.</t>
        </is>
      </c>
      <c r="N1647" t="inlineStr">
        <is>
          <t>Decorations/Orbiter Decorations (live)</t>
        </is>
      </c>
      <c r="O1647" t="inlineStr">
        <is>
          <t>Orbiter Decorations, Cosplay Contest trophies: TennoCon 2024 - Solaris Workmanship Award listed under the TennoCon 2024 cosplay trophies, awarded to winners of each category.</t>
        </is>
      </c>
    </row>
    <row r="1648">
      <c r="A1648" t="inlineStr">
        <is>
          <t>/Lotus/Types/Items/ShipDecos/Tennocon2019SimarisDisplay</t>
        </is>
      </c>
      <c r="B1648" t="inlineStr">
        <is>
          <t>Display - TennoCon 2019 Sanctuary Showcase</t>
        </is>
      </c>
      <c r="D1648" t="inlineStr">
        <is>
          <t>ExportResources</t>
        </is>
      </c>
      <c r="F1648" t="inlineStr">
        <is>
          <t>Display - TennoCon 2019 Sanctuary Showcase</t>
        </is>
      </c>
      <c r="H1648" t="inlineStr">
        <is>
          <t>Solved: current place verified and archived 2026-10-17.</t>
        </is>
      </c>
      <c r="I1648" t="inlineStr">
        <is>
          <t>Resources</t>
        </is>
      </c>
      <c r="M1648" t="inlineStr">
        <is>
          <t>Promo code unlocked after teams reached 225,000 cumulative standing in Sanctuary Showcase 2019 (TennoCon 2019).</t>
        </is>
      </c>
      <c r="N1648" t="inlineStr">
        <is>
          <t>Decorations/Orbiter Decorations (live)</t>
        </is>
      </c>
      <c r="O1648" t="inlineStr">
        <is>
          <t>Live Orbiter Decorations page (newer than local snapshot): Sanctuary Showcase Display (TennoCon2019SanctuaryShowcaseDisplay.png), promo-code unlocked after teams reached 225,000 cumulative standing during Sanctuary Showcase 2019.</t>
        </is>
      </c>
    </row>
    <row r="1649">
      <c r="A1649" t="inlineStr">
        <is>
          <t>/Lotus/Types/Items/ShipDecos/Gamification2019Display</t>
        </is>
      </c>
      <c r="B1649" t="inlineStr">
        <is>
          <t>Display - TennoCon 2019 Grineer Security</t>
        </is>
      </c>
      <c r="D1649" t="inlineStr">
        <is>
          <t>ExportResources</t>
        </is>
      </c>
      <c r="F1649" t="inlineStr">
        <is>
          <t>Display - TennoCon 2019 Grineer Security</t>
        </is>
      </c>
      <c r="H1649" t="inlineStr">
        <is>
          <t>Solved: current place verified and archived 2026-10-17.</t>
        </is>
      </c>
      <c r="I1649" t="inlineStr">
        <is>
          <t>Resources</t>
        </is>
      </c>
      <c r="M1649" t="inlineStr">
        <is>
          <t>Promo code given out at TennoCon 2019.</t>
        </is>
      </c>
      <c r="N1649" t="inlineStr">
        <is>
          <t>Decorations/Orbiter Decorations</t>
        </is>
      </c>
      <c r="O1649" t="inlineStr">
        <is>
          <t>Orbiter Decorations, Other Displays: Grineer Security Display (Gamification2019Display.png), promo code given out at TennoCon 2019. Glyph page: Grineer Security Glyph was a scavenger-hunt reward at TennoCon 2019.</t>
        </is>
      </c>
    </row>
    <row r="1650">
      <c r="A1650" t="inlineStr">
        <is>
          <t>/Lotus/Types/Items/ShipDecos/Plushies/PlushyVirminkQTCC</t>
        </is>
      </c>
      <c r="B1650" t="inlineStr">
        <is>
          <t>Conquera Virmink Floof</t>
        </is>
      </c>
      <c r="C1650" t="inlineStr">
        <is>
          <t>https://wiki.warframe.com/w/Decorations</t>
        </is>
      </c>
      <c r="D1650" t="inlineStr">
        <is>
          <t>ExportResources</t>
        </is>
      </c>
      <c r="F1650" t="inlineStr">
        <is>
          <t>Conquera Virmink Floof</t>
        </is>
      </c>
      <c r="H1650" t="inlineStr">
        <is>
          <t>Solved: current place verified and archived 2026-10-17.</t>
        </is>
      </c>
      <c r="I1650" t="inlineStr">
        <is>
          <t>Resources</t>
        </is>
      </c>
      <c r="M1650" t="inlineStr">
        <is>
          <t>Alert reward in the first weeks of the Conquera event (originally Conquera 2023 merchandise).</t>
        </is>
      </c>
      <c r="N1650" t="inlineStr">
        <is>
          <t>Decorations/Orbiter Decorations (live) | Conquera</t>
        </is>
      </c>
      <c r="O1650" t="inlineStr">
        <is>
          <t>Orbiter Decorations, Floofs: Conquera Virmink, Conquera 2023 Merchandise, subsequently an Alert reward recurring in the initial weeks of Conquera. Conquera page lists it as exclusive to Conquera 2023 merchandise.</t>
        </is>
      </c>
    </row>
    <row r="1651">
      <c r="A1651" t="inlineStr">
        <is>
          <t>/Lotus/Types/Items/ShipDecos/Plushies/Plushy2022QTCC</t>
        </is>
      </c>
      <c r="B1651" t="inlineStr">
        <is>
          <t>Conquera Sawgaw Floof</t>
        </is>
      </c>
      <c r="D1651" t="inlineStr">
        <is>
          <t>ExportResources</t>
        </is>
      </c>
      <c r="F1651" t="inlineStr">
        <is>
          <t>Conquera Sawgaw Floof</t>
        </is>
      </c>
      <c r="H1651" t="inlineStr">
        <is>
          <t>Solved: current place verified and archived 2026-10-17.</t>
        </is>
      </c>
      <c r="I1651" t="inlineStr">
        <is>
          <t>Resources</t>
        </is>
      </c>
      <c r="M1651" t="inlineStr">
        <is>
          <t>Alert reward in the first weeks of the Conquera event (originally Conquera 2022 merchandise).</t>
        </is>
      </c>
      <c r="N1651" t="inlineStr">
        <is>
          <t>Decorations/Orbiter Decorations (live) | Conquera</t>
        </is>
      </c>
      <c r="O1651" t="inlineStr">
        <is>
          <t>Orbiter Decorations, Floofs: Conquera Sawgaw, Conquera 2022 Merchandise, subsequently an Alert reward recurring in the initial weeks of Conquera. Conquera page lists it as exclusive to Conquera 2022 merchandise.</t>
        </is>
      </c>
    </row>
    <row r="1652" ht="28.5" customHeight="1">
      <c r="A1652" t="inlineStr">
        <is>
          <t>/Lotus/Upgrades/Skins/Geode/CitrineDeluxeHelmet</t>
        </is>
      </c>
      <c r="B1652" t="inlineStr">
        <is>
          <t>Citrine Aphrodita Helmet</t>
        </is>
      </c>
      <c r="D1652" t="inlineStr">
        <is>
          <t>ExportCustoms</t>
        </is>
      </c>
      <c r="F1652" t="inlineStr">
        <is>
          <t>Citrine Aphrodita Helmet</t>
        </is>
      </c>
      <c r="H1652" t="inlineStr">
        <is>
          <t>Has a game name, but we never matched it to a wiki page.</t>
        </is>
      </c>
      <c r="I1652" t="inlineStr">
        <is>
          <t>Customs</t>
        </is>
      </c>
      <c r="J1652" t="inlineStr">
        <is>
          <t>Cosmetics_data, Cosmetics_userdata, ExportCustoms_ground_truth</t>
        </is>
      </c>
      <c r="K1652" t="inlineStr">
        <is>
          <t>name or path</t>
        </is>
      </c>
      <c r="M1652" t="inlineStr">
        <is>
          <t>Included with the Citrine Aphrodita Skin; purchase it from the in-game Market for 165 Platinum or in the Citrine Aphrodita Collection for 365 Platinum.</t>
        </is>
      </c>
      <c r="O1652" t="inlineStr">
        <is>
          <t>No wiki page uses this exact name.</t>
        </is>
      </c>
    </row>
    <row r="1653" ht="28.5" customHeight="1">
      <c r="A1653" t="inlineStr">
        <is>
          <t>/Lotus/Upgrades/Skins/Geode/SWCitrineCelestisHelmet</t>
        </is>
      </c>
      <c r="B1653" t="inlineStr">
        <is>
          <t>Citrine Celestis Helmet</t>
        </is>
      </c>
      <c r="D1653" t="inlineStr">
        <is>
          <t>ExportCustoms</t>
        </is>
      </c>
      <c r="F1653" t="inlineStr">
        <is>
          <t>Citrine Celestis Helmet</t>
        </is>
      </c>
      <c r="H1653" t="inlineStr">
        <is>
          <t>Has a game name, but we never matched it to a wiki page.</t>
        </is>
      </c>
      <c r="I1653" t="inlineStr">
        <is>
          <t>Customs</t>
        </is>
      </c>
      <c r="J1653" t="inlineStr">
        <is>
          <t>Cosmetics_data, Cosmetics_userdata, ExportCustoms_ground_truth</t>
        </is>
      </c>
      <c r="K1653" t="inlineStr">
        <is>
          <t>name or path</t>
        </is>
      </c>
      <c r="M1653" t="inlineStr">
        <is>
          <t>Included with the Citrine Celestis Skin (TennoGen); buy it with Steam Wallet credit on PC or for 165 Platinum on consoles.</t>
        </is>
      </c>
      <c r="O1653" t="inlineStr">
        <is>
          <t>No wiki page uses this exact name.</t>
        </is>
      </c>
    </row>
    <row r="1654" ht="28.5" customHeight="1">
      <c r="A1654" t="inlineStr">
        <is>
          <t>/Lotus/Upgrades/Skins/Operator/Skirts/SkirtAdultCalDeluxe</t>
        </is>
      </c>
      <c r="B1654" t="inlineStr">
        <is>
          <t>Drifter Escuchon Apparel</t>
        </is>
      </c>
      <c r="D1654" t="inlineStr">
        <is>
          <t>ExportCustoms</t>
        </is>
      </c>
      <c r="F1654" t="inlineStr">
        <is>
          <t>Drifter Escuchon Apparel</t>
        </is>
      </c>
      <c r="H1654" t="inlineStr">
        <is>
          <t>Has a game name, but we never matched it to a wiki page.</t>
        </is>
      </c>
      <c r="I1654" t="inlineStr">
        <is>
          <t>Customs</t>
        </is>
      </c>
      <c r="J1654" t="inlineStr">
        <is>
          <t>ExportCustoms_ground_truth</t>
        </is>
      </c>
      <c r="K1654" t="inlineStr">
        <is>
          <t>name or path</t>
        </is>
      </c>
      <c r="M1654" t="inlineStr">
        <is>
          <t>Not currently obtainable.</t>
        </is>
      </c>
      <c r="O1654" t="inlineStr">
        <is>
          <t>No wiki page uses this exact name.</t>
        </is>
      </c>
    </row>
    <row r="1655" ht="28.5" customHeight="1">
      <c r="A1655" t="inlineStr">
        <is>
          <t>/Lotus/Upgrades/Skins/Operator/Leggings/LeggingsAdultCalDeluxe</t>
        </is>
      </c>
      <c r="B1655" t="inlineStr">
        <is>
          <t>Drifter Escuchon Greaves</t>
        </is>
      </c>
      <c r="D1655" t="inlineStr">
        <is>
          <t>ExportCustoms</t>
        </is>
      </c>
      <c r="F1655" t="inlineStr">
        <is>
          <t>Drifter Escuchon Greaves</t>
        </is>
      </c>
      <c r="H1655" t="inlineStr">
        <is>
          <t>Has a game name, but we never matched it to a wiki page.</t>
        </is>
      </c>
      <c r="I1655" t="inlineStr">
        <is>
          <t>Customs</t>
        </is>
      </c>
      <c r="J1655" t="inlineStr">
        <is>
          <t>ExportCustoms_ground_truth</t>
        </is>
      </c>
      <c r="K1655" t="inlineStr">
        <is>
          <t>name or path</t>
        </is>
      </c>
      <c r="M1655" t="inlineStr">
        <is>
          <t>Not currently obtainable.</t>
        </is>
      </c>
      <c r="O1655" t="inlineStr">
        <is>
          <t>No wiki page uses this exact name.</t>
        </is>
      </c>
    </row>
    <row r="1656" ht="28.5" customHeight="1">
      <c r="A1656" t="inlineStr">
        <is>
          <t>/Lotus/Upgrades/Skins/Operator/Hoods/HoodAdultCalDeluxe</t>
        </is>
      </c>
      <c r="B1656" t="inlineStr">
        <is>
          <t>Drifter Escuchon Hood</t>
        </is>
      </c>
      <c r="D1656" t="inlineStr">
        <is>
          <t>ExportCustoms</t>
        </is>
      </c>
      <c r="F1656" t="inlineStr">
        <is>
          <t>Drifter Escuchon Hood</t>
        </is>
      </c>
      <c r="H1656" t="inlineStr">
        <is>
          <t>Has a game name, but we never matched it to a wiki page.</t>
        </is>
      </c>
      <c r="I1656" t="inlineStr">
        <is>
          <t>Customs</t>
        </is>
      </c>
      <c r="J1656" t="inlineStr">
        <is>
          <t>ExportCustoms_ground_truth</t>
        </is>
      </c>
      <c r="K1656" t="inlineStr">
        <is>
          <t>name or path</t>
        </is>
      </c>
      <c r="M1656" t="inlineStr">
        <is>
          <t>Not currently obtainable.</t>
        </is>
      </c>
      <c r="O1656" t="inlineStr">
        <is>
          <t>No wiki page uses this exact name.</t>
        </is>
      </c>
    </row>
    <row r="1657" ht="28.5" customHeight="1">
      <c r="A1657" t="inlineStr">
        <is>
          <t>/Lotus/Upgrades/Skins/Operator/Sleeves/SleevesAdultCalDeluxe</t>
        </is>
      </c>
      <c r="B1657" t="inlineStr">
        <is>
          <t>Drifter Escuchon Pauldrons</t>
        </is>
      </c>
      <c r="D1657" t="inlineStr">
        <is>
          <t>ExportCustoms</t>
        </is>
      </c>
      <c r="F1657" t="inlineStr">
        <is>
          <t>Drifter Escuchon Pauldrons</t>
        </is>
      </c>
      <c r="H1657" t="inlineStr">
        <is>
          <t>Has a game name, but we never matched it to a wiki page.</t>
        </is>
      </c>
      <c r="I1657" t="inlineStr">
        <is>
          <t>Customs</t>
        </is>
      </c>
      <c r="J1657" t="inlineStr">
        <is>
          <t>ExportCustoms_ground_truth</t>
        </is>
      </c>
      <c r="K1657" t="inlineStr">
        <is>
          <t>name or path</t>
        </is>
      </c>
      <c r="M1657" t="inlineStr">
        <is>
          <t>Not currently obtainable.</t>
        </is>
      </c>
      <c r="O1657" t="inlineStr">
        <is>
          <t>No wiki page uses this exact name.</t>
        </is>
      </c>
    </row>
    <row r="1658" ht="28.5" customHeight="1">
      <c r="A1658" t="inlineStr">
        <is>
          <t>/Lotus/Upgrades/Skins/Operator/BodySuits/BodySuitAdultCalDeluxe</t>
        </is>
      </c>
      <c r="B1658" t="inlineStr">
        <is>
          <t>Drifter Escuchon Suit</t>
        </is>
      </c>
      <c r="D1658" t="inlineStr">
        <is>
          <t>ExportCustoms</t>
        </is>
      </c>
      <c r="F1658" t="inlineStr">
        <is>
          <t>Drifter Escuchon Suit</t>
        </is>
      </c>
      <c r="H1658" t="inlineStr">
        <is>
          <t>Has a game name, but we never matched it to a wiki page.</t>
        </is>
      </c>
      <c r="I1658" t="inlineStr">
        <is>
          <t>Customs</t>
        </is>
      </c>
      <c r="J1658" t="inlineStr">
        <is>
          <t>ExportCustoms_ground_truth</t>
        </is>
      </c>
      <c r="K1658" t="inlineStr">
        <is>
          <t>name or path</t>
        </is>
      </c>
      <c r="M1658" t="inlineStr">
        <is>
          <t>Not currently obtainable.</t>
        </is>
      </c>
      <c r="O1658" t="inlineStr">
        <is>
          <t>No wiki page uses this exact name.</t>
        </is>
      </c>
    </row>
    <row r="1659" ht="28.5" customHeight="1">
      <c r="A1659" t="inlineStr">
        <is>
          <t>/Lotus/Upgrades/Skins/Inkblot/InkblotHelmet</t>
        </is>
      </c>
      <c r="B1659" t="inlineStr">
        <is>
          <t>Follie Helmet</t>
        </is>
      </c>
      <c r="D1659" t="inlineStr">
        <is>
          <t>ExportCustoms</t>
        </is>
      </c>
      <c r="F1659" t="inlineStr">
        <is>
          <t>Follie Helmet</t>
        </is>
      </c>
      <c r="H1659" t="inlineStr">
        <is>
          <t>Has a game name, but we never matched it to a wiki page.</t>
        </is>
      </c>
      <c r="I1659" t="inlineStr">
        <is>
          <t>Customs</t>
        </is>
      </c>
      <c r="J1659" t="inlineStr">
        <is>
          <t>Cosmetics_data, Cosmetics_userdata, ExportCustoms_ground_truth</t>
        </is>
      </c>
      <c r="K1659" t="inlineStr">
        <is>
          <t>name or path</t>
        </is>
      </c>
      <c r="M1659" t="inlineStr">
        <is>
          <t>Included with Follie; acquire Follie from Follie's Hunt or Aspirant Zorba.</t>
        </is>
      </c>
      <c r="O1659" t="inlineStr">
        <is>
          <t>No wiki page uses this exact name.</t>
        </is>
      </c>
    </row>
    <row r="1660" ht="28.5" customHeight="1">
      <c r="A1660" t="inlineStr">
        <is>
          <t>/Lotus/Upgrades/Skins/Garuda/GarudaPrimeClawsSkin</t>
        </is>
      </c>
      <c r="B1660" t="inlineStr">
        <is>
          <t>Garuda Prime Talons Skin</t>
        </is>
      </c>
      <c r="D1660" t="inlineStr">
        <is>
          <t>ExportCustoms</t>
        </is>
      </c>
      <c r="F1660" t="inlineStr">
        <is>
          <t>Garuda Prime Talons Skin</t>
        </is>
      </c>
      <c r="H1660" t="inlineStr">
        <is>
          <t>Has a game name, but we never matched it to a wiki page.</t>
        </is>
      </c>
      <c r="I1660" t="inlineStr">
        <is>
          <t>Customs</t>
        </is>
      </c>
      <c r="J1660" t="inlineStr">
        <is>
          <t>ExportCustoms_ground_truth</t>
        </is>
      </c>
      <c r="K1660" t="inlineStr">
        <is>
          <t>name or path</t>
        </is>
      </c>
      <c r="M1660" t="inlineStr">
        <is>
          <t>Included with Garuda Prime; acquire Garuda Prime through Prime Resurgence or trading with other players.</t>
        </is>
      </c>
      <c r="O1660" t="inlineStr">
        <is>
          <t>No wiki page uses this exact name.</t>
        </is>
      </c>
    </row>
    <row r="1661" ht="28.5" customHeight="1">
      <c r="A1661" t="inlineStr">
        <is>
          <t>/Lotus/Upgrades/Skins/Garuda/GarudaClawsSkin</t>
        </is>
      </c>
      <c r="B1661" t="inlineStr">
        <is>
          <t>Garuda Talons Skin</t>
        </is>
      </c>
      <c r="D1661" t="inlineStr">
        <is>
          <t>ExportCustoms</t>
        </is>
      </c>
      <c r="F1661" t="inlineStr">
        <is>
          <t>Garuda Talons Skin</t>
        </is>
      </c>
      <c r="H1661" t="inlineStr">
        <is>
          <t>Has a game name, but we never matched it to a wiki page.</t>
        </is>
      </c>
      <c r="I1661" t="inlineStr">
        <is>
          <t>Customs</t>
        </is>
      </c>
      <c r="J1661" t="inlineStr">
        <is>
          <t>ExportCustoms_ground_truth</t>
        </is>
      </c>
      <c r="K1661" t="inlineStr">
        <is>
          <t>name or path</t>
        </is>
      </c>
      <c r="M1661" t="inlineStr">
        <is>
          <t>Included with Garuda; acquire Garuda by completing Vox Solaris and collecting component blueprints from Orb Vallis Bounties.</t>
        </is>
      </c>
      <c r="O1661" t="inlineStr">
        <is>
          <t>No wiki page uses this exact name.</t>
        </is>
      </c>
    </row>
    <row r="1662" ht="28.5" customHeight="1">
      <c r="A1662" t="inlineStr">
        <is>
          <t>/Lotus/Upgrades/Skins/Runner/GaussDeluxeIIHelmet</t>
        </is>
      </c>
      <c r="B1662" t="inlineStr">
        <is>
          <t>Gauss Moto Helmet</t>
        </is>
      </c>
      <c r="D1662" t="inlineStr">
        <is>
          <t>ExportCustoms</t>
        </is>
      </c>
      <c r="F1662" t="inlineStr">
        <is>
          <t>Gauss Moto Helmet</t>
        </is>
      </c>
      <c r="H1662" t="inlineStr">
        <is>
          <t>Has a game name, but we never matched it to a wiki page.</t>
        </is>
      </c>
      <c r="I1662" t="inlineStr">
        <is>
          <t>Customs</t>
        </is>
      </c>
      <c r="J1662" t="inlineStr">
        <is>
          <t>Cosmetics_data, Cosmetics_userdata, ExportCustoms_ground_truth</t>
        </is>
      </c>
      <c r="K1662" t="inlineStr">
        <is>
          <t>name or path</t>
        </is>
      </c>
      <c r="M1662" t="inlineStr">
        <is>
          <t>Included with the Gauss Moto Skin; purchase it from the in-game Market for 165 Platinum or in the Gauss Moto Collection for 390 Platinum.</t>
        </is>
      </c>
      <c r="O1662" t="inlineStr">
        <is>
          <t>No wiki page uses this exact name.</t>
        </is>
      </c>
    </row>
    <row r="1663" ht="25.5" customHeight="1">
      <c r="A1663" t="inlineStr">
        <is>
          <t>/Lotus/Upgrades/Skins/Priest/SWProfitasHarrowHelmet</t>
        </is>
      </c>
      <c r="B1663" t="inlineStr">
        <is>
          <t>Harrow Profitas Helmet</t>
        </is>
      </c>
      <c r="C1663" t="inlineStr">
        <is>
          <t>https://wiki.warframe.com/w/Harrow_Profitas_Skin</t>
        </is>
      </c>
      <c r="D1663" t="inlineStr">
        <is>
          <t>ExportCustoms</t>
        </is>
      </c>
      <c r="F1663" t="inlineStr">
        <is>
          <t>Harrow Profitas Helmet</t>
        </is>
      </c>
      <c r="H1663" t="inlineStr">
        <is>
          <t>Has a game name, but we never matched it to a wiki page.</t>
        </is>
      </c>
      <c r="I1663" t="inlineStr">
        <is>
          <t>Customs</t>
        </is>
      </c>
      <c r="J1663" t="inlineStr">
        <is>
          <t>ExportCustoms_ground_truth</t>
        </is>
      </c>
      <c r="K1663" t="inlineStr">
        <is>
          <t>name or path</t>
        </is>
      </c>
      <c r="M1663" t="inlineStr">
        <is>
          <t>Included with the Harrow Profitas Skin (TennoGen); buy it with Steam Wallet credit on PC or for 165 Platinum on consoles.</t>
        </is>
      </c>
      <c r="N1663" t="inlineStr">
        <is>
          <t>Harrow Profitas Skin</t>
        </is>
      </c>
      <c r="O1663" t="inlineStr">
        <is>
          <t>There is a wiki page that mentions this name, but that page never says where you get the item.</t>
        </is>
      </c>
    </row>
    <row r="1664" ht="25.5" customHeight="1">
      <c r="A1664" t="inlineStr">
        <is>
          <t>/Lotus/Upgrades/Skins/IronFrame/SWHildrynSarcostemaHelmet</t>
        </is>
      </c>
      <c r="B1664" t="inlineStr">
        <is>
          <t>Hildryn Sarcostema Helmet</t>
        </is>
      </c>
      <c r="C1664" t="inlineStr">
        <is>
          <t>https://wiki.warframe.com/w/Update_39 | https://wiki.warframe.com/w/Update_41:_The_Old_Peace | https://wiki.warframe.com/w/Hildryn/Patch_History</t>
        </is>
      </c>
      <c r="D1664" t="inlineStr">
        <is>
          <t>ExportCustoms</t>
        </is>
      </c>
      <c r="F1664" t="inlineStr">
        <is>
          <t>Hildryn Sarcostema Helmet</t>
        </is>
      </c>
      <c r="H1664" t="inlineStr">
        <is>
          <t>Has a game name, but we never matched it to a wiki page.</t>
        </is>
      </c>
      <c r="I1664" t="inlineStr">
        <is>
          <t>Customs</t>
        </is>
      </c>
      <c r="J1664" t="inlineStr">
        <is>
          <t>Cosmetics_data, Cosmetics_userdata, ExportCustoms_ground_truth</t>
        </is>
      </c>
      <c r="K1664" t="inlineStr">
        <is>
          <t>name or path</t>
        </is>
      </c>
      <c r="M1664" t="inlineStr">
        <is>
          <t>Included with the Hildryn Sarcostema Skin (TennoGen); buy it with Steam Wallet credit on PC or for 165 Platinum on consoles.</t>
        </is>
      </c>
      <c r="N1664" t="inlineStr">
        <is>
          <t>Update 39 | Update 41: The Old Peace | Hildryn/Patch History</t>
        </is>
      </c>
      <c r="O1664" t="inlineStr">
        <is>
          <t>There is a wiki page that mentions this name, but that page never says where you get the item.</t>
        </is>
      </c>
    </row>
    <row r="1665" ht="25.5" customHeight="1">
      <c r="A1665" t="inlineStr">
        <is>
          <t>/Lotus/Upgrades/Skins/PaxDuviricus/KulervoDeluxeHelmet</t>
        </is>
      </c>
      <c r="B1665" t="inlineStr">
        <is>
          <t>Kullervo Apostate Helmet</t>
        </is>
      </c>
      <c r="D1665" t="inlineStr">
        <is>
          <t>ExportCustoms</t>
        </is>
      </c>
      <c r="F1665" t="inlineStr">
        <is>
          <t>Kullervo Apostate Helmet</t>
        </is>
      </c>
      <c r="H1665" t="inlineStr">
        <is>
          <t>Has a game name, but we never matched it to a wiki page.</t>
        </is>
      </c>
      <c r="I1665" t="inlineStr">
        <is>
          <t>Customs</t>
        </is>
      </c>
      <c r="J1665" t="inlineStr">
        <is>
          <t>Cosmetics_data, Cosmetics_userdata, ExportCustoms_ground_truth</t>
        </is>
      </c>
      <c r="K1665" t="inlineStr">
        <is>
          <t>name or path</t>
        </is>
      </c>
      <c r="M1665" t="inlineStr">
        <is>
          <t>Included with the Kullervo Apostate Skin; purchase it from the in-game Market for 165 Platinum or in the Kullervo Apostate Collection for 280 Platinum.</t>
        </is>
      </c>
      <c r="O1665" t="inlineStr">
        <is>
          <t>No wiki page uses this exact name.</t>
        </is>
      </c>
    </row>
    <row r="1666" ht="25.5" customHeight="1">
      <c r="A1666" t="inlineStr">
        <is>
          <t>/Lotus/Upgrades/Skins/PaxDuviricus/SWPaxAscophiliaHelmet</t>
        </is>
      </c>
      <c r="B1666" t="inlineStr">
        <is>
          <t>Kullervo Ascophilia Helmet</t>
        </is>
      </c>
      <c r="D1666" t="inlineStr">
        <is>
          <t>ExportCustoms</t>
        </is>
      </c>
      <c r="F1666" t="inlineStr">
        <is>
          <t>Kullervo Ascophilia Helmet</t>
        </is>
      </c>
      <c r="H1666" t="inlineStr">
        <is>
          <t>Has a game name, but we never matched it to a wiki page.</t>
        </is>
      </c>
      <c r="I1666" t="inlineStr">
        <is>
          <t>Customs</t>
        </is>
      </c>
      <c r="J1666" t="inlineStr">
        <is>
          <t>ExportCustoms_ground_truth</t>
        </is>
      </c>
      <c r="K1666" t="inlineStr">
        <is>
          <t>name or path</t>
        </is>
      </c>
      <c r="M1666" t="inlineStr">
        <is>
          <t>Included with the Kullervo Ascophilia Skin (TennoGen); buy it with Steam Wallet credit on PC or for 165 Platinum on consoles.</t>
        </is>
      </c>
      <c r="O1666" t="inlineStr">
        <is>
          <t>No wiki page uses this exact name.</t>
        </is>
      </c>
    </row>
    <row r="1667" ht="25.5" customHeight="1">
      <c r="A1667" t="inlineStr">
        <is>
          <t>/Lotus/Upgrades/Skins/Halloween/HalloweenLatoVandal</t>
        </is>
      </c>
      <c r="B1667" t="inlineStr">
        <is>
          <t>Lato Vandal Day of the Dead Skin</t>
        </is>
      </c>
      <c r="D1667" t="inlineStr">
        <is>
          <t>ExportCustoms</t>
        </is>
      </c>
      <c r="F1667" t="inlineStr">
        <is>
          <t>Lato Vandal Day of the Dead Skin</t>
        </is>
      </c>
      <c r="H1667" t="inlineStr">
        <is>
          <t>Has a game name, but we never matched it to a wiki page.</t>
        </is>
      </c>
      <c r="I1667" t="inlineStr">
        <is>
          <t>Customs</t>
        </is>
      </c>
      <c r="J1667" t="inlineStr">
        <is>
          <t>ExportCustoms_ground_truth</t>
        </is>
      </c>
      <c r="K1667" t="inlineStr">
        <is>
          <t>name or path</t>
        </is>
      </c>
      <c r="M1667" t="inlineStr">
        <is>
          <t>Limited-time in-game Market during Nights of Naberus for 20 Platinum, or in the Day of the Dead Weapon Skin Pack for 175 Platinum.</t>
        </is>
      </c>
      <c r="O1667" t="inlineStr">
        <is>
          <t>No wiki page uses this exact name.</t>
        </is>
      </c>
    </row>
    <row r="1668" ht="28.5" customHeight="1">
      <c r="A1668" t="inlineStr">
        <is>
          <t>/Lotus/Upgrades/Skins/Alchemist/AlchemistDeluxeHelmet</t>
        </is>
      </c>
      <c r="B1668" t="inlineStr">
        <is>
          <t>Lavos Khymia Helmet</t>
        </is>
      </c>
      <c r="D1668" t="inlineStr">
        <is>
          <t>ExportCustoms</t>
        </is>
      </c>
      <c r="F1668" t="inlineStr">
        <is>
          <t>Lavos Khymia Helmet</t>
        </is>
      </c>
      <c r="H1668" t="inlineStr">
        <is>
          <t>Has a game name, but we never matched it to a wiki page.</t>
        </is>
      </c>
      <c r="I1668" t="inlineStr">
        <is>
          <t>Customs</t>
        </is>
      </c>
      <c r="J1668" t="inlineStr">
        <is>
          <t>Cosmetics_data, Cosmetics_userdata, ExportCustoms_ground_truth</t>
        </is>
      </c>
      <c r="K1668" t="inlineStr">
        <is>
          <t>name or path</t>
        </is>
      </c>
      <c r="M1668" t="inlineStr">
        <is>
          <t>Included with the Lavos Khymia Skin; purchase it from the in-game Market for 160 Platinum or in the Lavos Khymia Collection for 425 Platinum.</t>
        </is>
      </c>
      <c r="O1668" t="inlineStr">
        <is>
          <t>No wiki page uses this exact name.</t>
        </is>
      </c>
    </row>
    <row r="1669">
      <c r="A1669" t="inlineStr">
        <is>
          <t>/Lotus/Upgrades/Skins/Sentinels/Skins/Defaults/DefaultEmpyreanSentinelSkin</t>
        </is>
      </c>
      <c r="B1669" t="inlineStr">
        <is>
          <t>Nautilus Skin</t>
        </is>
      </c>
      <c r="C1669" t="inlineStr">
        <is>
          <t>https://wiki.warframe.com/w/Nautilus/Patch_History | https://wiki.warframe.com/w/Update_39</t>
        </is>
      </c>
      <c r="D1669" t="inlineStr">
        <is>
          <t>ExportCustoms</t>
        </is>
      </c>
      <c r="F1669" t="inlineStr">
        <is>
          <t>Nautilus Skin</t>
        </is>
      </c>
      <c r="H1669" t="inlineStr">
        <is>
          <t>Has a game name, but we never matched it to a wiki page.</t>
        </is>
      </c>
      <c r="I1669" t="inlineStr">
        <is>
          <t>Customs</t>
        </is>
      </c>
      <c r="J1669" t="inlineStr">
        <is>
          <t>ExportCustoms_ground_truth</t>
        </is>
      </c>
      <c r="K1669" t="inlineStr">
        <is>
          <t>name or path</t>
        </is>
      </c>
      <c r="M1669" t="inlineStr">
        <is>
          <t>Included with Nautilus; build Nautilus from blueprints and components dropped in Neptune Proxima Points of Interest and Arva Vector Defense.</t>
        </is>
      </c>
      <c r="N1669" t="inlineStr">
        <is>
          <t>Nautilus/Patch History | Update 39</t>
        </is>
      </c>
      <c r="O1669" t="inlineStr">
        <is>
          <t>There is a wiki page that mentions this name, but that page never says where you get the item.</t>
        </is>
      </c>
    </row>
    <row r="1670">
      <c r="A1670" t="inlineStr">
        <is>
          <t>/Lotus/Upgrades/Skins/AntiMatter/SWNetraselleNovaHelmet</t>
        </is>
      </c>
      <c r="B1670" t="inlineStr">
        <is>
          <t>Nova Netrastelle Helmet</t>
        </is>
      </c>
      <c r="D1670" t="inlineStr">
        <is>
          <t>ExportCustoms</t>
        </is>
      </c>
      <c r="F1670" t="inlineStr">
        <is>
          <t>Nova Netrastelle Helmet</t>
        </is>
      </c>
      <c r="H1670" t="inlineStr">
        <is>
          <t>Has a game name, but we never matched it to a wiki page.</t>
        </is>
      </c>
      <c r="I1670" t="inlineStr">
        <is>
          <t>Customs</t>
        </is>
      </c>
      <c r="J1670" t="inlineStr">
        <is>
          <t>ExportCustoms_ground_truth</t>
        </is>
      </c>
      <c r="K1670" t="inlineStr">
        <is>
          <t>name or path</t>
        </is>
      </c>
      <c r="M1670" t="inlineStr">
        <is>
          <t>Included with the Nova Netrastelle Skin (TennoGen); buy it with Steam Wallet credit on PC or for 165 Platinum on consoles.</t>
        </is>
      </c>
      <c r="O1670" t="inlineStr">
        <is>
          <t>No wiki page uses this exact name.</t>
        </is>
      </c>
    </row>
    <row r="1671">
      <c r="A1671" t="inlineStr">
        <is>
          <t>/Lotus/Upgrades/Skins/Operator/Skirts/SkirtOperatorCalDeluxe</t>
        </is>
      </c>
      <c r="B1671" t="inlineStr">
        <is>
          <t>Operator Escuchon Apparel</t>
        </is>
      </c>
      <c r="D1671" t="inlineStr">
        <is>
          <t>ExportCustoms</t>
        </is>
      </c>
      <c r="F1671" t="inlineStr">
        <is>
          <t>Operator Escuchon Apparel</t>
        </is>
      </c>
      <c r="H1671" t="inlineStr">
        <is>
          <t>Has a game name, but we never matched it to a wiki page.</t>
        </is>
      </c>
      <c r="I1671" t="inlineStr">
        <is>
          <t>Customs</t>
        </is>
      </c>
      <c r="J1671" t="inlineStr">
        <is>
          <t>ExportCustoms_ground_truth</t>
        </is>
      </c>
      <c r="K1671" t="inlineStr">
        <is>
          <t>name or path</t>
        </is>
      </c>
      <c r="M1671" t="inlineStr">
        <is>
          <t>Not currently obtainable.</t>
        </is>
      </c>
      <c r="O1671" t="inlineStr">
        <is>
          <t>No wiki page uses this exact name.</t>
        </is>
      </c>
    </row>
    <row r="1672">
      <c r="A1672" t="inlineStr">
        <is>
          <t>/Lotus/Upgrades/Skins/Operator/Leggings/LeggingsOperatorCalDeluxe</t>
        </is>
      </c>
      <c r="B1672" t="inlineStr">
        <is>
          <t>Operator Escuchon Greaves</t>
        </is>
      </c>
      <c r="D1672" t="inlineStr">
        <is>
          <t>ExportCustoms</t>
        </is>
      </c>
      <c r="F1672" t="inlineStr">
        <is>
          <t>Operator Escuchon Greaves</t>
        </is>
      </c>
      <c r="H1672" t="inlineStr">
        <is>
          <t>Has a game name, but we never matched it to a wiki page.</t>
        </is>
      </c>
      <c r="I1672" t="inlineStr">
        <is>
          <t>Customs</t>
        </is>
      </c>
      <c r="J1672" t="inlineStr">
        <is>
          <t>ExportCustoms_ground_truth</t>
        </is>
      </c>
      <c r="K1672" t="inlineStr">
        <is>
          <t>name or path</t>
        </is>
      </c>
      <c r="M1672" t="inlineStr">
        <is>
          <t>Not currently obtainable.</t>
        </is>
      </c>
      <c r="O1672" t="inlineStr">
        <is>
          <t>No wiki page uses this exact name.</t>
        </is>
      </c>
    </row>
    <row r="1673">
      <c r="A1673" t="inlineStr">
        <is>
          <t>/Lotus/Upgrades/Skins/Operator/Hoods/HoodOperatorCalDeluxe</t>
        </is>
      </c>
      <c r="B1673" t="inlineStr">
        <is>
          <t>Operator Escuchon Hood</t>
        </is>
      </c>
      <c r="D1673" t="inlineStr">
        <is>
          <t>ExportCustoms</t>
        </is>
      </c>
      <c r="F1673" t="inlineStr">
        <is>
          <t>Operator Escuchon Hood</t>
        </is>
      </c>
      <c r="H1673" t="inlineStr">
        <is>
          <t>Has a game name, but we never matched it to a wiki page.</t>
        </is>
      </c>
      <c r="I1673" t="inlineStr">
        <is>
          <t>Customs</t>
        </is>
      </c>
      <c r="J1673" t="inlineStr">
        <is>
          <t>ExportCustoms_ground_truth</t>
        </is>
      </c>
      <c r="K1673" t="inlineStr">
        <is>
          <t>name or path</t>
        </is>
      </c>
      <c r="M1673" t="inlineStr">
        <is>
          <t>Not currently obtainable.</t>
        </is>
      </c>
      <c r="O1673" t="inlineStr">
        <is>
          <t>No wiki page uses this exact name.</t>
        </is>
      </c>
    </row>
    <row r="1674">
      <c r="A1674" t="inlineStr">
        <is>
          <t>/Lotus/Upgrades/Skins/Operator/Sleeves/SleevesOperatorCalDeluxe</t>
        </is>
      </c>
      <c r="B1674" t="inlineStr">
        <is>
          <t>Operator Escuchon Pauldrons</t>
        </is>
      </c>
      <c r="D1674" t="inlineStr">
        <is>
          <t>ExportCustoms</t>
        </is>
      </c>
      <c r="F1674" t="inlineStr">
        <is>
          <t>Operator Escuchon Pauldrons</t>
        </is>
      </c>
      <c r="H1674" t="inlineStr">
        <is>
          <t>Has a game name, but we never matched it to a wiki page.</t>
        </is>
      </c>
      <c r="I1674" t="inlineStr">
        <is>
          <t>Customs</t>
        </is>
      </c>
      <c r="J1674" t="inlineStr">
        <is>
          <t>ExportCustoms_ground_truth</t>
        </is>
      </c>
      <c r="K1674" t="inlineStr">
        <is>
          <t>name or path</t>
        </is>
      </c>
      <c r="M1674" t="inlineStr">
        <is>
          <t>Not currently obtainable.</t>
        </is>
      </c>
      <c r="O1674" t="inlineStr">
        <is>
          <t>No wiki page uses this exact name.</t>
        </is>
      </c>
    </row>
    <row r="1675">
      <c r="A1675" t="inlineStr">
        <is>
          <t>/Lotus/Upgrades/Skins/Operator/BodySuits/BodySuitOperatorCalDeluxe</t>
        </is>
      </c>
      <c r="B1675" t="inlineStr">
        <is>
          <t>Operator Escuchon Suit</t>
        </is>
      </c>
      <c r="D1675" t="inlineStr">
        <is>
          <t>ExportCustoms</t>
        </is>
      </c>
      <c r="F1675" t="inlineStr">
        <is>
          <t>Operator Escuchon Suit</t>
        </is>
      </c>
      <c r="H1675" t="inlineStr">
        <is>
          <t>Has a game name, but we never matched it to a wiki page.</t>
        </is>
      </c>
      <c r="I1675" t="inlineStr">
        <is>
          <t>Customs</t>
        </is>
      </c>
      <c r="J1675" t="inlineStr">
        <is>
          <t>ExportCustoms_ground_truth</t>
        </is>
      </c>
      <c r="K1675" t="inlineStr">
        <is>
          <t>name or path</t>
        </is>
      </c>
      <c r="M1675" t="inlineStr">
        <is>
          <t>Not currently obtainable.</t>
        </is>
      </c>
      <c r="O1675" t="inlineStr">
        <is>
          <t>No wiki page uses this exact name.</t>
        </is>
      </c>
    </row>
    <row r="1676">
      <c r="A1676" t="inlineStr">
        <is>
          <t>/Lotus/Upgrades/Skins/Saryn/WF1999SarynHelmet</t>
        </is>
      </c>
      <c r="B1676" t="inlineStr">
        <is>
          <t>Saryn Prime Helmet</t>
        </is>
      </c>
      <c r="D1676" t="inlineStr">
        <is>
          <t>ExportCustoms</t>
        </is>
      </c>
      <c r="F1676" t="inlineStr">
        <is>
          <t>Saryn Prime Helmet</t>
        </is>
      </c>
      <c r="G1676" t="inlineStr">
        <is>
          <t>Saryn Prime Helmet</t>
        </is>
      </c>
      <c r="H1676" t="inlineStr">
        <is>
          <t>We know the wiki page name, but we never saved the 'where to get it' text from that page.</t>
        </is>
      </c>
      <c r="I1676" t="inlineStr">
        <is>
          <t>Customs</t>
        </is>
      </c>
      <c r="J1676" t="inlineStr">
        <is>
          <t>Cosmetics_data, Cosmetics_data_warframehelmet, Cosmetics_userdata, ExportCustoms_ground_truth</t>
        </is>
      </c>
      <c r="K1676" t="inlineStr">
        <is>
          <t>Cosmetics/data/warframehelmet</t>
        </is>
      </c>
      <c r="L1676" t="inlineStr">
        <is>
          <t>listed, no place</t>
        </is>
      </c>
      <c r="M1676" t="inlineStr">
        <is>
          <t>Included with Saryn Prime; acquire Saryn Prime through Prime Resurgence or trading with other players.</t>
        </is>
      </c>
      <c r="O1676" t="inlineStr">
        <is>
          <t>The exact display name is attached to a different official Wiki item id/page entity than this row's uniqueName, so no acquisition was assigned.</t>
        </is>
      </c>
    </row>
    <row r="1677">
      <c r="A1677" t="inlineStr">
        <is>
          <t>/Lotus/Upgrades/Skins/Hoplite/SWRaevuzStyanaxHelmet</t>
        </is>
      </c>
      <c r="B1677" t="inlineStr">
        <is>
          <t>Styanax Raevuz Helmet</t>
        </is>
      </c>
      <c r="D1677" t="inlineStr">
        <is>
          <t>ExportCustoms</t>
        </is>
      </c>
      <c r="F1677" t="inlineStr">
        <is>
          <t>Styanax Raevuz Helmet</t>
        </is>
      </c>
      <c r="H1677" t="inlineStr">
        <is>
          <t>Has a game name, but we never matched it to a wiki page.</t>
        </is>
      </c>
      <c r="I1677" t="inlineStr">
        <is>
          <t>Customs</t>
        </is>
      </c>
      <c r="J1677" t="inlineStr">
        <is>
          <t>ExportCustoms_ground_truth</t>
        </is>
      </c>
      <c r="K1677" t="inlineStr">
        <is>
          <t>name or path</t>
        </is>
      </c>
      <c r="M1677" t="inlineStr">
        <is>
          <t>Included with the Styanax Raevuz Skin (TennoGen); buy it with Steam Wallet credit on PC or for 165 Platinum on consoles.</t>
        </is>
      </c>
      <c r="O1677" t="inlineStr">
        <is>
          <t>No wiki page uses this exact name.</t>
        </is>
      </c>
    </row>
    <row r="1678">
      <c r="A1678" t="inlineStr">
        <is>
          <t>/Lotus/Upgrades/Skins/Operator/Leggings/LeggingsAdultPrimeF</t>
        </is>
      </c>
      <c r="B1678" t="inlineStr">
        <is>
          <t>Tauron Prime Greaves</t>
        </is>
      </c>
      <c r="D1678" t="inlineStr">
        <is>
          <t>ExportCustoms</t>
        </is>
      </c>
      <c r="F1678" t="inlineStr">
        <is>
          <t>Tauron Prime Greaves</t>
        </is>
      </c>
      <c r="H1678" t="inlineStr">
        <is>
          <t>Has a game name, but we never matched it to a wiki page.</t>
        </is>
      </c>
      <c r="I1678" t="inlineStr">
        <is>
          <t>Customs</t>
        </is>
      </c>
      <c r="J1678" t="inlineStr">
        <is>
          <t>ExportCustoms_ground_truth</t>
        </is>
      </c>
      <c r="K1678" t="inlineStr">
        <is>
          <t>name or path</t>
        </is>
      </c>
      <c r="L1678" t="inlineStr">
        <is>
          <t>Cosmetics_data, Cosmetics_userdata</t>
        </is>
      </c>
      <c r="M1678" t="inlineStr">
        <is>
          <t>Not currently obtainable.</t>
        </is>
      </c>
      <c r="O1678" t="inlineStr">
        <is>
          <t>No wiki page uses this exact name.</t>
        </is>
      </c>
    </row>
    <row r="1679">
      <c r="A1679" t="inlineStr">
        <is>
          <t>/Lotus/Upgrades/Skins/Operator/Leggings/LeggingsPrimeF</t>
        </is>
      </c>
      <c r="B1679" t="inlineStr">
        <is>
          <t>Tauron Prime Greaves</t>
        </is>
      </c>
      <c r="D1679" t="inlineStr">
        <is>
          <t>ExportCustoms</t>
        </is>
      </c>
      <c r="F1679" t="inlineStr">
        <is>
          <t>Tauron Prime Greaves</t>
        </is>
      </c>
      <c r="H1679" t="inlineStr">
        <is>
          <t>Has a game name, but we never matched it to a wiki page.</t>
        </is>
      </c>
      <c r="I1679" t="inlineStr">
        <is>
          <t>Customs</t>
        </is>
      </c>
      <c r="J1679" t="inlineStr">
        <is>
          <t>ExportCustoms_ground_truth</t>
        </is>
      </c>
      <c r="K1679" t="inlineStr">
        <is>
          <t>name or path</t>
        </is>
      </c>
      <c r="L1679" t="inlineStr">
        <is>
          <t>Cosmetics_data, Cosmetics_userdata</t>
        </is>
      </c>
      <c r="M1679" t="inlineStr">
        <is>
          <t>Not currently obtainable.</t>
        </is>
      </c>
      <c r="O1679" t="inlineStr">
        <is>
          <t>No wiki page uses this exact name.</t>
        </is>
      </c>
    </row>
    <row r="1680">
      <c r="A1680" t="inlineStr">
        <is>
          <t>/Lotus/Upgrades/Skins/Operator/Hoods/HoodAdultPrimeF</t>
        </is>
      </c>
      <c r="B1680" t="inlineStr">
        <is>
          <t>Tauron Prime Hood</t>
        </is>
      </c>
      <c r="D1680" t="inlineStr">
        <is>
          <t>ExportCustoms</t>
        </is>
      </c>
      <c r="F1680" t="inlineStr">
        <is>
          <t>Tauron Prime Hood</t>
        </is>
      </c>
      <c r="H1680" t="inlineStr">
        <is>
          <t>Has a game name, but we never matched it to a wiki page.</t>
        </is>
      </c>
      <c r="I1680" t="inlineStr">
        <is>
          <t>Customs</t>
        </is>
      </c>
      <c r="J1680" t="inlineStr">
        <is>
          <t>ExportCustoms_ground_truth</t>
        </is>
      </c>
      <c r="K1680" t="inlineStr">
        <is>
          <t>name or path</t>
        </is>
      </c>
      <c r="L1680" t="inlineStr">
        <is>
          <t>Cosmetics_data, Cosmetics_userdata</t>
        </is>
      </c>
      <c r="M1680" t="inlineStr">
        <is>
          <t>Not currently obtainable.</t>
        </is>
      </c>
      <c r="O1680" t="inlineStr">
        <is>
          <t>No wiki page uses this exact name.</t>
        </is>
      </c>
    </row>
    <row r="1681">
      <c r="A1681" t="inlineStr">
        <is>
          <t>/Lotus/Upgrades/Skins/Operator/Hoods/HoodPrimeF</t>
        </is>
      </c>
      <c r="B1681" t="inlineStr">
        <is>
          <t>Tauron Prime Hood</t>
        </is>
      </c>
      <c r="D1681" t="inlineStr">
        <is>
          <t>ExportCustoms</t>
        </is>
      </c>
      <c r="F1681" t="inlineStr">
        <is>
          <t>Tauron Prime Hood</t>
        </is>
      </c>
      <c r="H1681" t="inlineStr">
        <is>
          <t>Has a game name, but we never matched it to a wiki page.</t>
        </is>
      </c>
      <c r="I1681" t="inlineStr">
        <is>
          <t>Customs</t>
        </is>
      </c>
      <c r="J1681" t="inlineStr">
        <is>
          <t>ExportCustoms_ground_truth</t>
        </is>
      </c>
      <c r="K1681" t="inlineStr">
        <is>
          <t>name or path</t>
        </is>
      </c>
      <c r="L1681" t="inlineStr">
        <is>
          <t>Cosmetics_data, Cosmetics_userdata</t>
        </is>
      </c>
      <c r="M1681" t="inlineStr">
        <is>
          <t>Not currently obtainable.</t>
        </is>
      </c>
      <c r="O1681" t="inlineStr">
        <is>
          <t>No wiki page uses this exact name.</t>
        </is>
      </c>
    </row>
    <row r="1682">
      <c r="A1682" t="inlineStr">
        <is>
          <t>/Lotus/Upgrades/Skins/Operator/BodySuits/BodySuitAdultPrimeF</t>
        </is>
      </c>
      <c r="B1682" t="inlineStr">
        <is>
          <t>Tauron Prime Regalia</t>
        </is>
      </c>
      <c r="C1682" t="inlineStr">
        <is>
          <t>https://wiki.warframe.com/w/Redtext</t>
        </is>
      </c>
      <c r="D1682" t="inlineStr">
        <is>
          <t>ExportCustoms</t>
        </is>
      </c>
      <c r="F1682" t="inlineStr">
        <is>
          <t>Tauron Prime Regalia</t>
        </is>
      </c>
      <c r="H1682" t="inlineStr">
        <is>
          <t>Has a game name, but we never matched it to a wiki page.</t>
        </is>
      </c>
      <c r="I1682" t="inlineStr">
        <is>
          <t>Customs</t>
        </is>
      </c>
      <c r="J1682" t="inlineStr">
        <is>
          <t>ExportCustoms_ground_truth</t>
        </is>
      </c>
      <c r="K1682" t="inlineStr">
        <is>
          <t>name or path</t>
        </is>
      </c>
      <c r="L1682" t="inlineStr">
        <is>
          <t>Cosmetics_data, Cosmetics_userdata</t>
        </is>
      </c>
      <c r="M1682" t="inlineStr">
        <is>
          <t>Not currently obtainable.</t>
        </is>
      </c>
      <c r="N1682" t="inlineStr">
        <is>
          <t>Update 39 | Drifter/Patch History | Operator/Patch History | Redtext</t>
        </is>
      </c>
      <c r="O1682" t="inlineStr">
        <is>
          <t>There is a wiki page that mentions this name, but that page never says where you get the item.</t>
        </is>
      </c>
    </row>
    <row r="1683">
      <c r="A1683" t="inlineStr">
        <is>
          <t>/Lotus/Upgrades/Skins/Operator/BodySuits/BodySuitPrimeF</t>
        </is>
      </c>
      <c r="B1683" t="inlineStr">
        <is>
          <t>Tauron Prime Regalia</t>
        </is>
      </c>
      <c r="C1683" t="inlineStr">
        <is>
          <t>https://wiki.warframe.com/w/Redtext</t>
        </is>
      </c>
      <c r="D1683" t="inlineStr">
        <is>
          <t>ExportCustoms</t>
        </is>
      </c>
      <c r="F1683" t="inlineStr">
        <is>
          <t>Tauron Prime Regalia</t>
        </is>
      </c>
      <c r="H1683" t="inlineStr">
        <is>
          <t>Has a game name, but we never matched it to a wiki page.</t>
        </is>
      </c>
      <c r="I1683" t="inlineStr">
        <is>
          <t>Customs</t>
        </is>
      </c>
      <c r="J1683" t="inlineStr">
        <is>
          <t>ExportCustoms_ground_truth</t>
        </is>
      </c>
      <c r="K1683" t="inlineStr">
        <is>
          <t>name or path</t>
        </is>
      </c>
      <c r="L1683" t="inlineStr">
        <is>
          <t>Cosmetics_data, Cosmetics_userdata</t>
        </is>
      </c>
      <c r="M1683" t="inlineStr">
        <is>
          <t>Not currently obtainable.</t>
        </is>
      </c>
      <c r="N1683" t="inlineStr">
        <is>
          <t>Update 39 | Drifter/Patch History | Operator/Patch History | Redtext</t>
        </is>
      </c>
      <c r="O1683" t="inlineStr">
        <is>
          <t>There is a wiki page that mentions this name, but that page never says where you get the item.</t>
        </is>
      </c>
    </row>
    <row r="1684">
      <c r="A1684" t="inlineStr">
        <is>
          <t>/Lotus/Upgrades/Skins/Operator/Sleeves/SleevesAdultPrimeF</t>
        </is>
      </c>
      <c r="B1684" t="inlineStr">
        <is>
          <t>Tauron Prime Sleeves</t>
        </is>
      </c>
      <c r="D1684" t="inlineStr">
        <is>
          <t>ExportCustoms</t>
        </is>
      </c>
      <c r="F1684" t="inlineStr">
        <is>
          <t>Tauron Prime Sleeves</t>
        </is>
      </c>
      <c r="H1684" t="inlineStr">
        <is>
          <t>Has a game name, but we never matched it to a wiki page.</t>
        </is>
      </c>
      <c r="I1684" t="inlineStr">
        <is>
          <t>Customs</t>
        </is>
      </c>
      <c r="J1684" t="inlineStr">
        <is>
          <t>ExportCustoms_ground_truth</t>
        </is>
      </c>
      <c r="K1684" t="inlineStr">
        <is>
          <t>name or path</t>
        </is>
      </c>
      <c r="L1684" t="inlineStr">
        <is>
          <t>Cosmetics_data, Cosmetics_userdata</t>
        </is>
      </c>
      <c r="M1684" t="inlineStr">
        <is>
          <t>Not currently obtainable.</t>
        </is>
      </c>
      <c r="O1684" t="inlineStr">
        <is>
          <t>No wiki page uses this exact name.</t>
        </is>
      </c>
    </row>
    <row r="1685">
      <c r="A1685" t="inlineStr">
        <is>
          <t>/Lotus/Upgrades/Skins/Operator/Sleeves/SleevesPrimeF</t>
        </is>
      </c>
      <c r="B1685" t="inlineStr">
        <is>
          <t>Tauron Prime Sleeves</t>
        </is>
      </c>
      <c r="D1685" t="inlineStr">
        <is>
          <t>ExportCustoms</t>
        </is>
      </c>
      <c r="F1685" t="inlineStr">
        <is>
          <t>Tauron Prime Sleeves</t>
        </is>
      </c>
      <c r="H1685" t="inlineStr">
        <is>
          <t>Has a game name, but we never matched it to a wiki page.</t>
        </is>
      </c>
      <c r="I1685" t="inlineStr">
        <is>
          <t>Customs</t>
        </is>
      </c>
      <c r="J1685" t="inlineStr">
        <is>
          <t>ExportCustoms_ground_truth</t>
        </is>
      </c>
      <c r="K1685" t="inlineStr">
        <is>
          <t>name or path</t>
        </is>
      </c>
      <c r="L1685" t="inlineStr">
        <is>
          <t>Cosmetics_data, Cosmetics_userdata</t>
        </is>
      </c>
      <c r="M1685" t="inlineStr">
        <is>
          <t>Not currently obtainable.</t>
        </is>
      </c>
      <c r="O1685" t="inlineStr">
        <is>
          <t>No wiki page uses this exact name.</t>
        </is>
      </c>
    </row>
    <row r="1686">
      <c r="A1686" t="inlineStr">
        <is>
          <t>/Lotus/Upgrades/Skins/DemonFrame/DemonFrameHelmet</t>
        </is>
      </c>
      <c r="B1686" t="inlineStr">
        <is>
          <t>Uriel Helmet</t>
        </is>
      </c>
      <c r="D1686" t="inlineStr">
        <is>
          <t>ExportCustoms</t>
        </is>
      </c>
      <c r="F1686" t="inlineStr">
        <is>
          <t>Uriel Helmet</t>
        </is>
      </c>
      <c r="H1686" t="inlineStr">
        <is>
          <t>Has a game name, but we never matched it to a wiki page.</t>
        </is>
      </c>
      <c r="I1686" t="inlineStr">
        <is>
          <t>Customs</t>
        </is>
      </c>
      <c r="J1686" t="inlineStr">
        <is>
          <t>Cosmetics_data, Cosmetics_userdata, ExportCustoms_ground_truth</t>
        </is>
      </c>
      <c r="K1686" t="inlineStr">
        <is>
          <t>name or path</t>
        </is>
      </c>
      <c r="M1686" t="inlineStr">
        <is>
          <t>Included with Uriel; acquire Uriel from The Old Peace, Roathe's Oblivion in The Descendia or Roathe for Maphica.</t>
        </is>
      </c>
      <c r="O1686" t="inlineStr">
        <is>
          <t>No wiki page uses this exact name.</t>
        </is>
      </c>
    </row>
    <row r="1687">
      <c r="A1687" t="inlineStr">
        <is>
          <t>/Lotus/Upgrades/Skins/Garuda/GarudaGeminiClawsSkin</t>
        </is>
      </c>
      <c r="B1687" t="inlineStr">
        <is>
          <t>Vena's Talons</t>
        </is>
      </c>
      <c r="C1687" t="inlineStr">
        <is>
          <t>https://wiki.warframe.com/w/Garuda_Prime_Talons | https://wiki.warframe.com/w/Garuda_Talons | https://wiki.warframe.com/w/Gemini_Skins</t>
        </is>
      </c>
      <c r="D1687" t="inlineStr">
        <is>
          <t>ExportCustoms</t>
        </is>
      </c>
      <c r="F1687" t="inlineStr">
        <is>
          <t>Vena's Talons</t>
        </is>
      </c>
      <c r="H1687" t="inlineStr">
        <is>
          <t>Has a game name, but we never matched it to a wiki page.</t>
        </is>
      </c>
      <c r="I1687" t="inlineStr">
        <is>
          <t>Customs</t>
        </is>
      </c>
      <c r="J1687" t="inlineStr">
        <is>
          <t>Cosmetics_data, Cosmetics_data_weaponskin, ExportCustoms_ground_truth</t>
        </is>
      </c>
      <c r="K1687" t="inlineStr">
        <is>
          <t>name or path</t>
        </is>
      </c>
      <c r="M1687" t="inlineStr">
        <is>
          <t>Included with the Vena Gemini Skin; purchase it from the in-game Market for 275 Platinum or in the Constellations Gemini Collection for 440 Platinum.</t>
        </is>
      </c>
      <c r="N1687" t="inlineStr">
        <is>
          <t>Garuda Prime Talons | Garuda Talons | Gemini Skins</t>
        </is>
      </c>
      <c r="O1687" t="inlineStr">
        <is>
          <t>There is a wiki page that mentions this name, but that page never says where you get the item.</t>
        </is>
      </c>
    </row>
    <row r="1688">
      <c r="A1688" t="inlineStr">
        <is>
          <t>/Lotus/Upgrades/Skins/Werewolf/VorunaDeluxeHelmet</t>
        </is>
      </c>
      <c r="B1688" t="inlineStr">
        <is>
          <t>Voruna Medeina Helmet</t>
        </is>
      </c>
      <c r="D1688" t="inlineStr">
        <is>
          <t>ExportCustoms</t>
        </is>
      </c>
      <c r="F1688" t="inlineStr">
        <is>
          <t>Voruna Medeina Helmet</t>
        </is>
      </c>
      <c r="H1688" t="inlineStr">
        <is>
          <t>Has a game name, but we never matched it to a wiki page.</t>
        </is>
      </c>
      <c r="I1688" t="inlineStr">
        <is>
          <t>Customs</t>
        </is>
      </c>
      <c r="J1688" t="inlineStr">
        <is>
          <t>Cosmetics_data, Cosmetics_userdata, ExportCustoms_ground_truth</t>
        </is>
      </c>
      <c r="K1688" t="inlineStr">
        <is>
          <t>name or path</t>
        </is>
      </c>
      <c r="M1688" t="inlineStr">
        <is>
          <t>Included with the Voruna Medeina Skin; purchase it from the in-game Market for 165 Platinum or in the Voruna Medeina Collection for 320 Platinum.</t>
        </is>
      </c>
      <c r="O1688" t="inlineStr">
        <is>
          <t>No wiki page uses this exact name.</t>
        </is>
      </c>
    </row>
    <row r="1689">
      <c r="A1689" t="inlineStr">
        <is>
          <t>/Lotus/Upgrades/Skins/MonkeyKing/WukongDeluxeBHelmet</t>
        </is>
      </c>
      <c r="B1689" t="inlineStr">
        <is>
          <t>Wukong Qitian Helmet</t>
        </is>
      </c>
      <c r="D1689" t="inlineStr">
        <is>
          <t>ExportCustoms</t>
        </is>
      </c>
      <c r="F1689" t="inlineStr">
        <is>
          <t>Wukong Qitian Helmet</t>
        </is>
      </c>
      <c r="H1689" t="inlineStr">
        <is>
          <t>Has a game name, but we never matched it to a wiki page.</t>
        </is>
      </c>
      <c r="I1689" t="inlineStr">
        <is>
          <t>Customs</t>
        </is>
      </c>
      <c r="J1689" t="inlineStr">
        <is>
          <t>ExportCustoms_ground_truth</t>
        </is>
      </c>
      <c r="K1689" t="inlineStr">
        <is>
          <t>name or path</t>
        </is>
      </c>
      <c r="M1689" t="inlineStr">
        <is>
          <t>Included with the Wukong Qitian Skin; purchase it from the in-game Market for 170 Platinum or in the Wukong Qitian Collection for 295 Platinum.</t>
        </is>
      </c>
      <c r="O1689" t="inlineStr">
        <is>
          <t>No wiki page uses this exact name.</t>
        </is>
      </c>
    </row>
    <row r="1690">
      <c r="A1690" t="inlineStr">
        <is>
          <t>/Lotus/Upgrades/Skins/Operator/AnimationSets/BaseOperatorAnims</t>
        </is>
      </c>
      <c r="B1690" t="inlineStr">
        <is>
          <t>BaseOperatorAnims</t>
        </is>
      </c>
      <c r="D1690" t="inlineStr">
        <is>
          <t>ExportCustoms</t>
        </is>
      </c>
      <c r="F1690" t="inlineStr">
        <is>
          <t>BaseOperatorAnims</t>
        </is>
      </c>
      <c r="H1690" t="inlineStr">
        <is>
          <t>Not a collectible: identity settled and archived 2026-10-17.</t>
        </is>
      </c>
      <c r="I1690" t="inlineStr">
        <is>
          <t>Customs</t>
        </is>
      </c>
      <c r="J1690" t="inlineStr">
        <is>
          <t>ExportCustoms_ground_truth</t>
        </is>
      </c>
      <c r="K1690" t="inlineStr">
        <is>
          <t>name or path</t>
        </is>
      </c>
      <c r="M1690" t="inlineStr">
        <is>
          <t>Not currently listed as a collectible — base Operator animation set.</t>
        </is>
      </c>
      <c r="O1690" t="inlineStr">
        <is>
          <t>No wiki page uses this exact name.</t>
        </is>
      </c>
    </row>
    <row r="1691">
      <c r="A1691" t="inlineStr">
        <is>
          <t>/Lotus/Upgrades/Skins/Operator/EyeBrows/EyeBrowDC</t>
        </is>
      </c>
      <c r="B1691" t="inlineStr">
        <is>
          <t>Brow 61-T</t>
        </is>
      </c>
      <c r="C1691" t="inlineStr">
        <is>
          <t>https://wiki.warframe.com/w/Operator/Customization</t>
        </is>
      </c>
      <c r="D1691" t="inlineStr">
        <is>
          <t>ExportCustoms</t>
        </is>
      </c>
      <c r="F1691" t="inlineStr">
        <is>
          <t>Brow 61-T</t>
        </is>
      </c>
      <c r="H1691" t="inlineStr">
        <is>
          <t>Held: archived 2026-10-17 until a real source exists.</t>
        </is>
      </c>
      <c r="I1691" t="inlineStr">
        <is>
          <t>Customs</t>
        </is>
      </c>
      <c r="J1691" t="inlineStr">
        <is>
          <t>ExportCustoms_ground_truth</t>
        </is>
      </c>
      <c r="K1691" t="inlineStr">
        <is>
          <t>name or path</t>
        </is>
      </c>
      <c r="M1691" t="inlineStr">
        <is>
          <t>Hold — operator eyebrow customization; wiki has no concrete price/source.</t>
        </is>
      </c>
      <c r="N1691" t="inlineStr">
        <is>
          <t>Operator/Customization | Drifter/Patch History | Operator/Patch History</t>
        </is>
      </c>
      <c r="O1691" t="inlineStr">
        <is>
          <t>There is a wiki page that mentions this name, but that page never says where you get the item.</t>
        </is>
      </c>
    </row>
    <row r="1692">
      <c r="A1692" t="inlineStr">
        <is>
          <t>/Lotus/Upgrades/Skins/Operator/EyeBrows/EyeBrowBB</t>
        </is>
      </c>
      <c r="B1692" t="inlineStr">
        <is>
          <t>Brow 71-J</t>
        </is>
      </c>
      <c r="C1692" t="inlineStr">
        <is>
          <t>https://wiki.warframe.com/w/Operator/Customization</t>
        </is>
      </c>
      <c r="D1692" t="inlineStr">
        <is>
          <t>ExportCustoms</t>
        </is>
      </c>
      <c r="F1692" t="inlineStr">
        <is>
          <t>Brow 71-J</t>
        </is>
      </c>
      <c r="H1692" t="inlineStr">
        <is>
          <t>Held: archived 2026-10-17 until a real source exists.</t>
        </is>
      </c>
      <c r="I1692" t="inlineStr">
        <is>
          <t>Customs</t>
        </is>
      </c>
      <c r="J1692" t="inlineStr">
        <is>
          <t>ExportCustoms_ground_truth</t>
        </is>
      </c>
      <c r="K1692" t="inlineStr">
        <is>
          <t>name or path</t>
        </is>
      </c>
      <c r="M1692" t="inlineStr">
        <is>
          <t>Hold — operator eyebrow customization; wiki has no concrete price/source.</t>
        </is>
      </c>
      <c r="N1692" t="inlineStr">
        <is>
          <t>Operator/Customization</t>
        </is>
      </c>
      <c r="O1692" t="inlineStr">
        <is>
          <t>There is a wiki page that mentions this name, but that page never says where you get the item.</t>
        </is>
      </c>
    </row>
    <row r="1693">
      <c r="A1693" t="inlineStr">
        <is>
          <t>/Lotus/Upgrades/Skins/Operator/EyeBrows/EyeBrowBF</t>
        </is>
      </c>
      <c r="B1693" t="inlineStr">
        <is>
          <t>Brow 80-N</t>
        </is>
      </c>
      <c r="C1693" t="inlineStr">
        <is>
          <t>https://wiki.warframe.com/w/Operator/Customization</t>
        </is>
      </c>
      <c r="D1693" t="inlineStr">
        <is>
          <t>ExportCustoms</t>
        </is>
      </c>
      <c r="F1693" t="inlineStr">
        <is>
          <t>Brow 80-N</t>
        </is>
      </c>
      <c r="H1693" t="inlineStr">
        <is>
          <t>Held: archived 2026-10-17 until a real source exists.</t>
        </is>
      </c>
      <c r="I1693" t="inlineStr">
        <is>
          <t>Customs</t>
        </is>
      </c>
      <c r="J1693" t="inlineStr">
        <is>
          <t>ExportCustoms_ground_truth</t>
        </is>
      </c>
      <c r="K1693" t="inlineStr">
        <is>
          <t>name or path</t>
        </is>
      </c>
      <c r="M1693" t="inlineStr">
        <is>
          <t>Hold — operator eyebrow customization; wiki has no concrete price/source.</t>
        </is>
      </c>
      <c r="N1693" t="inlineStr">
        <is>
          <t>Operator/Customization</t>
        </is>
      </c>
      <c r="O1693" t="inlineStr">
        <is>
          <t>There is a wiki page that mentions this name, but that page never says where you get the item.</t>
        </is>
      </c>
    </row>
    <row r="1694">
      <c r="A1694" t="inlineStr">
        <is>
          <t>/Lotus/Upgrades/Skins/Operator/EyeBrows/EyeBrowDA</t>
        </is>
      </c>
      <c r="B1694" t="inlineStr">
        <is>
          <t>Brow E8-C</t>
        </is>
      </c>
      <c r="C1694" t="inlineStr">
        <is>
          <t>https://wiki.warframe.com/w/Operator/Customization</t>
        </is>
      </c>
      <c r="D1694" t="inlineStr">
        <is>
          <t>ExportCustoms</t>
        </is>
      </c>
      <c r="F1694" t="inlineStr">
        <is>
          <t>Brow E8-C</t>
        </is>
      </c>
      <c r="H1694" t="inlineStr">
        <is>
          <t>Held: archived 2026-10-17 until a real source exists.</t>
        </is>
      </c>
      <c r="I1694" t="inlineStr">
        <is>
          <t>Customs</t>
        </is>
      </c>
      <c r="J1694" t="inlineStr">
        <is>
          <t>ExportCustoms_ground_truth</t>
        </is>
      </c>
      <c r="K1694" t="inlineStr">
        <is>
          <t>name or path</t>
        </is>
      </c>
      <c r="M1694" t="inlineStr">
        <is>
          <t>Hold — operator eyebrow customization; wiki has no concrete price/source.</t>
        </is>
      </c>
      <c r="N1694" t="inlineStr">
        <is>
          <t>Operator/Customization | Drifter/Patch History | Operator/Patch History</t>
        </is>
      </c>
      <c r="O1694" t="inlineStr">
        <is>
          <t>There is a wiki page that mentions this name, but that page never says where you get the item.</t>
        </is>
      </c>
    </row>
    <row r="1695">
      <c r="A1695" t="inlineStr">
        <is>
          <t>/Lotus/Upgrades/Skins/Operator/EyeBrows/EyeBrowBA</t>
        </is>
      </c>
      <c r="B1695" t="inlineStr">
        <is>
          <t>Brow I4-7</t>
        </is>
      </c>
      <c r="C1695" t="inlineStr">
        <is>
          <t>https://wiki.warframe.com/w/Operator/Customization</t>
        </is>
      </c>
      <c r="D1695" t="inlineStr">
        <is>
          <t>ExportCustoms</t>
        </is>
      </c>
      <c r="F1695" t="inlineStr">
        <is>
          <t>Brow I4-7</t>
        </is>
      </c>
      <c r="H1695" t="inlineStr">
        <is>
          <t>Held: archived 2026-10-17 until a real source exists.</t>
        </is>
      </c>
      <c r="I1695" t="inlineStr">
        <is>
          <t>Customs</t>
        </is>
      </c>
      <c r="J1695" t="inlineStr">
        <is>
          <t>ExportCustoms_ground_truth</t>
        </is>
      </c>
      <c r="K1695" t="inlineStr">
        <is>
          <t>name or path</t>
        </is>
      </c>
      <c r="M1695" t="inlineStr">
        <is>
          <t>Hold — operator eyebrow customization; wiki has no concrete price/source.</t>
        </is>
      </c>
      <c r="N1695" t="inlineStr">
        <is>
          <t>Operator/Customization</t>
        </is>
      </c>
      <c r="O1695" t="inlineStr">
        <is>
          <t>There is a wiki page that mentions this name, but that page never says where you get the item.</t>
        </is>
      </c>
    </row>
    <row r="1696">
      <c r="A1696" t="inlineStr">
        <is>
          <t>/Lotus/Upgrades/Skins/Operator/EyeBrows/EyeBrowBC</t>
        </is>
      </c>
      <c r="B1696" t="inlineStr">
        <is>
          <t>Brow K5-6</t>
        </is>
      </c>
      <c r="C1696" t="inlineStr">
        <is>
          <t>https://wiki.warframe.com/w/Operator/Customization</t>
        </is>
      </c>
      <c r="D1696" t="inlineStr">
        <is>
          <t>ExportCustoms</t>
        </is>
      </c>
      <c r="F1696" t="inlineStr">
        <is>
          <t>Brow K5-6</t>
        </is>
      </c>
      <c r="H1696" t="inlineStr">
        <is>
          <t>Held: archived 2026-10-17 until a real source exists.</t>
        </is>
      </c>
      <c r="I1696" t="inlineStr">
        <is>
          <t>Customs</t>
        </is>
      </c>
      <c r="J1696" t="inlineStr">
        <is>
          <t>ExportCustoms_ground_truth</t>
        </is>
      </c>
      <c r="K1696" t="inlineStr">
        <is>
          <t>name or path</t>
        </is>
      </c>
      <c r="M1696" t="inlineStr">
        <is>
          <t>Hold — operator eyebrow customization; wiki has no concrete price/source.</t>
        </is>
      </c>
      <c r="N1696" t="inlineStr">
        <is>
          <t>Operator/Customization</t>
        </is>
      </c>
      <c r="O1696" t="inlineStr">
        <is>
          <t>There is a wiki page that mentions this name, but that page never says where you get the item.</t>
        </is>
      </c>
    </row>
    <row r="1697">
      <c r="A1697" t="inlineStr">
        <is>
          <t>/Lotus/Upgrades/Skins/Operator/EyeBrows/EyeBrowBD</t>
        </is>
      </c>
      <c r="B1697" t="inlineStr">
        <is>
          <t>Brow L0-3</t>
        </is>
      </c>
      <c r="C1697" t="inlineStr">
        <is>
          <t>https://wiki.warframe.com/w/Operator/Customization</t>
        </is>
      </c>
      <c r="D1697" t="inlineStr">
        <is>
          <t>ExportCustoms</t>
        </is>
      </c>
      <c r="F1697" t="inlineStr">
        <is>
          <t>Brow L0-3</t>
        </is>
      </c>
      <c r="H1697" t="inlineStr">
        <is>
          <t>Held: archived 2026-10-17 until a real source exists.</t>
        </is>
      </c>
      <c r="I1697" t="inlineStr">
        <is>
          <t>Customs</t>
        </is>
      </c>
      <c r="J1697" t="inlineStr">
        <is>
          <t>ExportCustoms_ground_truth</t>
        </is>
      </c>
      <c r="K1697" t="inlineStr">
        <is>
          <t>name or path</t>
        </is>
      </c>
      <c r="M1697" t="inlineStr">
        <is>
          <t>Hold — operator eyebrow customization; wiki has no concrete price/source.</t>
        </is>
      </c>
      <c r="N1697" t="inlineStr">
        <is>
          <t>Operator/Customization</t>
        </is>
      </c>
      <c r="O1697" t="inlineStr">
        <is>
          <t>There is a wiki page that mentions this name, but that page never says where you get the item.</t>
        </is>
      </c>
    </row>
    <row r="1698">
      <c r="A1698" t="inlineStr">
        <is>
          <t>/Lotus/Upgrades/Skins/Operator/EyeBrows/EyeBrowBE</t>
        </is>
      </c>
      <c r="B1698" t="inlineStr">
        <is>
          <t>Brow M5-9</t>
        </is>
      </c>
      <c r="C1698" t="inlineStr">
        <is>
          <t>https://wiki.warframe.com/w/Operator/Customization</t>
        </is>
      </c>
      <c r="D1698" t="inlineStr">
        <is>
          <t>ExportCustoms</t>
        </is>
      </c>
      <c r="F1698" t="inlineStr">
        <is>
          <t>Brow M5-9</t>
        </is>
      </c>
      <c r="H1698" t="inlineStr">
        <is>
          <t>Held: archived 2026-10-17 until a real source exists.</t>
        </is>
      </c>
      <c r="I1698" t="inlineStr">
        <is>
          <t>Customs</t>
        </is>
      </c>
      <c r="J1698" t="inlineStr">
        <is>
          <t>ExportCustoms_ground_truth</t>
        </is>
      </c>
      <c r="K1698" t="inlineStr">
        <is>
          <t>name or path</t>
        </is>
      </c>
      <c r="M1698" t="inlineStr">
        <is>
          <t>Hold — operator eyebrow customization; wiki has no concrete price/source.</t>
        </is>
      </c>
      <c r="N1698" t="inlineStr">
        <is>
          <t>Operator/Customization</t>
        </is>
      </c>
      <c r="O1698" t="inlineStr">
        <is>
          <t>There is a wiki page that mentions this name, but that page never says where you get the item.</t>
        </is>
      </c>
    </row>
    <row r="1699">
      <c r="A1699" t="inlineStr">
        <is>
          <t>/Lotus/Upgrades/Skins/Operator/EyeBrows/EyeBrowBG</t>
        </is>
      </c>
      <c r="B1699" t="inlineStr">
        <is>
          <t>Brow O1-1</t>
        </is>
      </c>
      <c r="C1699" t="inlineStr">
        <is>
          <t>https://wiki.warframe.com/w/Operator/Customization</t>
        </is>
      </c>
      <c r="D1699" t="inlineStr">
        <is>
          <t>ExportCustoms</t>
        </is>
      </c>
      <c r="F1699" t="inlineStr">
        <is>
          <t>Brow O1-1</t>
        </is>
      </c>
      <c r="H1699" t="inlineStr">
        <is>
          <t>Held: archived 2026-10-17 until a real source exists.</t>
        </is>
      </c>
      <c r="I1699" t="inlineStr">
        <is>
          <t>Customs</t>
        </is>
      </c>
      <c r="J1699" t="inlineStr">
        <is>
          <t>ExportCustoms_ground_truth</t>
        </is>
      </c>
      <c r="K1699" t="inlineStr">
        <is>
          <t>name or path</t>
        </is>
      </c>
      <c r="M1699" t="inlineStr">
        <is>
          <t>Hold — operator eyebrow customization; wiki has no concrete price/source.</t>
        </is>
      </c>
      <c r="N1699" t="inlineStr">
        <is>
          <t>Operator/Customization</t>
        </is>
      </c>
      <c r="O1699" t="inlineStr">
        <is>
          <t>There is a wiki page that mentions this name, but that page never says where you get the item.</t>
        </is>
      </c>
    </row>
    <row r="1700">
      <c r="A1700" t="inlineStr">
        <is>
          <t>/Lotus/Upgrades/Skins/Operator/EyeBrows/EyeBrowBH</t>
        </is>
      </c>
      <c r="B1700" t="inlineStr">
        <is>
          <t>Brow P4-X</t>
        </is>
      </c>
      <c r="C1700" t="inlineStr">
        <is>
          <t>https://wiki.warframe.com/w/Operator/Customization</t>
        </is>
      </c>
      <c r="D1700" t="inlineStr">
        <is>
          <t>ExportCustoms</t>
        </is>
      </c>
      <c r="F1700" t="inlineStr">
        <is>
          <t>Brow P4-X</t>
        </is>
      </c>
      <c r="H1700" t="inlineStr">
        <is>
          <t>Held: archived 2026-10-17 until a real source exists.</t>
        </is>
      </c>
      <c r="I1700" t="inlineStr">
        <is>
          <t>Customs</t>
        </is>
      </c>
      <c r="J1700" t="inlineStr">
        <is>
          <t>ExportCustoms_ground_truth</t>
        </is>
      </c>
      <c r="K1700" t="inlineStr">
        <is>
          <t>name or path</t>
        </is>
      </c>
      <c r="M1700" t="inlineStr">
        <is>
          <t>Hold — operator eyebrow customization; wiki has no concrete price/source.</t>
        </is>
      </c>
      <c r="N1700" t="inlineStr">
        <is>
          <t>Operator/Customization</t>
        </is>
      </c>
      <c r="O1700" t="inlineStr">
        <is>
          <t>There is a wiki page that mentions this name, but that page never says where you get the item.</t>
        </is>
      </c>
    </row>
    <row r="1701">
      <c r="A1701" t="inlineStr">
        <is>
          <t>/Lotus/Upgrades/Skins/Operator/EyeBrows/EyeBrowCA</t>
        </is>
      </c>
      <c r="B1701" t="inlineStr">
        <is>
          <t>Brow Q6-R</t>
        </is>
      </c>
      <c r="C1701" t="inlineStr">
        <is>
          <t>https://wiki.warframe.com/w/Operator/Customization</t>
        </is>
      </c>
      <c r="D1701" t="inlineStr">
        <is>
          <t>ExportCustoms</t>
        </is>
      </c>
      <c r="F1701" t="inlineStr">
        <is>
          <t>Brow Q6-R</t>
        </is>
      </c>
      <c r="H1701" t="inlineStr">
        <is>
          <t>Held: archived 2026-10-17 until a real source exists.</t>
        </is>
      </c>
      <c r="I1701" t="inlineStr">
        <is>
          <t>Customs</t>
        </is>
      </c>
      <c r="J1701" t="inlineStr">
        <is>
          <t>ExportCustoms_ground_truth</t>
        </is>
      </c>
      <c r="K1701" t="inlineStr">
        <is>
          <t>name or path</t>
        </is>
      </c>
      <c r="M1701" t="inlineStr">
        <is>
          <t>Hold — operator eyebrow customization; wiki has no concrete price/source.</t>
        </is>
      </c>
      <c r="N1701" t="inlineStr">
        <is>
          <t>Operator/Customization</t>
        </is>
      </c>
      <c r="O1701" t="inlineStr">
        <is>
          <t>There is a wiki page that mentions this name, but that page never says where you get the item.</t>
        </is>
      </c>
    </row>
    <row r="1702">
      <c r="A1702" t="inlineStr">
        <is>
          <t>/Lotus/Upgrades/Skins/Operator/EyeBrows/EyeBrowCB</t>
        </is>
      </c>
      <c r="B1702" t="inlineStr">
        <is>
          <t>Brow R7-0</t>
        </is>
      </c>
      <c r="C1702" t="inlineStr">
        <is>
          <t>https://wiki.warframe.com/w/Operator/Customization</t>
        </is>
      </c>
      <c r="D1702" t="inlineStr">
        <is>
          <t>ExportCustoms</t>
        </is>
      </c>
      <c r="F1702" t="inlineStr">
        <is>
          <t>Brow R7-0</t>
        </is>
      </c>
      <c r="H1702" t="inlineStr">
        <is>
          <t>Held: archived 2026-10-17 until a real source exists.</t>
        </is>
      </c>
      <c r="I1702" t="inlineStr">
        <is>
          <t>Customs</t>
        </is>
      </c>
      <c r="J1702" t="inlineStr">
        <is>
          <t>ExportCustoms_ground_truth</t>
        </is>
      </c>
      <c r="K1702" t="inlineStr">
        <is>
          <t>name or path</t>
        </is>
      </c>
      <c r="M1702" t="inlineStr">
        <is>
          <t>Hold — operator eyebrow customization; wiki has no concrete price/source.</t>
        </is>
      </c>
      <c r="N1702" t="inlineStr">
        <is>
          <t>Operator/Customization</t>
        </is>
      </c>
      <c r="O1702" t="inlineStr">
        <is>
          <t>There is a wiki page that mentions this name, but that page never says where you get the item.</t>
        </is>
      </c>
    </row>
    <row r="1703">
      <c r="A1703" t="inlineStr">
        <is>
          <t>/Lotus/Upgrades/Skins/Operator/EyeBrows/EyeBrowCC</t>
        </is>
      </c>
      <c r="B1703" t="inlineStr">
        <is>
          <t>Brow S4-J</t>
        </is>
      </c>
      <c r="C1703" t="inlineStr">
        <is>
          <t>https://wiki.warframe.com/w/Operator/Customization</t>
        </is>
      </c>
      <c r="D1703" t="inlineStr">
        <is>
          <t>ExportCustoms</t>
        </is>
      </c>
      <c r="F1703" t="inlineStr">
        <is>
          <t>Brow S4-J</t>
        </is>
      </c>
      <c r="H1703" t="inlineStr">
        <is>
          <t>Held: archived 2026-10-17 until a real source exists.</t>
        </is>
      </c>
      <c r="I1703" t="inlineStr">
        <is>
          <t>Customs</t>
        </is>
      </c>
      <c r="J1703" t="inlineStr">
        <is>
          <t>ExportCustoms_ground_truth</t>
        </is>
      </c>
      <c r="K1703" t="inlineStr">
        <is>
          <t>name or path</t>
        </is>
      </c>
      <c r="M1703" t="inlineStr">
        <is>
          <t>Hold — operator eyebrow customization; wiki has no concrete price/source.</t>
        </is>
      </c>
      <c r="N1703" t="inlineStr">
        <is>
          <t>Operator/Customization</t>
        </is>
      </c>
      <c r="O1703" t="inlineStr">
        <is>
          <t>There is a wiki page that mentions this name, but that page never says where you get the item.</t>
        </is>
      </c>
    </row>
    <row r="1704">
      <c r="A1704" t="inlineStr">
        <is>
          <t>/Lotus/Upgrades/Skins/Operator/EyeBrows/EyeBrowCD</t>
        </is>
      </c>
      <c r="B1704" t="inlineStr">
        <is>
          <t>Brow T3-4</t>
        </is>
      </c>
      <c r="C1704" t="inlineStr">
        <is>
          <t>https://wiki.warframe.com/w/Operator/Customization</t>
        </is>
      </c>
      <c r="D1704" t="inlineStr">
        <is>
          <t>ExportCustoms</t>
        </is>
      </c>
      <c r="F1704" t="inlineStr">
        <is>
          <t>Brow T3-4</t>
        </is>
      </c>
      <c r="H1704" t="inlineStr">
        <is>
          <t>Held: archived 2026-10-17 until a real source exists.</t>
        </is>
      </c>
      <c r="I1704" t="inlineStr">
        <is>
          <t>Customs</t>
        </is>
      </c>
      <c r="J1704" t="inlineStr">
        <is>
          <t>ExportCustoms_ground_truth</t>
        </is>
      </c>
      <c r="K1704" t="inlineStr">
        <is>
          <t>name or path</t>
        </is>
      </c>
      <c r="M1704" t="inlineStr">
        <is>
          <t>Hold — operator eyebrow customization; wiki has no concrete price/source.</t>
        </is>
      </c>
      <c r="N1704" t="inlineStr">
        <is>
          <t>Operator/Customization</t>
        </is>
      </c>
      <c r="O1704" t="inlineStr">
        <is>
          <t>There is a wiki page that mentions this name, but that page never says where you get the item.</t>
        </is>
      </c>
    </row>
    <row r="1705">
      <c r="A1705" t="inlineStr">
        <is>
          <t>/Lotus/Upgrades/Skins/Operator/EyeBrows/EyeBrowCE</t>
        </is>
      </c>
      <c r="B1705" t="inlineStr">
        <is>
          <t>Brow U4-v</t>
        </is>
      </c>
      <c r="C1705" t="inlineStr">
        <is>
          <t>https://wiki.warframe.com/w/Operator/Customization</t>
        </is>
      </c>
      <c r="D1705" t="inlineStr">
        <is>
          <t>ExportCustoms</t>
        </is>
      </c>
      <c r="F1705" t="inlineStr">
        <is>
          <t>Brow U4-v</t>
        </is>
      </c>
      <c r="H1705" t="inlineStr">
        <is>
          <t>Held: archived 2026-10-17 until a real source exists.</t>
        </is>
      </c>
      <c r="I1705" t="inlineStr">
        <is>
          <t>Customs</t>
        </is>
      </c>
      <c r="J1705" t="inlineStr">
        <is>
          <t>ExportCustoms_ground_truth</t>
        </is>
      </c>
      <c r="K1705" t="inlineStr">
        <is>
          <t>name or path</t>
        </is>
      </c>
      <c r="M1705" t="inlineStr">
        <is>
          <t>Hold — operator eyebrow customization; wiki has no concrete price/source.</t>
        </is>
      </c>
      <c r="N1705" t="inlineStr">
        <is>
          <t>Operator/Customization</t>
        </is>
      </c>
      <c r="O1705" t="inlineStr">
        <is>
          <t>There is a wiki page that mentions this name, but that page never says where you get the item.</t>
        </is>
      </c>
    </row>
    <row r="1706">
      <c r="A1706" t="inlineStr">
        <is>
          <t>/Lotus/Upgrades/Skins/Operator/EyeBrows/EyeBrowCF</t>
        </is>
      </c>
      <c r="B1706" t="inlineStr">
        <is>
          <t>Brow V9-5</t>
        </is>
      </c>
      <c r="C1706" t="inlineStr">
        <is>
          <t>https://wiki.warframe.com/w/Operator/Customization</t>
        </is>
      </c>
      <c r="D1706" t="inlineStr">
        <is>
          <t>ExportCustoms</t>
        </is>
      </c>
      <c r="F1706" t="inlineStr">
        <is>
          <t>Brow V9-5</t>
        </is>
      </c>
      <c r="H1706" t="inlineStr">
        <is>
          <t>Held: archived 2026-10-17 until a real source exists.</t>
        </is>
      </c>
      <c r="I1706" t="inlineStr">
        <is>
          <t>Customs</t>
        </is>
      </c>
      <c r="J1706" t="inlineStr">
        <is>
          <t>ExportCustoms_ground_truth</t>
        </is>
      </c>
      <c r="K1706" t="inlineStr">
        <is>
          <t>name or path</t>
        </is>
      </c>
      <c r="M1706" t="inlineStr">
        <is>
          <t>Hold — operator eyebrow customization; wiki has no concrete price/source.</t>
        </is>
      </c>
      <c r="N1706" t="inlineStr">
        <is>
          <t>Operator/Customization</t>
        </is>
      </c>
      <c r="O1706" t="inlineStr">
        <is>
          <t>There is a wiki page that mentions this name, but that page never says where you get the item.</t>
        </is>
      </c>
    </row>
    <row r="1707">
      <c r="A1707" t="inlineStr">
        <is>
          <t>/Lotus/Upgrades/Skins/Operator/EyeBrows/EyeBrowCG</t>
        </is>
      </c>
      <c r="B1707" t="inlineStr">
        <is>
          <t>Brow W2-4</t>
        </is>
      </c>
      <c r="C1707" t="inlineStr">
        <is>
          <t>https://wiki.warframe.com/w/Operator/Customization</t>
        </is>
      </c>
      <c r="D1707" t="inlineStr">
        <is>
          <t>ExportCustoms</t>
        </is>
      </c>
      <c r="F1707" t="inlineStr">
        <is>
          <t>Brow W2-4</t>
        </is>
      </c>
      <c r="H1707" t="inlineStr">
        <is>
          <t>Held: archived 2026-10-17 until a real source exists.</t>
        </is>
      </c>
      <c r="I1707" t="inlineStr">
        <is>
          <t>Customs</t>
        </is>
      </c>
      <c r="J1707" t="inlineStr">
        <is>
          <t>ExportCustoms_ground_truth</t>
        </is>
      </c>
      <c r="K1707" t="inlineStr">
        <is>
          <t>name or path</t>
        </is>
      </c>
      <c r="M1707" t="inlineStr">
        <is>
          <t>Hold — operator eyebrow customization; wiki has no concrete price/source.</t>
        </is>
      </c>
      <c r="N1707" t="inlineStr">
        <is>
          <t>Operator/Customization</t>
        </is>
      </c>
      <c r="O1707" t="inlineStr">
        <is>
          <t>There is a wiki page that mentions this name, but that page never says where you get the item.</t>
        </is>
      </c>
    </row>
    <row r="1708">
      <c r="A1708" t="inlineStr">
        <is>
          <t>/Lotus/Upgrades/Skins/Operator/EyeBrows/EyeBrowCH</t>
        </is>
      </c>
      <c r="B1708" t="inlineStr">
        <is>
          <t>Brow X0-9</t>
        </is>
      </c>
      <c r="C1708" t="inlineStr">
        <is>
          <t>https://wiki.warframe.com/w/Operator/Customization</t>
        </is>
      </c>
      <c r="D1708" t="inlineStr">
        <is>
          <t>ExportCustoms</t>
        </is>
      </c>
      <c r="F1708" t="inlineStr">
        <is>
          <t>Brow X0-9</t>
        </is>
      </c>
      <c r="H1708" t="inlineStr">
        <is>
          <t>Held: archived 2026-10-17 until a real source exists.</t>
        </is>
      </c>
      <c r="I1708" t="inlineStr">
        <is>
          <t>Customs</t>
        </is>
      </c>
      <c r="J1708" t="inlineStr">
        <is>
          <t>ExportCustoms_ground_truth</t>
        </is>
      </c>
      <c r="K1708" t="inlineStr">
        <is>
          <t>name or path</t>
        </is>
      </c>
      <c r="M1708" t="inlineStr">
        <is>
          <t>Hold — operator eyebrow customization; wiki has no concrete price/source.</t>
        </is>
      </c>
      <c r="N1708" t="inlineStr">
        <is>
          <t>Operator/Customization</t>
        </is>
      </c>
      <c r="O1708" t="inlineStr">
        <is>
          <t>There is a wiki page that mentions this name, but that page never says where you get the item.</t>
        </is>
      </c>
    </row>
    <row r="1709">
      <c r="A1709" t="inlineStr">
        <is>
          <t>/Lotus/Upgrades/Skins/HolsterCustomizations/DualKatanaHips</t>
        </is>
      </c>
      <c r="B1709" t="inlineStr">
        <is>
          <t>Dual Nikanas Standard Holster</t>
        </is>
      </c>
      <c r="D1709" t="inlineStr">
        <is>
          <t>ExportCustoms</t>
        </is>
      </c>
      <c r="F1709" t="inlineStr">
        <is>
          <t>Dual Nikanas Standard Holster</t>
        </is>
      </c>
      <c r="H1709" t="inlineStr">
        <is>
          <t>Not a collectible: identity settled and archived 2026-10-17.</t>
        </is>
      </c>
      <c r="I1709" t="inlineStr">
        <is>
          <t>Customs</t>
        </is>
      </c>
      <c r="J1709" t="inlineStr">
        <is>
          <t>ExportCustoms_ground_truth</t>
        </is>
      </c>
      <c r="K1709" t="inlineStr">
        <is>
          <t>name or path</t>
        </is>
      </c>
      <c r="M1709" t="inlineStr">
        <is>
          <t>Not currently listed as a collectible — built-in Dual Nikanas standard holster style.</t>
        </is>
      </c>
      <c r="O1709" t="inlineStr">
        <is>
          <t>No wiki page uses this exact name.</t>
        </is>
      </c>
    </row>
    <row r="1710">
      <c r="A1710" t="inlineStr">
        <is>
          <t>/Lotus/Types/Game/CatbrowPet/BodyTypes/CatbrowPetKittenBodyCustomization</t>
        </is>
      </c>
      <c r="B1710" t="inlineStr">
        <is>
          <t>Helmet Or Syandana</t>
        </is>
      </c>
      <c r="C1710" t="inlineStr">
        <is>
          <t>https://wiki.warframe.com/w/Update_16</t>
        </is>
      </c>
      <c r="D1710" t="inlineStr">
        <is>
          <t>ExportCustoms</t>
        </is>
      </c>
      <c r="F1710" t="inlineStr">
        <is>
          <t>Helmet Or Syandana</t>
        </is>
      </c>
      <c r="H1710" t="inlineStr">
        <is>
          <t>Not a collectible: identity settled and archived 2026-10-17.</t>
        </is>
      </c>
      <c r="I1710" t="inlineStr">
        <is>
          <t>Customs</t>
        </is>
      </c>
      <c r="J1710" t="inlineStr">
        <is>
          <t>ExportCustoms_ground_truth</t>
        </is>
      </c>
      <c r="K1710" t="inlineStr">
        <is>
          <t>name or path</t>
        </is>
      </c>
      <c r="M1710" t="inlineStr">
        <is>
          <t>Not a collectible — Kavat kitten body-type genetics asset (export name is a placeholder).</t>
        </is>
      </c>
      <c r="N1710" t="inlineStr">
        <is>
          <t>Update 16</t>
        </is>
      </c>
      <c r="O1710" t="inlineStr">
        <is>
          <t>There is a wiki page that mentions this name, but that page never says where you get the item.</t>
        </is>
      </c>
    </row>
    <row r="1711">
      <c r="A1711" t="inlineStr">
        <is>
          <t>/Lotus/Types/Game/CatbrowPet/BodyTypes/CatbrowPetKittenVampireBodyCustomization</t>
        </is>
      </c>
      <c r="B1711" t="inlineStr">
        <is>
          <t>Helmet Or Syandana</t>
        </is>
      </c>
      <c r="C1711" t="inlineStr">
        <is>
          <t>https://wiki.warframe.com/w/Update_16</t>
        </is>
      </c>
      <c r="D1711" t="inlineStr">
        <is>
          <t>ExportCustoms</t>
        </is>
      </c>
      <c r="F1711" t="inlineStr">
        <is>
          <t>Helmet Or Syandana</t>
        </is>
      </c>
      <c r="H1711" t="inlineStr">
        <is>
          <t>Not a collectible: identity settled and archived 2026-10-17.</t>
        </is>
      </c>
      <c r="I1711" t="inlineStr">
        <is>
          <t>Customs</t>
        </is>
      </c>
      <c r="J1711" t="inlineStr">
        <is>
          <t>ExportCustoms_ground_truth</t>
        </is>
      </c>
      <c r="K1711" t="inlineStr">
        <is>
          <t>name or path</t>
        </is>
      </c>
      <c r="M1711" t="inlineStr">
        <is>
          <t>Not a collectible — Kavat kitten vampire body-type genetics asset (export name is a placeholder).</t>
        </is>
      </c>
      <c r="N1711" t="inlineStr">
        <is>
          <t>Update 16</t>
        </is>
      </c>
      <c r="O1711" t="inlineStr">
        <is>
          <t>There is a wiki page that mentions this name, but that page never says where you get the item.</t>
        </is>
      </c>
    </row>
    <row r="1712">
      <c r="A1712" t="inlineStr">
        <is>
          <t>/Lotus/Types/Game/CatbrowPet/BodyTypes/CatbrowPetRegularFemaleBodyCustomization</t>
        </is>
      </c>
      <c r="B1712" t="inlineStr">
        <is>
          <t>Helmet Or Syandana</t>
        </is>
      </c>
      <c r="C1712" t="inlineStr">
        <is>
          <t>https://wiki.warframe.com/w/Update_16</t>
        </is>
      </c>
      <c r="D1712" t="inlineStr">
        <is>
          <t>ExportCustoms</t>
        </is>
      </c>
      <c r="F1712" t="inlineStr">
        <is>
          <t>Helmet Or Syandana</t>
        </is>
      </c>
      <c r="H1712" t="inlineStr">
        <is>
          <t>Not a collectible: identity settled and archived 2026-10-17.</t>
        </is>
      </c>
      <c r="I1712" t="inlineStr">
        <is>
          <t>Customs</t>
        </is>
      </c>
      <c r="J1712" t="inlineStr">
        <is>
          <t>ExportCustoms_ground_truth</t>
        </is>
      </c>
      <c r="K1712" t="inlineStr">
        <is>
          <t>name or path</t>
        </is>
      </c>
      <c r="M1712" t="inlineStr">
        <is>
          <t>Not a collectible — Kavat regular female body-type genetics asset (export name is a placeholder).</t>
        </is>
      </c>
      <c r="N1712" t="inlineStr">
        <is>
          <t>Update 16</t>
        </is>
      </c>
      <c r="O1712" t="inlineStr">
        <is>
          <t>There is a wiki page that mentions this name, but that page never says where you get the item.</t>
        </is>
      </c>
    </row>
    <row r="1713">
      <c r="A1713" t="inlineStr">
        <is>
          <t>/Lotus/Types/Game/CatbrowPet/BodyTypes/CatbrowPetRegularMaleBodyCustomization</t>
        </is>
      </c>
      <c r="B1713" t="inlineStr">
        <is>
          <t>Helmet Or Syandana</t>
        </is>
      </c>
      <c r="C1713" t="inlineStr">
        <is>
          <t>https://wiki.warframe.com/w/Update_16</t>
        </is>
      </c>
      <c r="D1713" t="inlineStr">
        <is>
          <t>ExportCustoms</t>
        </is>
      </c>
      <c r="F1713" t="inlineStr">
        <is>
          <t>Helmet Or Syandana</t>
        </is>
      </c>
      <c r="H1713" t="inlineStr">
        <is>
          <t>Not a collectible: identity settled and archived 2026-10-17.</t>
        </is>
      </c>
      <c r="I1713" t="inlineStr">
        <is>
          <t>Customs</t>
        </is>
      </c>
      <c r="J1713" t="inlineStr">
        <is>
          <t>ExportCustoms_ground_truth</t>
        </is>
      </c>
      <c r="K1713" t="inlineStr">
        <is>
          <t>name or path</t>
        </is>
      </c>
      <c r="M1713" t="inlineStr">
        <is>
          <t>Not a collectible — Kavat regular male body-type genetics asset (export name is a placeholder).</t>
        </is>
      </c>
      <c r="N1713" t="inlineStr">
        <is>
          <t>Update 16</t>
        </is>
      </c>
      <c r="O1713" t="inlineStr">
        <is>
          <t>There is a wiki page that mentions this name, but that page never says where you get the item.</t>
        </is>
      </c>
    </row>
    <row r="1714">
      <c r="A1714" t="inlineStr">
        <is>
          <t>/Lotus/Types/Game/CatbrowPet/BodyTypes/CatbrowPetVampireFemaleBodyCustomization</t>
        </is>
      </c>
      <c r="B1714" t="inlineStr">
        <is>
          <t>Helmet Or Syandana</t>
        </is>
      </c>
      <c r="C1714" t="inlineStr">
        <is>
          <t>https://wiki.warframe.com/w/Update_16</t>
        </is>
      </c>
      <c r="D1714" t="inlineStr">
        <is>
          <t>ExportCustoms</t>
        </is>
      </c>
      <c r="F1714" t="inlineStr">
        <is>
          <t>Helmet Or Syandana</t>
        </is>
      </c>
      <c r="H1714" t="inlineStr">
        <is>
          <t>Not a collectible: identity settled and archived 2026-10-17.</t>
        </is>
      </c>
      <c r="I1714" t="inlineStr">
        <is>
          <t>Customs</t>
        </is>
      </c>
      <c r="J1714" t="inlineStr">
        <is>
          <t>ExportCustoms_ground_truth</t>
        </is>
      </c>
      <c r="K1714" t="inlineStr">
        <is>
          <t>name or path</t>
        </is>
      </c>
      <c r="M1714" t="inlineStr">
        <is>
          <t>Not a collectible — Kavat vampire female body-type genetics asset (export name is a placeholder).</t>
        </is>
      </c>
      <c r="N1714" t="inlineStr">
        <is>
          <t>Update 16</t>
        </is>
      </c>
      <c r="O1714" t="inlineStr">
        <is>
          <t>There is a wiki page that mentions this name, but that page never says where you get the item.</t>
        </is>
      </c>
    </row>
    <row r="1715">
      <c r="A1715" t="inlineStr">
        <is>
          <t>/Lotus/Types/Game/CatbrowPet/BodyTypes/CatbrowPetVampireMaleBodyCustomization</t>
        </is>
      </c>
      <c r="B1715" t="inlineStr">
        <is>
          <t>Helmet Or Syandana</t>
        </is>
      </c>
      <c r="C1715" t="inlineStr">
        <is>
          <t>https://wiki.warframe.com/w/Update_16</t>
        </is>
      </c>
      <c r="D1715" t="inlineStr">
        <is>
          <t>ExportCustoms</t>
        </is>
      </c>
      <c r="F1715" t="inlineStr">
        <is>
          <t>Helmet Or Syandana</t>
        </is>
      </c>
      <c r="H1715" t="inlineStr">
        <is>
          <t>Not a collectible: identity settled and archived 2026-10-17.</t>
        </is>
      </c>
      <c r="I1715" t="inlineStr">
        <is>
          <t>Customs</t>
        </is>
      </c>
      <c r="J1715" t="inlineStr">
        <is>
          <t>ExportCustoms_ground_truth</t>
        </is>
      </c>
      <c r="K1715" t="inlineStr">
        <is>
          <t>name or path</t>
        </is>
      </c>
      <c r="M1715" t="inlineStr">
        <is>
          <t>Not a collectible — Kavat vampire male body-type genetics asset (export name is a placeholder).</t>
        </is>
      </c>
      <c r="N1715" t="inlineStr">
        <is>
          <t>Update 16</t>
        </is>
      </c>
      <c r="O1715" t="inlineStr">
        <is>
          <t>There is a wiki page that mentions this name, but that page never says where you get the item.</t>
        </is>
      </c>
    </row>
    <row r="1716">
      <c r="A1716" t="inlineStr">
        <is>
          <t>/Lotus/Types/Game/CatbrowPet/BodyTypes/InfestedCatbrowPetKittenBodyCustomization</t>
        </is>
      </c>
      <c r="B1716" t="inlineStr">
        <is>
          <t>Helmet Or Syandana</t>
        </is>
      </c>
      <c r="C1716" t="inlineStr">
        <is>
          <t>https://wiki.warframe.com/w/Update_16</t>
        </is>
      </c>
      <c r="D1716" t="inlineStr">
        <is>
          <t>ExportCustoms</t>
        </is>
      </c>
      <c r="F1716" t="inlineStr">
        <is>
          <t>Helmet Or Syandana</t>
        </is>
      </c>
      <c r="H1716" t="inlineStr">
        <is>
          <t>Not a collectible: identity settled and archived 2026-10-17.</t>
        </is>
      </c>
      <c r="I1716" t="inlineStr">
        <is>
          <t>Customs</t>
        </is>
      </c>
      <c r="J1716" t="inlineStr">
        <is>
          <t>ExportCustoms_ground_truth</t>
        </is>
      </c>
      <c r="K1716" t="inlineStr">
        <is>
          <t>name or path</t>
        </is>
      </c>
      <c r="M1716" t="inlineStr">
        <is>
          <t>Not a collectible — infested Kavat-type kitten body-type genetics asset (export name is a placeholder).</t>
        </is>
      </c>
      <c r="N1716" t="inlineStr">
        <is>
          <t>Update 16</t>
        </is>
      </c>
      <c r="O1716" t="inlineStr">
        <is>
          <t>There is a wiki page that mentions this name, but that page never says where you get the item.</t>
        </is>
      </c>
    </row>
    <row r="1717">
      <c r="A1717" t="inlineStr">
        <is>
          <t>/Lotus/Types/Game/CatbrowPet/BodyTypes/InfestedCatbrowPetRegularFemaleBodyCustomization</t>
        </is>
      </c>
      <c r="B1717" t="inlineStr">
        <is>
          <t>Helmet Or Syandana</t>
        </is>
      </c>
      <c r="C1717" t="inlineStr">
        <is>
          <t>https://wiki.warframe.com/w/Update_16</t>
        </is>
      </c>
      <c r="D1717" t="inlineStr">
        <is>
          <t>ExportCustoms</t>
        </is>
      </c>
      <c r="F1717" t="inlineStr">
        <is>
          <t>Helmet Or Syandana</t>
        </is>
      </c>
      <c r="H1717" t="inlineStr">
        <is>
          <t>Not a collectible: identity settled and archived 2026-10-17.</t>
        </is>
      </c>
      <c r="I1717" t="inlineStr">
        <is>
          <t>Customs</t>
        </is>
      </c>
      <c r="J1717" t="inlineStr">
        <is>
          <t>ExportCustoms_ground_truth</t>
        </is>
      </c>
      <c r="K1717" t="inlineStr">
        <is>
          <t>name or path</t>
        </is>
      </c>
      <c r="M1717" t="inlineStr">
        <is>
          <t>Not a collectible — infested Kavat-type regular female body-type genetics asset (export name is a placeholder).</t>
        </is>
      </c>
      <c r="N1717" t="inlineStr">
        <is>
          <t>Update 16</t>
        </is>
      </c>
      <c r="O1717" t="inlineStr">
        <is>
          <t>There is a wiki page that mentions this name, but that page never says where you get the item.</t>
        </is>
      </c>
    </row>
    <row r="1718">
      <c r="A1718" t="inlineStr">
        <is>
          <t>/Lotus/Types/Game/CatbrowPet/BodyTypes/InfestedCatbrowPetRegularMaleBodyCustomization</t>
        </is>
      </c>
      <c r="B1718" t="inlineStr">
        <is>
          <t>Helmet Or Syandana</t>
        </is>
      </c>
      <c r="C1718" t="inlineStr">
        <is>
          <t>https://wiki.warframe.com/w/Update_16</t>
        </is>
      </c>
      <c r="D1718" t="inlineStr">
        <is>
          <t>ExportCustoms</t>
        </is>
      </c>
      <c r="F1718" t="inlineStr">
        <is>
          <t>Helmet Or Syandana</t>
        </is>
      </c>
      <c r="H1718" t="inlineStr">
        <is>
          <t>Not a collectible: identity settled and archived 2026-10-17.</t>
        </is>
      </c>
      <c r="I1718" t="inlineStr">
        <is>
          <t>Customs</t>
        </is>
      </c>
      <c r="J1718" t="inlineStr">
        <is>
          <t>ExportCustoms_ground_truth</t>
        </is>
      </c>
      <c r="K1718" t="inlineStr">
        <is>
          <t>name or path</t>
        </is>
      </c>
      <c r="M1718" t="inlineStr">
        <is>
          <t>Not a collectible — infested Kavat-type regular male body-type genetics asset (export name is a placeholder).</t>
        </is>
      </c>
      <c r="N1718" t="inlineStr">
        <is>
          <t>Update 16</t>
        </is>
      </c>
      <c r="O1718" t="inlineStr">
        <is>
          <t>There is a wiki page that mentions this name, but that page never says where you get the item.</t>
        </is>
      </c>
    </row>
    <row r="1719">
      <c r="A1719" t="inlineStr">
        <is>
          <t>/Lotus/Types/Game/KubrowPet/BodyTypes/ChargerKubrowPetCubBodyCustomization</t>
        </is>
      </c>
      <c r="B1719" t="inlineStr">
        <is>
          <t>Helmet Or Syandana</t>
        </is>
      </c>
      <c r="C1719" t="inlineStr">
        <is>
          <t>https://wiki.warframe.com/w/Update_16</t>
        </is>
      </c>
      <c r="D1719" t="inlineStr">
        <is>
          <t>ExportCustoms</t>
        </is>
      </c>
      <c r="F1719" t="inlineStr">
        <is>
          <t>Helmet Or Syandana</t>
        </is>
      </c>
      <c r="H1719" t="inlineStr">
        <is>
          <t>Not a collectible: identity settled and archived 2026-10-17.</t>
        </is>
      </c>
      <c r="I1719" t="inlineStr">
        <is>
          <t>Customs</t>
        </is>
      </c>
      <c r="J1719" t="inlineStr">
        <is>
          <t>ExportCustoms_ground_truth</t>
        </is>
      </c>
      <c r="K1719" t="inlineStr">
        <is>
          <t>name or path</t>
        </is>
      </c>
      <c r="M1719" t="inlineStr">
        <is>
          <t>Not a collectible — Charger Kubrow cub body-type genetics asset (export name is a placeholder).</t>
        </is>
      </c>
      <c r="N1719" t="inlineStr">
        <is>
          <t>Update 16</t>
        </is>
      </c>
      <c r="O1719" t="inlineStr">
        <is>
          <t>There is a wiki page that mentions this name, but that page never says where you get the item.</t>
        </is>
      </c>
    </row>
    <row r="1720">
      <c r="A1720" t="inlineStr">
        <is>
          <t>/Lotus/Types/Game/KubrowPet/BodyTypes/InfestedKubrowPetCubBodyCustomization</t>
        </is>
      </c>
      <c r="B1720" t="inlineStr">
        <is>
          <t>Helmet Or Syandana</t>
        </is>
      </c>
      <c r="C1720" t="inlineStr">
        <is>
          <t>https://wiki.warframe.com/w/Update_16</t>
        </is>
      </c>
      <c r="D1720" t="inlineStr">
        <is>
          <t>ExportCustoms</t>
        </is>
      </c>
      <c r="F1720" t="inlineStr">
        <is>
          <t>Helmet Or Syandana</t>
        </is>
      </c>
      <c r="H1720" t="inlineStr">
        <is>
          <t>Not a collectible: identity settled and archived 2026-10-17.</t>
        </is>
      </c>
      <c r="I1720" t="inlineStr">
        <is>
          <t>Customs</t>
        </is>
      </c>
      <c r="J1720" t="inlineStr">
        <is>
          <t>ExportCustoms_ground_truth</t>
        </is>
      </c>
      <c r="K1720" t="inlineStr">
        <is>
          <t>name or path</t>
        </is>
      </c>
      <c r="M1720" t="inlineStr">
        <is>
          <t>Not a collectible — infested Kubrow-type cub body-type genetics asset (export name is a placeholder).</t>
        </is>
      </c>
      <c r="N1720" t="inlineStr">
        <is>
          <t>Update 16</t>
        </is>
      </c>
      <c r="O1720" t="inlineStr">
        <is>
          <t>There is a wiki page that mentions this name, but that page never says where you get the item.</t>
        </is>
      </c>
    </row>
    <row r="1721">
      <c r="A1721" t="inlineStr">
        <is>
          <t>/Lotus/Types/Game/KubrowPet/BodyTypes/InfestedKubrowPetFemaleBodyCustomization</t>
        </is>
      </c>
      <c r="B1721" t="inlineStr">
        <is>
          <t>Helmet Or Syandana</t>
        </is>
      </c>
      <c r="C1721" t="inlineStr">
        <is>
          <t>https://wiki.warframe.com/w/Update_16</t>
        </is>
      </c>
      <c r="D1721" t="inlineStr">
        <is>
          <t>ExportCustoms</t>
        </is>
      </c>
      <c r="F1721" t="inlineStr">
        <is>
          <t>Helmet Or Syandana</t>
        </is>
      </c>
      <c r="H1721" t="inlineStr">
        <is>
          <t>Not a collectible: identity settled and archived 2026-10-17.</t>
        </is>
      </c>
      <c r="I1721" t="inlineStr">
        <is>
          <t>Customs</t>
        </is>
      </c>
      <c r="J1721" t="inlineStr">
        <is>
          <t>ExportCustoms_ground_truth</t>
        </is>
      </c>
      <c r="K1721" t="inlineStr">
        <is>
          <t>name or path</t>
        </is>
      </c>
      <c r="M1721" t="inlineStr">
        <is>
          <t>Not a collectible — infested Kubrow-type female body-type genetics asset (export name is a placeholder).</t>
        </is>
      </c>
      <c r="N1721" t="inlineStr">
        <is>
          <t>Update 16</t>
        </is>
      </c>
      <c r="O1721" t="inlineStr">
        <is>
          <t>There is a wiki page that mentions this name, but that page never says where you get the item.</t>
        </is>
      </c>
    </row>
    <row r="1722">
      <c r="A1722" t="inlineStr">
        <is>
          <t>/Lotus/Types/Game/KubrowPet/BodyTypes/InfestedKubrowPetMaleBodyCustomization</t>
        </is>
      </c>
      <c r="B1722" t="inlineStr">
        <is>
          <t>Helmet Or Syandana</t>
        </is>
      </c>
      <c r="C1722" t="inlineStr">
        <is>
          <t>https://wiki.warframe.com/w/Update_16</t>
        </is>
      </c>
      <c r="D1722" t="inlineStr">
        <is>
          <t>ExportCustoms</t>
        </is>
      </c>
      <c r="F1722" t="inlineStr">
        <is>
          <t>Helmet Or Syandana</t>
        </is>
      </c>
      <c r="H1722" t="inlineStr">
        <is>
          <t>Not a collectible: identity settled and archived 2026-10-17.</t>
        </is>
      </c>
      <c r="I1722" t="inlineStr">
        <is>
          <t>Customs</t>
        </is>
      </c>
      <c r="J1722" t="inlineStr">
        <is>
          <t>ExportCustoms_ground_truth</t>
        </is>
      </c>
      <c r="K1722" t="inlineStr">
        <is>
          <t>name or path</t>
        </is>
      </c>
      <c r="M1722" t="inlineStr">
        <is>
          <t>Not a collectible — infested Kubrow-type male body-type genetics asset (export name is a placeholder).</t>
        </is>
      </c>
      <c r="N1722" t="inlineStr">
        <is>
          <t>Update 16</t>
        </is>
      </c>
      <c r="O1722" t="inlineStr">
        <is>
          <t>There is a wiki page that mentions this name, but that page never says where you get the item.</t>
        </is>
      </c>
    </row>
    <row r="1723">
      <c r="A1723" t="inlineStr">
        <is>
          <t>/Lotus/Types/Game/KubrowPet/BodyTypes/KubrowPetCubBodyCustomization</t>
        </is>
      </c>
      <c r="B1723" t="inlineStr">
        <is>
          <t>Helmet Or Syandana</t>
        </is>
      </c>
      <c r="C1723" t="inlineStr">
        <is>
          <t>https://wiki.warframe.com/w/Update_16</t>
        </is>
      </c>
      <c r="D1723" t="inlineStr">
        <is>
          <t>ExportCustoms</t>
        </is>
      </c>
      <c r="F1723" t="inlineStr">
        <is>
          <t>Helmet Or Syandana</t>
        </is>
      </c>
      <c r="H1723" t="inlineStr">
        <is>
          <t>Not a collectible: identity settled and archived 2026-10-17.</t>
        </is>
      </c>
      <c r="I1723" t="inlineStr">
        <is>
          <t>Customs</t>
        </is>
      </c>
      <c r="J1723" t="inlineStr">
        <is>
          <t>ExportCustoms_ground_truth</t>
        </is>
      </c>
      <c r="K1723" t="inlineStr">
        <is>
          <t>name or path</t>
        </is>
      </c>
      <c r="M1723" t="inlineStr">
        <is>
          <t>Not a collectible — Kubrow cub body-type genetics asset (export name is a placeholder).</t>
        </is>
      </c>
      <c r="N1723" t="inlineStr">
        <is>
          <t>Update 16</t>
        </is>
      </c>
      <c r="O1723" t="inlineStr">
        <is>
          <t>There is a wiki page that mentions this name, but that page never says where you get the item.</t>
        </is>
      </c>
    </row>
    <row r="1724">
      <c r="A1724" t="inlineStr">
        <is>
          <t>/Lotus/Types/Game/KubrowPet/BodyTypes/KubrowPetHeavyBodyCustomization</t>
        </is>
      </c>
      <c r="B1724" t="inlineStr">
        <is>
          <t>Helmet Or Syandana</t>
        </is>
      </c>
      <c r="C1724" t="inlineStr">
        <is>
          <t>https://wiki.warframe.com/w/Update_16</t>
        </is>
      </c>
      <c r="D1724" t="inlineStr">
        <is>
          <t>ExportCustoms</t>
        </is>
      </c>
      <c r="F1724" t="inlineStr">
        <is>
          <t>Helmet Or Syandana</t>
        </is>
      </c>
      <c r="H1724" t="inlineStr">
        <is>
          <t>Not a collectible: identity settled and archived 2026-10-17.</t>
        </is>
      </c>
      <c r="I1724" t="inlineStr">
        <is>
          <t>Customs</t>
        </is>
      </c>
      <c r="J1724" t="inlineStr">
        <is>
          <t>ExportCustoms_ground_truth</t>
        </is>
      </c>
      <c r="K1724" t="inlineStr">
        <is>
          <t>name or path</t>
        </is>
      </c>
      <c r="M1724" t="inlineStr">
        <is>
          <t>Not a collectible — Kubrow heavy body-type genetics asset (export name is a placeholder).</t>
        </is>
      </c>
      <c r="N1724" t="inlineStr">
        <is>
          <t>Update 16</t>
        </is>
      </c>
      <c r="O1724" t="inlineStr">
        <is>
          <t>There is a wiki page that mentions this name, but that page never says where you get the item.</t>
        </is>
      </c>
    </row>
    <row r="1725">
      <c r="A1725" t="inlineStr">
        <is>
          <t>/Lotus/Types/Game/KubrowPet/BodyTypes/KubrowPetRegularFemaleBodyCustomization</t>
        </is>
      </c>
      <c r="B1725" t="inlineStr">
        <is>
          <t>Helmet Or Syandana</t>
        </is>
      </c>
      <c r="C1725" t="inlineStr">
        <is>
          <t>https://wiki.warframe.com/w/Update_16</t>
        </is>
      </c>
      <c r="D1725" t="inlineStr">
        <is>
          <t>ExportCustoms</t>
        </is>
      </c>
      <c r="F1725" t="inlineStr">
        <is>
          <t>Helmet Or Syandana</t>
        </is>
      </c>
      <c r="H1725" t="inlineStr">
        <is>
          <t>Not a collectible: identity settled and archived 2026-10-17.</t>
        </is>
      </c>
      <c r="I1725" t="inlineStr">
        <is>
          <t>Customs</t>
        </is>
      </c>
      <c r="J1725" t="inlineStr">
        <is>
          <t>ExportCustoms_ground_truth</t>
        </is>
      </c>
      <c r="K1725" t="inlineStr">
        <is>
          <t>name or path</t>
        </is>
      </c>
      <c r="M1725" t="inlineStr">
        <is>
          <t>Not a collectible — Kubrow regular female body-type genetics asset (export name is a placeholder).</t>
        </is>
      </c>
      <c r="N1725" t="inlineStr">
        <is>
          <t>Update 16</t>
        </is>
      </c>
      <c r="O1725" t="inlineStr">
        <is>
          <t>There is a wiki page that mentions this name, but that page never says where you get the item.</t>
        </is>
      </c>
    </row>
    <row r="1726">
      <c r="A1726" t="inlineStr">
        <is>
          <t>/Lotus/Types/Game/KubrowPet/BodyTypes/KubrowPetRegularMaleBodyCustomization</t>
        </is>
      </c>
      <c r="B1726" t="inlineStr">
        <is>
          <t>Helmet Or Syandana</t>
        </is>
      </c>
      <c r="C1726" t="inlineStr">
        <is>
          <t>https://wiki.warframe.com/w/Update_16</t>
        </is>
      </c>
      <c r="D1726" t="inlineStr">
        <is>
          <t>ExportCustoms</t>
        </is>
      </c>
      <c r="F1726" t="inlineStr">
        <is>
          <t>Helmet Or Syandana</t>
        </is>
      </c>
      <c r="H1726" t="inlineStr">
        <is>
          <t>Not a collectible: identity settled and archived 2026-10-17.</t>
        </is>
      </c>
      <c r="I1726" t="inlineStr">
        <is>
          <t>Customs</t>
        </is>
      </c>
      <c r="J1726" t="inlineStr">
        <is>
          <t>ExportCustoms_ground_truth</t>
        </is>
      </c>
      <c r="K1726" t="inlineStr">
        <is>
          <t>name or path</t>
        </is>
      </c>
      <c r="M1726" t="inlineStr">
        <is>
          <t>Not a collectible — Kubrow regular male body-type genetics asset (export name is a placeholder).</t>
        </is>
      </c>
      <c r="N1726" t="inlineStr">
        <is>
          <t>Update 16</t>
        </is>
      </c>
      <c r="O1726" t="inlineStr">
        <is>
          <t>There is a wiki page that mentions this name, but that page never says where you get the item.</t>
        </is>
      </c>
    </row>
    <row r="1727">
      <c r="A1727" t="inlineStr">
        <is>
          <t>/Lotus/Types/Game/KubrowPet/BodyTypes/KubrowPetThinBodyCustomization</t>
        </is>
      </c>
      <c r="B1727" t="inlineStr">
        <is>
          <t>Helmet Or Syandana</t>
        </is>
      </c>
      <c r="C1727" t="inlineStr">
        <is>
          <t>https://wiki.warframe.com/w/Update_16</t>
        </is>
      </c>
      <c r="D1727" t="inlineStr">
        <is>
          <t>ExportCustoms</t>
        </is>
      </c>
      <c r="F1727" t="inlineStr">
        <is>
          <t>Helmet Or Syandana</t>
        </is>
      </c>
      <c r="H1727" t="inlineStr">
        <is>
          <t>Not a collectible: identity settled and archived 2026-10-17.</t>
        </is>
      </c>
      <c r="I1727" t="inlineStr">
        <is>
          <t>Customs</t>
        </is>
      </c>
      <c r="J1727" t="inlineStr">
        <is>
          <t>ExportCustoms_ground_truth</t>
        </is>
      </c>
      <c r="K1727" t="inlineStr">
        <is>
          <t>name or path</t>
        </is>
      </c>
      <c r="M1727" t="inlineStr">
        <is>
          <t>Not a collectible — Kubrow thin body-type genetics asset (export name is a placeholder).</t>
        </is>
      </c>
      <c r="N1727" t="inlineStr">
        <is>
          <t>Update 16</t>
        </is>
      </c>
      <c r="O1727" t="inlineStr">
        <is>
          <t>There is a wiki page that mentions this name, but that page never says where you get the item.</t>
        </is>
      </c>
    </row>
    <row r="1728">
      <c r="A1728" t="inlineStr">
        <is>
          <t>/Lotus/Upgrades/Skins/Lotus/LotusHelmet</t>
        </is>
      </c>
      <c r="B1728" t="inlineStr">
        <is>
          <t>Lotus</t>
        </is>
      </c>
      <c r="C1728" t="inlineStr">
        <is>
          <t>https://wiki.warframe.com/w/Lotus</t>
        </is>
      </c>
      <c r="D1728" t="inlineStr">
        <is>
          <t>ExportCustoms</t>
        </is>
      </c>
      <c r="F1728" t="inlineStr">
        <is>
          <t>Lotus</t>
        </is>
      </c>
      <c r="G1728" t="inlineStr">
        <is>
          <t>Lotus</t>
        </is>
      </c>
      <c r="H1728" t="inlineStr">
        <is>
          <t>Not a collectible: identity settled and archived 2026-10-17.</t>
        </is>
      </c>
      <c r="I1728" t="inlineStr">
        <is>
          <t>Customs</t>
        </is>
      </c>
      <c r="J1728" t="inlineStr">
        <is>
          <t>Cosmetics_data, Cosmetics_data_lotusskin, Cosmetics_userdata, ExportCustoms_ground_truth</t>
        </is>
      </c>
      <c r="K1728" t="inlineStr">
        <is>
          <t>Cosmetics/data/lotusskin</t>
        </is>
      </c>
      <c r="L1728" t="inlineStr">
        <is>
          <t>listed, no place</t>
        </is>
      </c>
      <c r="M1728" t="inlineStr">
        <is>
          <t>Not a collectible — export name 'Lotus' is a placeholder for a Lotus character helmet asset.</t>
        </is>
      </c>
      <c r="N1728" t="inlineStr">
        <is>
          <t>Mod/Compatibility | Weapons | Lotus | Drifter | Banshee Blade Of The Lotus Skin</t>
        </is>
      </c>
      <c r="O1728" t="inlineStr">
        <is>
          <t>The exact display name is attached to a different official Wiki item id/page entity than this row's uniqueName, so no acquisition was assigned.</t>
        </is>
      </c>
    </row>
    <row r="1729">
      <c r="A1729" t="inlineStr">
        <is>
          <t>/Lotus/Types/Game/LotusArchwingCustomization</t>
        </is>
      </c>
      <c r="B1729" t="inlineStr">
        <is>
          <t>LotusArchwingCustomization</t>
        </is>
      </c>
      <c r="D1729" t="inlineStr">
        <is>
          <t>ExportCustoms</t>
        </is>
      </c>
      <c r="F1729" t="inlineStr">
        <is>
          <t>LotusArchwingCustomization</t>
        </is>
      </c>
      <c r="H1729" t="inlineStr">
        <is>
          <t>Not a collectible: identity settled and archived 2026-10-17.</t>
        </is>
      </c>
      <c r="I1729" t="inlineStr">
        <is>
          <t>Customs</t>
        </is>
      </c>
      <c r="J1729" t="inlineStr">
        <is>
          <t>ExportCustoms_ground_truth</t>
        </is>
      </c>
      <c r="K1729" t="inlineStr">
        <is>
          <t>name or path</t>
        </is>
      </c>
      <c r="M1729" t="inlineStr">
        <is>
          <t>Internal asset — not a player inventory collectible (Archwing customization data stub).</t>
        </is>
      </c>
      <c r="O1729" t="inlineStr">
        <is>
          <t>No wiki page uses this exact name.</t>
        </is>
      </c>
    </row>
    <row r="1730">
      <c r="A1730" t="inlineStr">
        <is>
          <t>/Lotus/Types/Game/LotusCompanionCustomization</t>
        </is>
      </c>
      <c r="B1730" t="inlineStr">
        <is>
          <t>LotusCompanionCustomization</t>
        </is>
      </c>
      <c r="D1730" t="inlineStr">
        <is>
          <t>ExportCustoms</t>
        </is>
      </c>
      <c r="F1730" t="inlineStr">
        <is>
          <t>LotusCompanionCustomization</t>
        </is>
      </c>
      <c r="H1730" t="inlineStr">
        <is>
          <t>Not a collectible: identity settled and archived 2026-10-17.</t>
        </is>
      </c>
      <c r="I1730" t="inlineStr">
        <is>
          <t>Customs</t>
        </is>
      </c>
      <c r="J1730" t="inlineStr">
        <is>
          <t>ExportCustoms_ground_truth</t>
        </is>
      </c>
      <c r="K1730" t="inlineStr">
        <is>
          <t>name or path</t>
        </is>
      </c>
      <c r="M1730" t="inlineStr">
        <is>
          <t>Internal asset — not a player inventory collectible (companion customization data stub).</t>
        </is>
      </c>
      <c r="O1730" t="inlineStr">
        <is>
          <t>No wiki page uses this exact name.</t>
        </is>
      </c>
    </row>
    <row r="1731">
      <c r="A1731" t="inlineStr">
        <is>
          <t>/Lotus/Types/Game/LotusEmptyCompanionCustomization</t>
        </is>
      </c>
      <c r="B1731" t="inlineStr">
        <is>
          <t>LotusEmptyCompanionCustomization</t>
        </is>
      </c>
      <c r="D1731" t="inlineStr">
        <is>
          <t>ExportCustoms</t>
        </is>
      </c>
      <c r="F1731" t="inlineStr">
        <is>
          <t>LotusEmptyCompanionCustomization</t>
        </is>
      </c>
      <c r="H1731" t="inlineStr">
        <is>
          <t>Not a collectible: identity settled and archived 2026-10-17.</t>
        </is>
      </c>
      <c r="I1731" t="inlineStr">
        <is>
          <t>Customs</t>
        </is>
      </c>
      <c r="J1731" t="inlineStr">
        <is>
          <t>ExportCustoms_ground_truth</t>
        </is>
      </c>
      <c r="K1731" t="inlineStr">
        <is>
          <t>name or path</t>
        </is>
      </c>
      <c r="M1731" t="inlineStr">
        <is>
          <t>Internal asset — not a player inventory collectible (empty-companion customization data stub).</t>
        </is>
      </c>
      <c r="O1731" t="inlineStr">
        <is>
          <t>No wiki page uses this exact name.</t>
        </is>
      </c>
    </row>
    <row r="1732">
      <c r="A1732" t="inlineStr">
        <is>
          <t>/Lotus/Types/Game/LotusOperatorCustomization</t>
        </is>
      </c>
      <c r="B1732" t="inlineStr">
        <is>
          <t>LotusOperatorCustomization</t>
        </is>
      </c>
      <c r="D1732" t="inlineStr">
        <is>
          <t>ExportCustoms</t>
        </is>
      </c>
      <c r="F1732" t="inlineStr">
        <is>
          <t>LotusOperatorCustomization</t>
        </is>
      </c>
      <c r="H1732" t="inlineStr">
        <is>
          <t>Not a collectible: identity settled and archived 2026-10-17.</t>
        </is>
      </c>
      <c r="I1732" t="inlineStr">
        <is>
          <t>Customs</t>
        </is>
      </c>
      <c r="J1732" t="inlineStr">
        <is>
          <t>ExportCustoms_ground_truth</t>
        </is>
      </c>
      <c r="K1732" t="inlineStr">
        <is>
          <t>name or path</t>
        </is>
      </c>
      <c r="M1732" t="inlineStr">
        <is>
          <t>Internal asset — not a player inventory collectible (Operator customization data stub).</t>
        </is>
      </c>
      <c r="O1732" t="inlineStr">
        <is>
          <t>No wiki page uses this exact name.</t>
        </is>
      </c>
    </row>
    <row r="1733">
      <c r="A1733" t="inlineStr">
        <is>
          <t>/Lotus/Types/Game/LotusSpecterCustomization</t>
        </is>
      </c>
      <c r="B1733" t="inlineStr">
        <is>
          <t>LotusSpecterCustomization</t>
        </is>
      </c>
      <c r="D1733" t="inlineStr">
        <is>
          <t>ExportCustoms</t>
        </is>
      </c>
      <c r="F1733" t="inlineStr">
        <is>
          <t>LotusSpecterCustomization</t>
        </is>
      </c>
      <c r="H1733" t="inlineStr">
        <is>
          <t>Not a collectible: identity settled and archived 2026-10-17.</t>
        </is>
      </c>
      <c r="I1733" t="inlineStr">
        <is>
          <t>Customs</t>
        </is>
      </c>
      <c r="J1733" t="inlineStr">
        <is>
          <t>ExportCustoms_ground_truth</t>
        </is>
      </c>
      <c r="K1733" t="inlineStr">
        <is>
          <t>name or path</t>
        </is>
      </c>
      <c r="M1733" t="inlineStr">
        <is>
          <t>Internal asset — not a player inventory collectible (specter customization data stub).</t>
        </is>
      </c>
      <c r="O1733" t="inlineStr">
        <is>
          <t>No wiki page uses this exact name.</t>
        </is>
      </c>
    </row>
    <row r="1734">
      <c r="A1734" t="inlineStr">
        <is>
          <t>/Lotus/Types/Game/LotusWarframeCustomization</t>
        </is>
      </c>
      <c r="B1734" t="inlineStr">
        <is>
          <t>LotusWarframeCustomization</t>
        </is>
      </c>
      <c r="C1734" t="inlineStr">
        <is>
          <t>https://wiki.warframe.com/w/Vauban/Patch_History | https://wiki.warframe.com/w/Update_29</t>
        </is>
      </c>
      <c r="D1734" t="inlineStr">
        <is>
          <t>ExportCustoms</t>
        </is>
      </c>
      <c r="F1734" t="inlineStr">
        <is>
          <t>LotusWarframeCustomization</t>
        </is>
      </c>
      <c r="H1734" t="inlineStr">
        <is>
          <t>Not a collectible: identity settled and archived 2026-10-17.</t>
        </is>
      </c>
      <c r="I1734" t="inlineStr">
        <is>
          <t>Customs</t>
        </is>
      </c>
      <c r="J1734" t="inlineStr">
        <is>
          <t>ExportCustoms_ground_truth</t>
        </is>
      </c>
      <c r="K1734" t="inlineStr">
        <is>
          <t>name or path</t>
        </is>
      </c>
      <c r="M1734" t="inlineStr">
        <is>
          <t>Internal asset — not a player inventory collectible (Warframe customization data stub).</t>
        </is>
      </c>
      <c r="N1734" t="inlineStr">
        <is>
          <t>Vauban/Patch History | Update 29</t>
        </is>
      </c>
      <c r="O1734" t="inlineStr">
        <is>
          <t>There is a wiki page that mentions this name, but that page never says where you get the item.</t>
        </is>
      </c>
    </row>
    <row r="1735">
      <c r="A1735" t="inlineStr">
        <is>
          <t>/Lotus/Types/Game/LotusWeaponCustomization</t>
        </is>
      </c>
      <c r="B1735" t="inlineStr">
        <is>
          <t>LotusWeaponCustomization</t>
        </is>
      </c>
      <c r="D1735" t="inlineStr">
        <is>
          <t>ExportCustoms</t>
        </is>
      </c>
      <c r="F1735" t="inlineStr">
        <is>
          <t>LotusWeaponCustomization</t>
        </is>
      </c>
      <c r="H1735" t="inlineStr">
        <is>
          <t>Not a collectible: identity settled and archived 2026-10-17.</t>
        </is>
      </c>
      <c r="I1735" t="inlineStr">
        <is>
          <t>Customs</t>
        </is>
      </c>
      <c r="J1735" t="inlineStr">
        <is>
          <t>ExportCustoms_ground_truth</t>
        </is>
      </c>
      <c r="K1735" t="inlineStr">
        <is>
          <t>name or path</t>
        </is>
      </c>
      <c r="M1735" t="inlineStr">
        <is>
          <t>Internal asset — not a player inventory collectible (weapon customization data stub).</t>
        </is>
      </c>
      <c r="O1735" t="inlineStr">
        <is>
          <t>No wiki page uses this exact name.</t>
        </is>
      </c>
    </row>
    <row r="1736">
      <c r="A1736" t="inlineStr">
        <is>
          <t>/Lotus/Upgrades/Skins/Operator/Hoods/NoHood</t>
        </is>
      </c>
      <c r="B1736" t="inlineStr">
        <is>
          <t>NONE</t>
        </is>
      </c>
      <c r="D1736" t="inlineStr">
        <is>
          <t>ExportCustoms</t>
        </is>
      </c>
      <c r="F1736" t="inlineStr">
        <is>
          <t>NONE</t>
        </is>
      </c>
      <c r="H1736" t="inlineStr">
        <is>
          <t>Not a collectible: identity settled and archived 2026-10-17.</t>
        </is>
      </c>
      <c r="I1736" t="inlineStr">
        <is>
          <t>Customs</t>
        </is>
      </c>
      <c r="J1736" t="inlineStr">
        <is>
          <t>Ability_data_stats, Avionics_data, Enemies_data, Enemies_data_pre-U36, Enemies_data_pre_U36, Enemies_data_themurmur, ExportCustoms_ground_truth, Mods_data, Modular_data, ScientiaStances_data, Tooltips_data_Warframes, Warframes_data, Weapons_data, Weapons_data_companion, Weapons_data_primary, Weapons_data_secondary</t>
        </is>
      </c>
      <c r="K1736" t="inlineStr">
        <is>
          <t>name or path</t>
        </is>
      </c>
      <c r="M1736" t="inlineStr">
        <is>
          <t>Not currently listed as a collectible — built-in no-hood Operator selection.</t>
        </is>
      </c>
      <c r="N1736" t="inlineStr">
        <is>
          <t>Sevagoth | Turret | Excalibur | Nekros | Trinity</t>
        </is>
      </c>
      <c r="O1736" t="inlineStr">
        <is>
          <t>There is a wiki page that mentions this name, but that page never says where you get the item.</t>
        </is>
      </c>
    </row>
    <row r="1737">
      <c r="A1737" t="inlineStr">
        <is>
          <t>/Lotus/Upgrades/Skins/Operator/OperatorCustomization</t>
        </is>
      </c>
      <c r="B1737" t="inlineStr">
        <is>
          <t>OperatorCustomization</t>
        </is>
      </c>
      <c r="D1737" t="inlineStr">
        <is>
          <t>ExportCustoms</t>
        </is>
      </c>
      <c r="F1737" t="inlineStr">
        <is>
          <t>OperatorCustomization</t>
        </is>
      </c>
      <c r="H1737" t="inlineStr">
        <is>
          <t>Not a collectible: identity settled and archived 2026-10-17.</t>
        </is>
      </c>
      <c r="I1737" t="inlineStr">
        <is>
          <t>Customs</t>
        </is>
      </c>
      <c r="J1737" t="inlineStr">
        <is>
          <t>ExportCustoms_ground_truth</t>
        </is>
      </c>
      <c r="K1737" t="inlineStr">
        <is>
          <t>name or path</t>
        </is>
      </c>
      <c r="M1737" t="inlineStr">
        <is>
          <t>Internal asset — not a player inventory collectible (Operator customization data stub).</t>
        </is>
      </c>
      <c r="O1737" t="inlineStr">
        <is>
          <t>No wiki page uses this exact name.</t>
        </is>
      </c>
    </row>
    <row r="1738">
      <c r="A1738" t="inlineStr">
        <is>
          <t>/Lotus/Upgrades/Skins/RailJack/DefaultEngines</t>
        </is>
      </c>
      <c r="B1738" t="inlineStr">
        <is>
          <t>Sigma Engines</t>
        </is>
      </c>
      <c r="C1738" t="inlineStr">
        <is>
          <t>https://wiki.warframe.com/w/Isos | https://wiki.warframe.com/w/Titanium | https://wiki.warframe.com/w/Carbides | https://wiki.warframe.com/w/Nano_Spores</t>
        </is>
      </c>
      <c r="D1738" t="inlineStr">
        <is>
          <t>ExportCustoms</t>
        </is>
      </c>
      <c r="F1738" t="inlineStr">
        <is>
          <t>Sigma Engines</t>
        </is>
      </c>
      <c r="H1738" t="inlineStr">
        <is>
          <t>Not a collectible: identity settled and archived 2026-10-17.</t>
        </is>
      </c>
      <c r="I1738" t="inlineStr">
        <is>
          <t>Customs</t>
        </is>
      </c>
      <c r="J1738" t="inlineStr">
        <is>
          <t>ExportCustoms_ground_truth</t>
        </is>
      </c>
      <c r="K1738" t="inlineStr">
        <is>
          <t>name or path</t>
        </is>
      </c>
      <c r="L1738" t="inlineStr">
        <is>
          <t>Blueprints_data</t>
        </is>
      </c>
      <c r="M1738" t="inlineStr">
        <is>
          <t>Not currently listed as a collectible — default Sigma Railjack engines.</t>
        </is>
      </c>
      <c r="N1738" t="inlineStr">
        <is>
          <t>Isos | Titanium | Carbides | Nano Spores</t>
        </is>
      </c>
      <c r="O1738" t="inlineStr">
        <is>
          <t>There is a wiki page that mentions this name, but that page never says where you get the item.</t>
        </is>
      </c>
    </row>
    <row r="1739">
      <c r="A1739" t="inlineStr">
        <is>
          <t>/Lotus/Upgrades/Skins/RailJack/HullMaterialsDefault</t>
        </is>
      </c>
      <c r="B1739" t="inlineStr">
        <is>
          <t>Sigma Plating</t>
        </is>
      </c>
      <c r="C1739" t="inlineStr">
        <is>
          <t>https://wiki.warframe.com/w/Nano_Spores | https://wiki.warframe.com/w/Ferrite | https://wiki.warframe.com/w/Plastids | https://wiki.warframe.com/w/Neurodes | https://wiki.warframe.com/w/Isos</t>
        </is>
      </c>
      <c r="D1739" t="inlineStr">
        <is>
          <t>ExportCustoms</t>
        </is>
      </c>
      <c r="F1739" t="inlineStr">
        <is>
          <t>Sigma Plating</t>
        </is>
      </c>
      <c r="H1739" t="inlineStr">
        <is>
          <t>Not a collectible: identity settled and archived 2026-10-17.</t>
        </is>
      </c>
      <c r="I1739" t="inlineStr">
        <is>
          <t>Customs</t>
        </is>
      </c>
      <c r="J1739" t="inlineStr">
        <is>
          <t>ExportCustoms_ground_truth</t>
        </is>
      </c>
      <c r="K1739" t="inlineStr">
        <is>
          <t>name or path</t>
        </is>
      </c>
      <c r="L1739" t="inlineStr">
        <is>
          <t>Blueprints_data</t>
        </is>
      </c>
      <c r="M1739" t="inlineStr">
        <is>
          <t>Not currently listed as a collectible — default Sigma Railjack plating.</t>
        </is>
      </c>
      <c r="N1739" t="inlineStr">
        <is>
          <t>Nano Spores | Ferrite | Plastids | Neurodes | Isos</t>
        </is>
      </c>
      <c r="O1739" t="inlineStr">
        <is>
          <t>There is a wiki page that mentions this name, but that page never says where you get the item.</t>
        </is>
      </c>
    </row>
    <row r="1740">
      <c r="A1740" t="inlineStr">
        <is>
          <t>/Lotus/Upgrades/Skins/RailJack/DefaultReactor</t>
        </is>
      </c>
      <c r="B1740" t="inlineStr">
        <is>
          <t>Sigma Reactor</t>
        </is>
      </c>
      <c r="C1740" t="inlineStr">
        <is>
          <t>https://wiki.warframe.com/w/Asterite | https://wiki.warframe.com/w/Cubic_Diodes | https://wiki.warframe.com/w/Carbides | https://wiki.warframe.com/w/Morphics</t>
        </is>
      </c>
      <c r="D1740" t="inlineStr">
        <is>
          <t>ExportCustoms</t>
        </is>
      </c>
      <c r="F1740" t="inlineStr">
        <is>
          <t>Sigma Reactor</t>
        </is>
      </c>
      <c r="H1740" t="inlineStr">
        <is>
          <t>Not a collectible: identity settled and archived 2026-10-17.</t>
        </is>
      </c>
      <c r="I1740" t="inlineStr">
        <is>
          <t>Customs</t>
        </is>
      </c>
      <c r="J1740" t="inlineStr">
        <is>
          <t>ExportCustoms_ground_truth</t>
        </is>
      </c>
      <c r="K1740" t="inlineStr">
        <is>
          <t>name or path</t>
        </is>
      </c>
      <c r="L1740" t="inlineStr">
        <is>
          <t>Blueprints_data</t>
        </is>
      </c>
      <c r="M1740" t="inlineStr">
        <is>
          <t>Not currently listed as a collectible — default Sigma Railjack reactor.</t>
        </is>
      </c>
      <c r="N1740" t="inlineStr">
        <is>
          <t>Asterite | Cubic Diodes | Carbides | Morphics</t>
        </is>
      </c>
      <c r="O1740" t="inlineStr">
        <is>
          <t>There is a wiki page that mentions this name, but that page never says where you get the item.</t>
        </is>
      </c>
    </row>
    <row r="1741">
      <c r="A1741" t="inlineStr">
        <is>
          <t>/Lotus/Upgrades/Skins/RailJack/ShieldArrayDefault</t>
        </is>
      </c>
      <c r="B1741" t="inlineStr">
        <is>
          <t>Sigma Shield Array</t>
        </is>
      </c>
      <c r="C1741" t="inlineStr">
        <is>
          <t>https://wiki.warframe.com/w/Gallos_Rods | https://wiki.warframe.com/w/Titanium | https://wiki.warframe.com/w/Cubic_Diodes | https://wiki.warframe.com/w/Control_Module | https://wiki.warframe.com/w/Ferrite</t>
        </is>
      </c>
      <c r="D1741" t="inlineStr">
        <is>
          <t>ExportCustoms</t>
        </is>
      </c>
      <c r="F1741" t="inlineStr">
        <is>
          <t>Sigma Shield Array</t>
        </is>
      </c>
      <c r="H1741" t="inlineStr">
        <is>
          <t>Not a collectible: identity settled and archived 2026-10-17.</t>
        </is>
      </c>
      <c r="I1741" t="inlineStr">
        <is>
          <t>Customs</t>
        </is>
      </c>
      <c r="J1741" t="inlineStr">
        <is>
          <t>ExportCustoms_ground_truth</t>
        </is>
      </c>
      <c r="K1741" t="inlineStr">
        <is>
          <t>name or path</t>
        </is>
      </c>
      <c r="L1741" t="inlineStr">
        <is>
          <t>Blueprints_data</t>
        </is>
      </c>
      <c r="M1741" t="inlineStr">
        <is>
          <t>Not currently listed as a collectible — default Sigma Railjack shield array.</t>
        </is>
      </c>
      <c r="N1741" t="inlineStr">
        <is>
          <t>Gallos Rods | Titanium | Cubic Diodes | Control Module | Ferrite</t>
        </is>
      </c>
      <c r="O1741" t="inlineStr">
        <is>
          <t>There is a wiki page that mentions this name, but that page never says where you get the item.</t>
        </is>
      </c>
    </row>
    <row r="1742">
      <c r="A1742" t="inlineStr">
        <is>
          <t>/Lotus/Upgrades/Skins/Operator/FacialMarkings/FacialMarkingB</t>
        </is>
      </c>
      <c r="B1742" t="inlineStr">
        <is>
          <t>Somatics Asa-03</t>
        </is>
      </c>
      <c r="C1742" t="inlineStr">
        <is>
          <t>https://wiki.warframe.com/w/Operator/Customization#Somatic_Markings</t>
        </is>
      </c>
      <c r="D1742" t="inlineStr">
        <is>
          <t>ExportCustoms</t>
        </is>
      </c>
      <c r="F1742" t="inlineStr">
        <is>
          <t>Somatics Asa-03</t>
        </is>
      </c>
      <c r="G1742" t="inlineStr">
        <is>
          <t>Somatics Asa-03</t>
        </is>
      </c>
      <c r="H1742" t="inlineStr">
        <is>
          <t>Held: archived 2026-10-17 until a real source exists.</t>
        </is>
      </c>
      <c r="I1742" t="inlineStr">
        <is>
          <t>Customs</t>
        </is>
      </c>
      <c r="J1742" t="inlineStr">
        <is>
          <t>Cosmetics_data, Cosmetics_data_face, Cosmetics_userdata, ExportCustoms_ground_truth</t>
        </is>
      </c>
      <c r="K1742" t="inlineStr">
        <is>
          <t>Cosmetics/data/face</t>
        </is>
      </c>
      <c r="L1742" t="inlineStr">
        <is>
          <t>listed, no place</t>
        </is>
      </c>
      <c r="M1742" t="inlineStr">
        <is>
          <t>Hold — operator Somatics facial marking; wiki has no concrete price/source.</t>
        </is>
      </c>
      <c r="N1742" t="inlineStr">
        <is>
          <t>Operator/Customization | Update 40 | Operator/Patch History</t>
        </is>
      </c>
      <c r="O1742" t="inlineStr">
        <is>
          <t>The official Operator customization page lists this marking but gives no acquisition place or price.</t>
        </is>
      </c>
    </row>
    <row r="1743">
      <c r="A1743" t="inlineStr">
        <is>
          <t>/Lotus/Upgrades/Skins/Operator/FacialMarkings/FacialMarkingE</t>
        </is>
      </c>
      <c r="B1743" t="inlineStr">
        <is>
          <t>Somatics Asa-23</t>
        </is>
      </c>
      <c r="C1743" t="inlineStr">
        <is>
          <t>https://wiki.warframe.com/w/Operator/Customization#Somatic_Markings</t>
        </is>
      </c>
      <c r="D1743" t="inlineStr">
        <is>
          <t>ExportCustoms</t>
        </is>
      </c>
      <c r="F1743" t="inlineStr">
        <is>
          <t>Somatics Asa-23</t>
        </is>
      </c>
      <c r="G1743" t="inlineStr">
        <is>
          <t>Somatics Asa-23</t>
        </is>
      </c>
      <c r="H1743" t="inlineStr">
        <is>
          <t>Held: archived 2026-10-17 until a real source exists.</t>
        </is>
      </c>
      <c r="I1743" t="inlineStr">
        <is>
          <t>Customs</t>
        </is>
      </c>
      <c r="J1743" t="inlineStr">
        <is>
          <t>Cosmetics_data, Cosmetics_data_face, Cosmetics_userdata, ExportCustoms_ground_truth</t>
        </is>
      </c>
      <c r="K1743" t="inlineStr">
        <is>
          <t>Cosmetics/data/face</t>
        </is>
      </c>
      <c r="L1743" t="inlineStr">
        <is>
          <t>listed, no place</t>
        </is>
      </c>
      <c r="M1743" t="inlineStr">
        <is>
          <t>Hold — operator Somatics facial marking; wiki has no concrete price/source.</t>
        </is>
      </c>
      <c r="N1743" t="inlineStr">
        <is>
          <t>Operator/Customization</t>
        </is>
      </c>
      <c r="O1743" t="inlineStr">
        <is>
          <t>The official Operator customization page lists this marking but gives no acquisition place or price.</t>
        </is>
      </c>
    </row>
    <row r="1744">
      <c r="A1744" t="inlineStr">
        <is>
          <t>/Lotus/Upgrades/Skins/Operator/FacialMarkings/FacialMarkingA</t>
        </is>
      </c>
      <c r="B1744" t="inlineStr">
        <is>
          <t>Somatics D11</t>
        </is>
      </c>
      <c r="C1744" t="inlineStr">
        <is>
          <t>https://wiki.warframe.com/w/Operator/Customization#Somatic_Markings</t>
        </is>
      </c>
      <c r="D1744" t="inlineStr">
        <is>
          <t>ExportCustoms</t>
        </is>
      </c>
      <c r="F1744" t="inlineStr">
        <is>
          <t>Somatics D11</t>
        </is>
      </c>
      <c r="G1744" t="inlineStr">
        <is>
          <t>Somatics D11</t>
        </is>
      </c>
      <c r="H1744" t="inlineStr">
        <is>
          <t>Held: archived 2026-10-17 until a real source exists.</t>
        </is>
      </c>
      <c r="I1744" t="inlineStr">
        <is>
          <t>Customs</t>
        </is>
      </c>
      <c r="J1744" t="inlineStr">
        <is>
          <t>Cosmetics_data, Cosmetics_data_face, Cosmetics_userdata, ExportCustoms_ground_truth</t>
        </is>
      </c>
      <c r="K1744" t="inlineStr">
        <is>
          <t>Cosmetics/data/face</t>
        </is>
      </c>
      <c r="L1744" t="inlineStr">
        <is>
          <t>listed, no place</t>
        </is>
      </c>
      <c r="M1744" t="inlineStr">
        <is>
          <t>Hold — operator Somatics facial marking; wiki has no concrete price/source.</t>
        </is>
      </c>
      <c r="N1744" t="inlineStr">
        <is>
          <t>Operator/Customization | Update 40 | Operator/Patch History</t>
        </is>
      </c>
      <c r="O1744" t="inlineStr">
        <is>
          <t>The official Operator customization page lists this marking but gives no acquisition place or price.</t>
        </is>
      </c>
    </row>
    <row r="1745">
      <c r="A1745" t="inlineStr">
        <is>
          <t>/Lotus/Upgrades/Skins/Operator/FacialMarkings/FacialMarkingD</t>
        </is>
      </c>
      <c r="B1745" t="inlineStr">
        <is>
          <t>Somatics Dev-64</t>
        </is>
      </c>
      <c r="C1745" t="inlineStr">
        <is>
          <t>https://wiki.warframe.com/w/Operator/Customization#Somatic_Markings</t>
        </is>
      </c>
      <c r="D1745" t="inlineStr">
        <is>
          <t>ExportCustoms</t>
        </is>
      </c>
      <c r="F1745" t="inlineStr">
        <is>
          <t>Somatics Dev-64</t>
        </is>
      </c>
      <c r="G1745" t="inlineStr">
        <is>
          <t>Somatics Dev-64</t>
        </is>
      </c>
      <c r="H1745" t="inlineStr">
        <is>
          <t>Held: archived 2026-10-17 until a real source exists.</t>
        </is>
      </c>
      <c r="I1745" t="inlineStr">
        <is>
          <t>Customs</t>
        </is>
      </c>
      <c r="J1745" t="inlineStr">
        <is>
          <t>Cosmetics_data, Cosmetics_data_face, Cosmetics_userdata, ExportCustoms_ground_truth</t>
        </is>
      </c>
      <c r="K1745" t="inlineStr">
        <is>
          <t>Cosmetics/data/face</t>
        </is>
      </c>
      <c r="L1745" t="inlineStr">
        <is>
          <t>listed, no place</t>
        </is>
      </c>
      <c r="M1745" t="inlineStr">
        <is>
          <t>Hold — operator Somatics facial marking; wiki has no concrete price/source.</t>
        </is>
      </c>
      <c r="N1745" t="inlineStr">
        <is>
          <t>Operator/Customization</t>
        </is>
      </c>
      <c r="O1745" t="inlineStr">
        <is>
          <t>The official Operator customization page lists this marking but gives no acquisition place or price.</t>
        </is>
      </c>
    </row>
    <row r="1746">
      <c r="A1746" t="inlineStr">
        <is>
          <t>/Lotus/Upgrades/Skins/Operator/FacialMarkings/FacialMarkingH</t>
        </is>
      </c>
      <c r="B1746" t="inlineStr">
        <is>
          <t>Somatics Fa-13</t>
        </is>
      </c>
      <c r="C1746" t="inlineStr">
        <is>
          <t>https://wiki.warframe.com/w/Operator/Customization#Somatic_Markings</t>
        </is>
      </c>
      <c r="D1746" t="inlineStr">
        <is>
          <t>ExportCustoms</t>
        </is>
      </c>
      <c r="F1746" t="inlineStr">
        <is>
          <t>Somatics Fa-13</t>
        </is>
      </c>
      <c r="G1746" t="inlineStr">
        <is>
          <t>Somatics Fa-13</t>
        </is>
      </c>
      <c r="H1746" t="inlineStr">
        <is>
          <t>Held: archived 2026-10-17 until a real source exists.</t>
        </is>
      </c>
      <c r="I1746" t="inlineStr">
        <is>
          <t>Customs</t>
        </is>
      </c>
      <c r="J1746" t="inlineStr">
        <is>
          <t>Cosmetics_data, Cosmetics_data_face, Cosmetics_userdata, ExportCustoms_ground_truth</t>
        </is>
      </c>
      <c r="K1746" t="inlineStr">
        <is>
          <t>Cosmetics/data/face</t>
        </is>
      </c>
      <c r="L1746" t="inlineStr">
        <is>
          <t>listed, no place</t>
        </is>
      </c>
      <c r="M1746" t="inlineStr">
        <is>
          <t>Hold — operator Somatics facial marking; wiki has no concrete price/source.</t>
        </is>
      </c>
      <c r="N1746" t="inlineStr">
        <is>
          <t>Operator/Customization</t>
        </is>
      </c>
      <c r="O1746" t="inlineStr">
        <is>
          <t>The official Operator customization page lists this marking but gives no acquisition place or price.</t>
        </is>
      </c>
    </row>
    <row r="1747">
      <c r="A1747" t="inlineStr">
        <is>
          <t>/Lotus/Upgrades/Skins/Operator/FacialMarkings/FacialMarkingC</t>
        </is>
      </c>
      <c r="B1747" t="inlineStr">
        <is>
          <t>Somatics J-02</t>
        </is>
      </c>
      <c r="C1747" t="inlineStr">
        <is>
          <t>https://wiki.warframe.com/w/Operator/Customization#Somatic_Markings</t>
        </is>
      </c>
      <c r="D1747" t="inlineStr">
        <is>
          <t>ExportCustoms</t>
        </is>
      </c>
      <c r="F1747" t="inlineStr">
        <is>
          <t>Somatics J-02</t>
        </is>
      </c>
      <c r="G1747" t="inlineStr">
        <is>
          <t>Somatics J-02</t>
        </is>
      </c>
      <c r="H1747" t="inlineStr">
        <is>
          <t>Held: archived 2026-10-17 until a real source exists.</t>
        </is>
      </c>
      <c r="I1747" t="inlineStr">
        <is>
          <t>Customs</t>
        </is>
      </c>
      <c r="J1747" t="inlineStr">
        <is>
          <t>Cosmetics_data, Cosmetics_data_face, Cosmetics_userdata, ExportCustoms_ground_truth</t>
        </is>
      </c>
      <c r="K1747" t="inlineStr">
        <is>
          <t>Cosmetics/data/face</t>
        </is>
      </c>
      <c r="L1747" t="inlineStr">
        <is>
          <t>listed, no place</t>
        </is>
      </c>
      <c r="M1747" t="inlineStr">
        <is>
          <t>Hold — operator Somatics facial marking; wiki has no concrete price/source.</t>
        </is>
      </c>
      <c r="N1747" t="inlineStr">
        <is>
          <t>Operator/Customization</t>
        </is>
      </c>
      <c r="O1747" t="inlineStr">
        <is>
          <t>The official Operator customization page lists this marking but gives no acquisition place or price.</t>
        </is>
      </c>
    </row>
    <row r="1748">
      <c r="A1748" t="inlineStr">
        <is>
          <t>/Lotus/Upgrades/Skins/Operator/FacialMarkings/FacialMarkingG</t>
        </is>
      </c>
      <c r="B1748" t="inlineStr">
        <is>
          <t>Somatics K5</t>
        </is>
      </c>
      <c r="C1748" t="inlineStr">
        <is>
          <t>https://wiki.warframe.com/w/Operator/Customization#Somatic_Markings</t>
        </is>
      </c>
      <c r="D1748" t="inlineStr">
        <is>
          <t>ExportCustoms</t>
        </is>
      </c>
      <c r="F1748" t="inlineStr">
        <is>
          <t>Somatics K5</t>
        </is>
      </c>
      <c r="G1748" t="inlineStr">
        <is>
          <t>Somatics K5</t>
        </is>
      </c>
      <c r="H1748" t="inlineStr">
        <is>
          <t>Held: archived 2026-10-17 until a real source exists.</t>
        </is>
      </c>
      <c r="I1748" t="inlineStr">
        <is>
          <t>Customs</t>
        </is>
      </c>
      <c r="J1748" t="inlineStr">
        <is>
          <t>Cosmetics_data, Cosmetics_data_face, Cosmetics_userdata, ExportCustoms_ground_truth</t>
        </is>
      </c>
      <c r="K1748" t="inlineStr">
        <is>
          <t>Cosmetics/data/face</t>
        </is>
      </c>
      <c r="L1748" t="inlineStr">
        <is>
          <t>listed, no place</t>
        </is>
      </c>
      <c r="M1748" t="inlineStr">
        <is>
          <t>Hold — operator Somatics facial marking; wiki has no concrete price/source.</t>
        </is>
      </c>
      <c r="N1748" t="inlineStr">
        <is>
          <t>Operator/Customization</t>
        </is>
      </c>
      <c r="O1748" t="inlineStr">
        <is>
          <t>The official Operator customization page lists this marking but gives no acquisition place or price.</t>
        </is>
      </c>
    </row>
    <row r="1749">
      <c r="A1749" t="inlineStr">
        <is>
          <t>/Lotus/Upgrades/Skins/Operator/FacialMarkings/FacialMarkingF</t>
        </is>
      </c>
      <c r="B1749" t="inlineStr">
        <is>
          <t>Somatics Ln2</t>
        </is>
      </c>
      <c r="C1749" t="inlineStr">
        <is>
          <t>https://wiki.warframe.com/w/Operator/Customization#Somatic_Markings</t>
        </is>
      </c>
      <c r="D1749" t="inlineStr">
        <is>
          <t>ExportCustoms</t>
        </is>
      </c>
      <c r="F1749" t="inlineStr">
        <is>
          <t>Somatics Ln2</t>
        </is>
      </c>
      <c r="G1749" t="inlineStr">
        <is>
          <t>Somatics Ln2</t>
        </is>
      </c>
      <c r="H1749" t="inlineStr">
        <is>
          <t>Held: archived 2026-10-17 until a real source exists.</t>
        </is>
      </c>
      <c r="I1749" t="inlineStr">
        <is>
          <t>Customs</t>
        </is>
      </c>
      <c r="J1749" t="inlineStr">
        <is>
          <t>Cosmetics_data, Cosmetics_data_face, Cosmetics_userdata, ExportCustoms_ground_truth</t>
        </is>
      </c>
      <c r="K1749" t="inlineStr">
        <is>
          <t>Cosmetics/data/face</t>
        </is>
      </c>
      <c r="L1749" t="inlineStr">
        <is>
          <t>listed, no place</t>
        </is>
      </c>
      <c r="M1749" t="inlineStr">
        <is>
          <t>Hold — operator Somatics facial marking; wiki has no concrete price/source.</t>
        </is>
      </c>
      <c r="N1749" t="inlineStr">
        <is>
          <t>Operator/Customization</t>
        </is>
      </c>
      <c r="O1749" t="inlineStr">
        <is>
          <t>The official Operator customization page lists this marking but gives no acquisition place or price.</t>
        </is>
      </c>
    </row>
    <row r="1750">
      <c r="A1750" t="inlineStr">
        <is>
          <t>/Lotus/Upgrades/Skins/Operator/FacialMarkings/FacialMarkingI</t>
        </is>
      </c>
      <c r="B1750" t="inlineStr">
        <is>
          <t>Somatics Rev-16</t>
        </is>
      </c>
      <c r="C1750" t="inlineStr">
        <is>
          <t>https://wiki.warframe.com/w/Operator/Customization#Somatic_Markings</t>
        </is>
      </c>
      <c r="D1750" t="inlineStr">
        <is>
          <t>ExportCustoms</t>
        </is>
      </c>
      <c r="F1750" t="inlineStr">
        <is>
          <t>Somatics Rev-16</t>
        </is>
      </c>
      <c r="G1750" t="inlineStr">
        <is>
          <t>Somatics Rev-16</t>
        </is>
      </c>
      <c r="H1750" t="inlineStr">
        <is>
          <t>Held: archived 2026-10-17 until a real source exists.</t>
        </is>
      </c>
      <c r="I1750" t="inlineStr">
        <is>
          <t>Customs</t>
        </is>
      </c>
      <c r="J1750" t="inlineStr">
        <is>
          <t>Cosmetics_data, Cosmetics_data_face, Cosmetics_userdata, ExportCustoms_ground_truth</t>
        </is>
      </c>
      <c r="K1750" t="inlineStr">
        <is>
          <t>Cosmetics/data/face</t>
        </is>
      </c>
      <c r="L1750" t="inlineStr">
        <is>
          <t>listed, no place</t>
        </is>
      </c>
      <c r="M1750" t="inlineStr">
        <is>
          <t>Hold — operator Somatics facial marking; wiki has no concrete price/source.</t>
        </is>
      </c>
      <c r="N1750" t="inlineStr">
        <is>
          <t>Operator/Customization</t>
        </is>
      </c>
      <c r="O1750" t="inlineStr">
        <is>
          <t>The official Operator customization page lists this marking but gives no acquisition place or price.</t>
        </is>
      </c>
    </row>
    <row r="1751">
      <c r="A1751" t="inlineStr">
        <is>
          <t>/Lotus/Upgrades/Skins/Operator/FacialMarkings/FacialMarkingJ</t>
        </is>
      </c>
      <c r="B1751" t="inlineStr">
        <is>
          <t>Somatics Tt-11</t>
        </is>
      </c>
      <c r="C1751" t="inlineStr">
        <is>
          <t>https://wiki.warframe.com/w/Operator/Customization#Somatic_Markings</t>
        </is>
      </c>
      <c r="D1751" t="inlineStr">
        <is>
          <t>ExportCustoms</t>
        </is>
      </c>
      <c r="F1751" t="inlineStr">
        <is>
          <t>Somatics Tt-11</t>
        </is>
      </c>
      <c r="G1751" t="inlineStr">
        <is>
          <t>Somatics Tt-11</t>
        </is>
      </c>
      <c r="H1751" t="inlineStr">
        <is>
          <t>Held: archived 2026-10-17 until a real source exists.</t>
        </is>
      </c>
      <c r="I1751" t="inlineStr">
        <is>
          <t>Customs</t>
        </is>
      </c>
      <c r="J1751" t="inlineStr">
        <is>
          <t>Cosmetics_data, Cosmetics_data_face, Cosmetics_userdata, ExportCustoms_ground_truth</t>
        </is>
      </c>
      <c r="K1751" t="inlineStr">
        <is>
          <t>Cosmetics/data/face</t>
        </is>
      </c>
      <c r="L1751" t="inlineStr">
        <is>
          <t>listed, no place</t>
        </is>
      </c>
      <c r="M1751" t="inlineStr">
        <is>
          <t>Hold — operator Somatics facial marking; wiki has no concrete price/source.</t>
        </is>
      </c>
      <c r="N1751" t="inlineStr">
        <is>
          <t>Operator/Customization</t>
        </is>
      </c>
      <c r="O1751" t="inlineStr">
        <is>
          <t>The official Operator customization page lists this marking but gives no acquisition place or price.</t>
        </is>
      </c>
    </row>
    <row r="1752">
      <c r="A1752" t="inlineStr">
        <is>
          <t>/Lotus/Types/Restoratives/LisetLaserTurret</t>
        </is>
      </c>
      <c r="B1752" t="inlineStr">
        <is>
          <t>Missile Battery</t>
        </is>
      </c>
      <c r="C1752" t="inlineStr">
        <is>
          <t>https://wiki.warframe.com/w/Missile_Battery</t>
        </is>
      </c>
      <c r="D1752" t="inlineStr">
        <is>
          <t>ExportGear</t>
        </is>
      </c>
      <c r="F1752" t="inlineStr">
        <is>
          <t>Missile Battery</t>
        </is>
      </c>
      <c r="G1752" t="inlineStr">
        <is>
          <t>Missile Battery</t>
        </is>
      </c>
      <c r="H1752" t="inlineStr">
        <is>
          <t>Not a collectible: identity settled and archived 2026-10-17.</t>
        </is>
      </c>
      <c r="I1752" t="inlineStr">
        <is>
          <t>Gear</t>
        </is>
      </c>
      <c r="M1752" t="inlineStr">
        <is>
          <t>Internal asset — not a player inventory collectible (Missile Battery air-support power).</t>
        </is>
      </c>
      <c r="N1752" t="inlineStr">
        <is>
          <t>Skirmish/Quotes | Cephalon Cy/Quotes | Railjack/Tactical Menu | Missile Battery</t>
        </is>
      </c>
      <c r="O1752" t="inlineStr">
        <is>
          <t>The Wiki title resolves to an enemy or Warframe ability, not the internal gear item in this row; skipped as an entity conflict.</t>
        </is>
      </c>
    </row>
    <row r="1753">
      <c r="A1753" t="inlineStr">
        <is>
          <t>/Lotus/Types/Restoratives/Consumable/RecallToRailjack</t>
        </is>
      </c>
      <c r="B1753" t="inlineStr">
        <is>
          <t>Railjack Recall</t>
        </is>
      </c>
      <c r="C1753" t="inlineStr">
        <is>
          <t>https://wiki.warframe.com/w/Volatile/Quotes | https://wiki.warframe.com/w/Cephalon_Cy/Quotes | https://wiki.warframe.com/w/Update_27 | https://wiki.warframe.com/w/Railjack/Patch_History</t>
        </is>
      </c>
      <c r="D1753" t="inlineStr">
        <is>
          <t>ExportGear</t>
        </is>
      </c>
      <c r="F1753" t="inlineStr">
        <is>
          <t>Railjack Recall</t>
        </is>
      </c>
      <c r="H1753" t="inlineStr">
        <is>
          <t>Not a collectible: identity settled and archived 2026-10-17.</t>
        </is>
      </c>
      <c r="I1753" t="inlineStr">
        <is>
          <t>Gear</t>
        </is>
      </c>
      <c r="M1753" t="inlineStr">
        <is>
          <t>Not currently listed as a collectible — built-in Railjack recall gear action.</t>
        </is>
      </c>
      <c r="N1753" t="inlineStr">
        <is>
          <t>Volatile/Quotes | Cephalon Cy/Quotes | Update 27 | Railjack/Patch History</t>
        </is>
      </c>
      <c r="O1753" t="inlineStr">
        <is>
          <t>There is a wiki page that mentions this name, but that page never says where you get the item.</t>
        </is>
      </c>
    </row>
    <row r="1754">
      <c r="A1754" t="inlineStr">
        <is>
          <t>/Lotus/Types/Restoratives/LisetShield</t>
        </is>
      </c>
      <c r="B1754" t="inlineStr">
        <is>
          <t>Snow Globe</t>
        </is>
      </c>
      <c r="C1754" t="inlineStr">
        <is>
          <t>https://wiki.warframe.com/w/Snow_Globe</t>
        </is>
      </c>
      <c r="D1754" t="inlineStr">
        <is>
          <t>ExportGear</t>
        </is>
      </c>
      <c r="F1754" t="inlineStr">
        <is>
          <t>Snow Globe</t>
        </is>
      </c>
      <c r="G1754" t="inlineStr">
        <is>
          <t>Snow Globe</t>
        </is>
      </c>
      <c r="H1754" t="inlineStr">
        <is>
          <t>Not a collectible: identity settled and archived 2026-10-17.</t>
        </is>
      </c>
      <c r="I1754" t="inlineStr">
        <is>
          <t>Gear</t>
        </is>
      </c>
      <c r="J1754" t="inlineStr">
        <is>
          <t>Ability_data, Enemies_data, Enemies_data_grineer, Enemies_data_pre-U36, Enemies_data_pre_U36, Tooltips_data_Ability, Tooltips_data_Warframes, Warframes_Conclave_data, Warframes_data</t>
        </is>
      </c>
      <c r="K1754" t="inlineStr">
        <is>
          <t>name or path</t>
        </is>
      </c>
      <c r="M1754" t="inlineStr">
        <is>
          <t>Internal asset — not a player inventory collectible (Snow Globe air-support power).</t>
        </is>
      </c>
      <c r="N1754" t="inlineStr">
        <is>
          <t>Damage/Cold Damage | Cold Front | Stagger | Chilling Globe</t>
        </is>
      </c>
      <c r="O1754" t="inlineStr">
        <is>
          <t>The Wiki title resolves to an enemy or Warframe ability, not the internal gear item in this row; skipped as an entity conflict.</t>
        </is>
      </c>
    </row>
    <row r="1755">
      <c r="A1755" t="inlineStr">
        <is>
          <t>/Lotus/Types/Restoratives/LisetBlackHole</t>
        </is>
      </c>
      <c r="B1755" t="inlineStr">
        <is>
          <t>Vortex</t>
        </is>
      </c>
      <c r="C1755" t="inlineStr">
        <is>
          <t>https://wiki.warframe.com/w/Vortex</t>
        </is>
      </c>
      <c r="D1755" t="inlineStr">
        <is>
          <t>ExportGear</t>
        </is>
      </c>
      <c r="F1755" t="inlineStr">
        <is>
          <t>Vortex</t>
        </is>
      </c>
      <c r="G1755" t="inlineStr">
        <is>
          <t>Vortex</t>
        </is>
      </c>
      <c r="H1755" t="inlineStr">
        <is>
          <t>Not a collectible: identity settled and archived 2026-10-17.</t>
        </is>
      </c>
      <c r="I1755" t="inlineStr">
        <is>
          <t>Gear</t>
        </is>
      </c>
      <c r="J1755" t="inlineStr">
        <is>
          <t>Ability_data, Tooltips_data_Ability</t>
        </is>
      </c>
      <c r="K1755" t="inlineStr">
        <is>
          <t>name or path</t>
        </is>
      </c>
      <c r="M1755" t="inlineStr">
        <is>
          <t>Internal asset — not a player inventory collectible (Vortex air-support power).</t>
        </is>
      </c>
      <c r="N1755" t="inlineStr">
        <is>
          <t>Sarofang | Damage/Magnetic Damage</t>
        </is>
      </c>
      <c r="O1755" t="inlineStr">
        <is>
          <t>The Wiki title resolves to an enemy or Warframe ability, not the internal gear item in this row; skipped as an entity conflict.</t>
        </is>
      </c>
    </row>
    <row r="1756">
      <c r="A1756" t="inlineStr">
        <is>
          <t>/Lotus/Types/Items/ShipFeatureItems/AlertsFeatureItem</t>
        </is>
      </c>
      <c r="B1756" t="inlineStr">
        <is>
          <t>ALERTS SEGMENT</t>
        </is>
      </c>
      <c r="D1756" t="inlineStr">
        <is>
          <t>ExportResources</t>
        </is>
      </c>
      <c r="F1756" t="inlineStr">
        <is>
          <t>ALERTS SEGMENT</t>
        </is>
      </c>
      <c r="H1756" t="inlineStr">
        <is>
          <t>Not a collectible: identity settled and archived 2026-10-17.</t>
        </is>
      </c>
      <c r="I1756" t="inlineStr">
        <is>
          <t>Resources</t>
        </is>
      </c>
      <c r="M1756" t="inlineStr">
        <is>
          <t>Internal asset — not a player inventory collectible (Orbiter feature/progression state item).</t>
        </is>
      </c>
      <c r="O1756" t="inlineStr">
        <is>
          <t>No wiki page uses this exact name.</t>
        </is>
      </c>
    </row>
    <row r="1757">
      <c r="A1757" t="inlineStr">
        <is>
          <t>/Lotus/Types/Items/ShipFeatureItems/FoundryConcurrentBuildFormaFeatureItem</t>
        </is>
      </c>
      <c r="B1757" t="inlineStr">
        <is>
          <t>AUXILIARY FORMA CRUCIBLE</t>
        </is>
      </c>
      <c r="D1757" t="inlineStr">
        <is>
          <t>ExportResources</t>
        </is>
      </c>
      <c r="F1757" t="inlineStr">
        <is>
          <t>AUXILIARY FORMA CRUCIBLE</t>
        </is>
      </c>
      <c r="H1757" t="inlineStr">
        <is>
          <t>Not a collectible: identity settled and archived 2026-10-17.</t>
        </is>
      </c>
      <c r="I1757" t="inlineStr">
        <is>
          <t>Resources</t>
        </is>
      </c>
      <c r="M1757" t="inlineStr">
        <is>
          <t>Internal asset — not a player inventory collectible (Orbiter feature/progression state item).</t>
        </is>
      </c>
      <c r="O1757" t="inlineStr">
        <is>
          <t>No wiki page uses this exact name.</t>
        </is>
      </c>
    </row>
    <row r="1758">
      <c r="A1758" t="inlineStr">
        <is>
          <t>/Lotus/Types/Items/ShipFeatureItems/AdvancedOrdisFeatureItem</t>
        </is>
      </c>
      <c r="B1758" t="inlineStr">
        <is>
          <t>Advanced Cephalon Segment</t>
        </is>
      </c>
      <c r="D1758" t="inlineStr">
        <is>
          <t>ExportResources</t>
        </is>
      </c>
      <c r="F1758" t="inlineStr">
        <is>
          <t>Advanced Cephalon Segment</t>
        </is>
      </c>
      <c r="H1758" t="inlineStr">
        <is>
          <t>Not a collectible: identity settled and archived 2026-10-17.</t>
        </is>
      </c>
      <c r="I1758" t="inlineStr">
        <is>
          <t>Resources</t>
        </is>
      </c>
      <c r="M1758" t="inlineStr">
        <is>
          <t>Internal asset — not a player inventory collectible (Orbiter feature/progression state item).</t>
        </is>
      </c>
      <c r="O1758" t="inlineStr">
        <is>
          <t>No wiki page uses this exact name.</t>
        </is>
      </c>
    </row>
    <row r="1759">
      <c r="A1759" t="inlineStr">
        <is>
          <t>/Lotus/Types/Items/MiscItems/TNWArchonItemAmar</t>
        </is>
      </c>
      <c r="B1759" t="inlineStr">
        <is>
          <t>Archon Amar's Shard</t>
        </is>
      </c>
      <c r="D1759" t="inlineStr">
        <is>
          <t>ExportResources</t>
        </is>
      </c>
      <c r="F1759" t="inlineStr">
        <is>
          <t>Archon Amar's Shard</t>
        </is>
      </c>
      <c r="H1759" t="inlineStr">
        <is>
          <t>Not a collectible: identity settled and archived 2026-10-17.</t>
        </is>
      </c>
      <c r="I1759" t="inlineStr">
        <is>
          <t>Resources</t>
        </is>
      </c>
      <c r="M1759" t="inlineStr">
        <is>
          <t>Internal asset — not a player inventory collectible (The New War quest-state item representing Archon Amar's shard).</t>
        </is>
      </c>
      <c r="O1759" t="inlineStr">
        <is>
          <t>No wiki page uses this exact name.</t>
        </is>
      </c>
    </row>
    <row r="1760">
      <c r="A1760" t="inlineStr">
        <is>
          <t>/Lotus/Types/Items/MiscItems/TNWArchonItemBoreal</t>
        </is>
      </c>
      <c r="B1760" t="inlineStr">
        <is>
          <t>Archon Boreal's Shard</t>
        </is>
      </c>
      <c r="C1760" t="inlineStr">
        <is>
          <t>https://wiki.warframe.com/w/Archon_Boreal | https://wiki.warframe.com/w/Archon_Hunt</t>
        </is>
      </c>
      <c r="D1760" t="inlineStr">
        <is>
          <t>ExportResources</t>
        </is>
      </c>
      <c r="F1760" t="inlineStr">
        <is>
          <t>Archon Boreal's Shard</t>
        </is>
      </c>
      <c r="H1760" t="inlineStr">
        <is>
          <t>Not a collectible: identity settled and archived 2026-10-17.</t>
        </is>
      </c>
      <c r="I1760" t="inlineStr">
        <is>
          <t>Resources</t>
        </is>
      </c>
      <c r="M1760" t="inlineStr">
        <is>
          <t>Internal asset — not a player inventory collectible (The New War quest-state item representing Archon Boreal's shard).</t>
        </is>
      </c>
      <c r="N1760" t="inlineStr">
        <is>
          <t>Archon Boreal | Archon Hunt | Update 32</t>
        </is>
      </c>
      <c r="O1760" t="inlineStr">
        <is>
          <t>There is a wiki page that mentions this name, but that page never says where you get the item.</t>
        </is>
      </c>
    </row>
    <row r="1761">
      <c r="A1761" t="inlineStr">
        <is>
          <t>/Lotus/Types/Items/MiscItems/TNWArchonItemNira</t>
        </is>
      </c>
      <c r="B1761" t="inlineStr">
        <is>
          <t>Archon Nira's Shard</t>
        </is>
      </c>
      <c r="D1761" t="inlineStr">
        <is>
          <t>ExportResources</t>
        </is>
      </c>
      <c r="F1761" t="inlineStr">
        <is>
          <t>Archon Nira's Shard</t>
        </is>
      </c>
      <c r="H1761" t="inlineStr">
        <is>
          <t>Not a collectible: identity settled and archived 2026-10-17.</t>
        </is>
      </c>
      <c r="I1761" t="inlineStr">
        <is>
          <t>Resources</t>
        </is>
      </c>
      <c r="M1761" t="inlineStr">
        <is>
          <t>Internal asset — not a player inventory collectible (The New War quest-state item representing Archon Nira's shard).</t>
        </is>
      </c>
      <c r="O1761" t="inlineStr">
        <is>
          <t>No wiki page uses this exact name.</t>
        </is>
      </c>
    </row>
    <row r="1762">
      <c r="A1762" t="inlineStr">
        <is>
          <t>/Lotus/Types/Items/InfestedFoundry/HelminthBile</t>
        </is>
      </c>
      <c r="B1762" t="inlineStr">
        <is>
          <t>Bile</t>
        </is>
      </c>
      <c r="C1762" t="inlineStr">
        <is>
          <t>https://wiki.warframe.com/w/Helminth#Bile</t>
        </is>
      </c>
      <c r="D1762" t="inlineStr">
        <is>
          <t>ExportResources</t>
        </is>
      </c>
      <c r="G1762" t="inlineStr">
        <is>
          <t>Helminth#Bile</t>
        </is>
      </c>
      <c r="H1762" t="inlineStr">
        <is>
          <t>Held: archived 2026-10-17 until a real source exists.</t>
        </is>
      </c>
      <c r="I1762" t="inlineStr">
        <is>
          <t>Resources</t>
        </is>
      </c>
      <c r="J1762" t="inlineStr">
        <is>
          <t>Lang_data, Lang_data_iana languages, Resources_data</t>
        </is>
      </c>
      <c r="K1762" t="inlineStr">
        <is>
          <t>Resources/data</t>
        </is>
      </c>
      <c r="L1762" t="inlineStr">
        <is>
          <t>listed, no place</t>
        </is>
      </c>
      <c r="M1762" t="inlineStr">
        <is>
          <t>Hold — Helminth system value (Bile); not an ordinary collectible, wiki has no concrete source.</t>
        </is>
      </c>
      <c r="N1762" t="inlineStr">
        <is>
          <t>Helminth | Pherliac Pod | Catabolyst</t>
        </is>
      </c>
      <c r="O1762" t="inlineStr">
        <is>
          <t>This is a Helminth secretion category rather than a separately acquired player-owned item; kept as a note and not forced into acquisition data.</t>
        </is>
      </c>
    </row>
    <row r="1763">
      <c r="A1763" t="inlineStr">
        <is>
          <t>/Lotus/Types/Items/InfestedFoundry/HelminthBiotics</t>
        </is>
      </c>
      <c r="B1763" t="inlineStr">
        <is>
          <t>Biotics</t>
        </is>
      </c>
      <c r="C1763" t="inlineStr">
        <is>
          <t>https://wiki.warframe.com/w/Helminth#Biotics</t>
        </is>
      </c>
      <c r="D1763" t="inlineStr">
        <is>
          <t>ExportResources</t>
        </is>
      </c>
      <c r="G1763" t="inlineStr">
        <is>
          <t>Helminth#Biotics</t>
        </is>
      </c>
      <c r="H1763" t="inlineStr">
        <is>
          <t>Held: archived 2026-10-17 until a real source exists.</t>
        </is>
      </c>
      <c r="I1763" t="inlineStr">
        <is>
          <t>Resources</t>
        </is>
      </c>
      <c r="J1763" t="inlineStr">
        <is>
          <t>Resources_data</t>
        </is>
      </c>
      <c r="K1763" t="inlineStr">
        <is>
          <t>Resources/data</t>
        </is>
      </c>
      <c r="L1763" t="inlineStr">
        <is>
          <t>listed, no place</t>
        </is>
      </c>
      <c r="M1763" t="inlineStr">
        <is>
          <t>Hold — Helminth system value (Biotics); not an ordinary collectible, wiki has no concrete source.</t>
        </is>
      </c>
      <c r="N1763" t="inlineStr">
        <is>
          <t>Helminth</t>
        </is>
      </c>
      <c r="O1763" t="inlineStr">
        <is>
          <t>This is a Helminth secretion category rather than a separately acquired player-owned item; kept as a note and not forced into acquisition data.</t>
        </is>
      </c>
    </row>
    <row r="1764">
      <c r="A1764" t="inlineStr">
        <is>
          <t>/Lotus/Types/Items/ShipFeatureItems/CeresNavigationFeatureItem</t>
        </is>
      </c>
      <c r="B1764" t="inlineStr">
        <is>
          <t>CERES NAV SEGMENT</t>
        </is>
      </c>
      <c r="C1764" t="inlineStr">
        <is>
          <t>https://wiki.warframe.com/w/Star_Chart | https://wiki.warframe.com/w/Star_Chart_2.0</t>
        </is>
      </c>
      <c r="D1764" t="inlineStr">
        <is>
          <t>ExportResources</t>
        </is>
      </c>
      <c r="F1764" t="inlineStr">
        <is>
          <t>CERES NAV SEGMENT</t>
        </is>
      </c>
      <c r="H1764" t="inlineStr">
        <is>
          <t>Not a collectible: identity settled and archived 2026-10-17.</t>
        </is>
      </c>
      <c r="I1764" t="inlineStr">
        <is>
          <t>Resources</t>
        </is>
      </c>
      <c r="M1764" t="inlineStr">
        <is>
          <t>Internal asset — not a player inventory collectible (legacy navigation unlock/state item).</t>
        </is>
      </c>
      <c r="N1764" t="inlineStr">
        <is>
          <t>Star Chart | Star Chart 2.0 | Update 15</t>
        </is>
      </c>
      <c r="O1764" t="inlineStr">
        <is>
          <t>There is a wiki page that mentions this name, but that page never says where you get the item.</t>
        </is>
      </c>
    </row>
    <row r="1765">
      <c r="A1765" t="inlineStr">
        <is>
          <t>/Lotus/Types/Items/ShipFeatureItems/ClanFeatureItem</t>
        </is>
      </c>
      <c r="B1765" t="inlineStr">
        <is>
          <t>CLAN SEGMENT</t>
        </is>
      </c>
      <c r="D1765" t="inlineStr">
        <is>
          <t>ExportResources</t>
        </is>
      </c>
      <c r="F1765" t="inlineStr">
        <is>
          <t>CLAN SEGMENT</t>
        </is>
      </c>
      <c r="H1765" t="inlineStr">
        <is>
          <t>Not a collectible: identity settled and archived 2026-10-17.</t>
        </is>
      </c>
      <c r="I1765" t="inlineStr">
        <is>
          <t>Resources</t>
        </is>
      </c>
      <c r="M1765" t="inlineStr">
        <is>
          <t>Internal asset — not a player inventory collectible (Orbiter feature/progression state item).</t>
        </is>
      </c>
      <c r="O1765" t="inlineStr">
        <is>
          <t>No wiki page uses this exact name.</t>
        </is>
      </c>
    </row>
    <row r="1766">
      <c r="A1766" t="inlineStr">
        <is>
          <t>/Lotus/Types/Items/InfestedFoundry/HelminthCalx</t>
        </is>
      </c>
      <c r="B1766" t="inlineStr">
        <is>
          <t>Calx</t>
        </is>
      </c>
      <c r="C1766" t="inlineStr">
        <is>
          <t>https://wiki.warframe.com/w/Helminth#Calx</t>
        </is>
      </c>
      <c r="D1766" t="inlineStr">
        <is>
          <t>ExportResources</t>
        </is>
      </c>
      <c r="G1766" t="inlineStr">
        <is>
          <t>Helminth#Calx</t>
        </is>
      </c>
      <c r="H1766" t="inlineStr">
        <is>
          <t>Held: archived 2026-10-17 until a real source exists.</t>
        </is>
      </c>
      <c r="I1766" t="inlineStr">
        <is>
          <t>Resources</t>
        </is>
      </c>
      <c r="J1766" t="inlineStr">
        <is>
          <t>Resources_data</t>
        </is>
      </c>
      <c r="K1766" t="inlineStr">
        <is>
          <t>Resources/data</t>
        </is>
      </c>
      <c r="L1766" t="inlineStr">
        <is>
          <t>listed, no place</t>
        </is>
      </c>
      <c r="M1766" t="inlineStr">
        <is>
          <t>Hold — Helminth system value (Calx); not an ordinary collectible, wiki has no concrete source.</t>
        </is>
      </c>
      <c r="N1766" t="inlineStr">
        <is>
          <t>Helminth</t>
        </is>
      </c>
      <c r="O1766" t="inlineStr">
        <is>
          <t>This is a Helminth secretion category rather than a separately acquired player-owned item; kept as a note and not forced into acquisition data.</t>
        </is>
      </c>
    </row>
    <row r="1767">
      <c r="A1767" t="inlineStr">
        <is>
          <t>/Lotus/Types/Items/ShipFeatureItems/EarthNavigationFeatureItem</t>
        </is>
      </c>
      <c r="B1767" t="inlineStr">
        <is>
          <t>EARTH NAV SEGMENT</t>
        </is>
      </c>
      <c r="D1767" t="inlineStr">
        <is>
          <t>ExportResources</t>
        </is>
      </c>
      <c r="F1767" t="inlineStr">
        <is>
          <t>EARTH NAV SEGMENT</t>
        </is>
      </c>
      <c r="H1767" t="inlineStr">
        <is>
          <t>Not a collectible: identity settled and archived 2026-10-17.</t>
        </is>
      </c>
      <c r="I1767" t="inlineStr">
        <is>
          <t>Resources</t>
        </is>
      </c>
      <c r="M1767" t="inlineStr">
        <is>
          <t>Internal asset — not a player inventory collectible (legacy navigation unlock/state item).</t>
        </is>
      </c>
      <c r="O1767" t="inlineStr">
        <is>
          <t>No wiki page uses this exact name.</t>
        </is>
      </c>
    </row>
    <row r="1768">
      <c r="A1768" t="inlineStr">
        <is>
          <t>/Lotus/Types/Items/SyndicateDogTags/NoraInfestedDogTag</t>
        </is>
      </c>
      <c r="B1768" t="inlineStr">
        <is>
          <t>EMISSARY &lt;REPUTATION_SMALL&gt; STANDING</t>
        </is>
      </c>
      <c r="D1768" t="inlineStr">
        <is>
          <t>ExportResources</t>
        </is>
      </c>
      <c r="F1768" t="inlineStr">
        <is>
          <t>EMISSARY &lt;REPUTATION_SMALL&gt; STANDING</t>
        </is>
      </c>
      <c r="H1768" t="inlineStr">
        <is>
          <t>Not a collectible: identity settled and archived 2026-10-17.</t>
        </is>
      </c>
      <c r="I1768" t="inlineStr">
        <is>
          <t>Resources</t>
        </is>
      </c>
      <c r="M1768" t="inlineStr">
        <is>
          <t>Internal asset — not a player inventory collectible (Nightwave standing bookkeeping token).</t>
        </is>
      </c>
      <c r="O1768" t="inlineStr">
        <is>
          <t>No wiki page uses this exact name.</t>
        </is>
      </c>
    </row>
    <row r="1769">
      <c r="A1769" t="inlineStr">
        <is>
          <t>/Lotus/Types/Items/ShipFeatureItems/Railjack/DamagedRailjackHoodFeatureItem</t>
        </is>
      </c>
      <c r="B1769" t="inlineStr">
        <is>
          <t>ENGINE COWLING REPAIRS</t>
        </is>
      </c>
      <c r="D1769" t="inlineStr">
        <is>
          <t>ExportResources</t>
        </is>
      </c>
      <c r="F1769" t="inlineStr">
        <is>
          <t>ENGINE COWLING REPAIRS</t>
        </is>
      </c>
      <c r="H1769" t="inlineStr">
        <is>
          <t>Not a collectible: identity settled and archived 2026-10-17.</t>
        </is>
      </c>
      <c r="I1769" t="inlineStr">
        <is>
          <t>Resources</t>
        </is>
      </c>
      <c r="M1769" t="inlineStr">
        <is>
          <t>Internal asset — not a player inventory collectible (Rising Tide Railjack repair-state item).</t>
        </is>
      </c>
      <c r="O1769" t="inlineStr">
        <is>
          <t>No wiki page uses this exact name.</t>
        </is>
      </c>
    </row>
    <row r="1770">
      <c r="A1770" t="inlineStr">
        <is>
          <t>/Lotus/Types/Items/ShipFeatureItems/ErisNavigationFeatureItem</t>
        </is>
      </c>
      <c r="B1770" t="inlineStr">
        <is>
          <t>ERIS NAV SEGMENT</t>
        </is>
      </c>
      <c r="D1770" t="inlineStr">
        <is>
          <t>ExportResources</t>
        </is>
      </c>
      <c r="F1770" t="inlineStr">
        <is>
          <t>ERIS NAV SEGMENT</t>
        </is>
      </c>
      <c r="H1770" t="inlineStr">
        <is>
          <t>Not a collectible: identity settled and archived 2026-10-17.</t>
        </is>
      </c>
      <c r="I1770" t="inlineStr">
        <is>
          <t>Resources</t>
        </is>
      </c>
      <c r="M1770" t="inlineStr">
        <is>
          <t>Internal asset — not a player inventory collectible (legacy navigation unlock/state item).</t>
        </is>
      </c>
      <c r="O1770" t="inlineStr">
        <is>
          <t>No wiki page uses this exact name.</t>
        </is>
      </c>
    </row>
    <row r="1771">
      <c r="A1771" t="inlineStr">
        <is>
          <t>/Lotus/Types/Items/ShipFeatureItems/EuropaNavigationFeatureItem</t>
        </is>
      </c>
      <c r="B1771" t="inlineStr">
        <is>
          <t>EUROPA NAV SEGMENT</t>
        </is>
      </c>
      <c r="D1771" t="inlineStr">
        <is>
          <t>ExportResources</t>
        </is>
      </c>
      <c r="F1771" t="inlineStr">
        <is>
          <t>EUROPA NAV SEGMENT</t>
        </is>
      </c>
      <c r="H1771" t="inlineStr">
        <is>
          <t>Not a collectible: identity settled and archived 2026-10-17.</t>
        </is>
      </c>
      <c r="I1771" t="inlineStr">
        <is>
          <t>Resources</t>
        </is>
      </c>
      <c r="M1771" t="inlineStr">
        <is>
          <t>Internal asset — not a player inventory collectible (legacy navigation unlock/state item).</t>
        </is>
      </c>
      <c r="O1771" t="inlineStr">
        <is>
          <t>No wiki page uses this exact name.</t>
        </is>
      </c>
    </row>
    <row r="1772">
      <c r="A1772" t="inlineStr">
        <is>
          <t>/Lotus/Types/Items/ShipFeatureItems/Railjack/DamagedRailjackHullFeatureItem</t>
        </is>
      </c>
      <c r="B1772" t="inlineStr">
        <is>
          <t>FUSELAGE REPAIRS</t>
        </is>
      </c>
      <c r="C1772" t="inlineStr">
        <is>
          <t>https://wiki.warframe.com/w/Cubic_Diodes</t>
        </is>
      </c>
      <c r="D1772" t="inlineStr">
        <is>
          <t>ExportResources</t>
        </is>
      </c>
      <c r="F1772" t="inlineStr">
        <is>
          <t>FUSELAGE REPAIRS</t>
        </is>
      </c>
      <c r="H1772" t="inlineStr">
        <is>
          <t>Not a collectible: identity settled and archived 2026-10-17.</t>
        </is>
      </c>
      <c r="I1772" t="inlineStr">
        <is>
          <t>Resources</t>
        </is>
      </c>
      <c r="M1772" t="inlineStr">
        <is>
          <t>Internal asset — not a player inventory collectible (Rising Tide Railjack repair-state item).</t>
        </is>
      </c>
      <c r="N1772" t="inlineStr">
        <is>
          <t>Cubic Diodes</t>
        </is>
      </c>
      <c r="O1772" t="inlineStr">
        <is>
          <t>There is a wiki page that mentions this name, but that page never says where you get the item.</t>
        </is>
      </c>
    </row>
    <row r="1773">
      <c r="A1773" t="inlineStr">
        <is>
          <t>/Lotus/Types/Items/ShipFeatureItems/MercuryNavigationFeatureItem</t>
        </is>
      </c>
      <c r="B1773" t="inlineStr">
        <is>
          <t>GALLEON NAV COORDINATES</t>
        </is>
      </c>
      <c r="D1773" t="inlineStr">
        <is>
          <t>ExportResources</t>
        </is>
      </c>
      <c r="F1773" t="inlineStr">
        <is>
          <t>GALLEON NAV COORDINATES</t>
        </is>
      </c>
      <c r="H1773" t="inlineStr">
        <is>
          <t>Not a collectible: identity settled and archived 2026-10-17.</t>
        </is>
      </c>
      <c r="I1773" t="inlineStr">
        <is>
          <t>Resources</t>
        </is>
      </c>
      <c r="M1773" t="inlineStr">
        <is>
          <t>Internal asset — not a player inventory collectible (legacy navigation unlock/state item).</t>
        </is>
      </c>
      <c r="O1773" t="inlineStr">
        <is>
          <t>No wiki page uses this exact name.</t>
        </is>
      </c>
    </row>
    <row r="1774">
      <c r="A1774" t="inlineStr">
        <is>
          <t>/Lotus/Types/Items/SyndicateDogTags/NoraGlassmakerDogTag</t>
        </is>
      </c>
      <c r="B1774" t="inlineStr">
        <is>
          <t>GLASSMAKER &lt;REPUTATION_SMALL&gt; STANDING</t>
        </is>
      </c>
      <c r="D1774" t="inlineStr">
        <is>
          <t>ExportResources</t>
        </is>
      </c>
      <c r="F1774" t="inlineStr">
        <is>
          <t>GLASSMAKER &lt;REPUTATION_SMALL&gt; STANDING</t>
        </is>
      </c>
      <c r="H1774" t="inlineStr">
        <is>
          <t>Not a collectible: identity settled and archived 2026-10-17.</t>
        </is>
      </c>
      <c r="I1774" t="inlineStr">
        <is>
          <t>Resources</t>
        </is>
      </c>
      <c r="M1774" t="inlineStr">
        <is>
          <t>Internal asset — not a player inventory collectible (Nightwave standing bookkeeping token).</t>
        </is>
      </c>
      <c r="O1774" t="inlineStr">
        <is>
          <t>No wiki page uses this exact name.</t>
        </is>
      </c>
    </row>
    <row r="1775">
      <c r="A1775" t="inlineStr">
        <is>
          <t>/Lotus/Types/Items/ShipFeatureItems/JupiterNavigationFeatureItem</t>
        </is>
      </c>
      <c r="B1775" t="inlineStr">
        <is>
          <t>JUPITER NAV SEGMENT</t>
        </is>
      </c>
      <c r="D1775" t="inlineStr">
        <is>
          <t>ExportResources</t>
        </is>
      </c>
      <c r="F1775" t="inlineStr">
        <is>
          <t>JUPITER NAV SEGMENT</t>
        </is>
      </c>
      <c r="H1775" t="inlineStr">
        <is>
          <t>Not a collectible: identity settled and archived 2026-10-17.</t>
        </is>
      </c>
      <c r="I1775" t="inlineStr">
        <is>
          <t>Resources</t>
        </is>
      </c>
      <c r="M1775" t="inlineStr">
        <is>
          <t>Internal asset — not a player inventory collectible (legacy navigation unlock/state item).</t>
        </is>
      </c>
      <c r="O1775" t="inlineStr">
        <is>
          <t>No wiki page uses this exact name.</t>
        </is>
      </c>
    </row>
    <row r="1776">
      <c r="A1776" t="inlineStr">
        <is>
          <t>/Lotus/Types/StoreItems/Packages/MegaPrimeVault/LastChanceItemA</t>
        </is>
      </c>
      <c r="B1776" t="inlineStr">
        <is>
          <t>Last Chance Offerings</t>
        </is>
      </c>
      <c r="D1776" t="inlineStr">
        <is>
          <t>ExportResources</t>
        </is>
      </c>
      <c r="F1776" t="inlineStr">
        <is>
          <t>Last Chance Offerings</t>
        </is>
      </c>
      <c r="H1776" t="inlineStr">
        <is>
          <t>Not a collectible: identity settled and archived 2026-10-17.</t>
        </is>
      </c>
      <c r="I1776" t="inlineStr">
        <is>
          <t>Resources</t>
        </is>
      </c>
      <c r="M1776" t="inlineStr">
        <is>
          <t>Internal asset — not a player inventory collectible (Prime Resurgence storefront/package proxy).</t>
        </is>
      </c>
      <c r="O1776" t="inlineStr">
        <is>
          <t>No wiki page uses this exact name.</t>
        </is>
      </c>
    </row>
    <row r="1777">
      <c r="A1777" t="inlineStr">
        <is>
          <t>/Lotus/Types/Game/Nemesis/KuvaLich/CapturedGrineerLichToken</t>
        </is>
      </c>
      <c r="B1777" t="inlineStr">
        <is>
          <t>Lich Token</t>
        </is>
      </c>
      <c r="D1777" t="inlineStr">
        <is>
          <t>ExportResources</t>
        </is>
      </c>
      <c r="G1777" t="inlineStr">
        <is>
          <t>Lich Token</t>
        </is>
      </c>
      <c r="H1777" t="inlineStr">
        <is>
          <t>Not a collectible: identity settled and archived 2026-10-17.</t>
        </is>
      </c>
      <c r="I1777" t="inlineStr">
        <is>
          <t>Resources</t>
        </is>
      </c>
      <c r="J1777" t="inlineStr">
        <is>
          <t>Resources_data</t>
        </is>
      </c>
      <c r="K1777" t="inlineStr">
        <is>
          <t>Resources/data</t>
        </is>
      </c>
      <c r="L1777" t="inlineStr">
        <is>
          <t>listed, no place</t>
        </is>
      </c>
      <c r="M1777" t="inlineStr">
        <is>
          <t>Internal asset — not a player inventory collectible (converted Kuva Lich trade-wrapper token).</t>
        </is>
      </c>
      <c r="O1777" t="inlineStr">
        <is>
          <t>No official Wiki page or acquisition text for this exact item was present in the fresh local snapshot.</t>
        </is>
      </c>
    </row>
    <row r="1778">
      <c r="A1778" t="inlineStr">
        <is>
          <t>/Lotus/Types/Gameplay/1999Wf/Quest/LoanerWeaponsItem</t>
        </is>
      </c>
      <c r="B1778" t="inlineStr">
        <is>
          <t>Loaned Weapons</t>
        </is>
      </c>
      <c r="D1778" t="inlineStr">
        <is>
          <t>ExportResources</t>
        </is>
      </c>
      <c r="F1778" t="inlineStr">
        <is>
          <t>Loaned Weapons</t>
        </is>
      </c>
      <c r="H1778" t="inlineStr">
        <is>
          <t>Not a collectible: identity settled and archived 2026-10-17.</t>
        </is>
      </c>
      <c r="I1778" t="inlineStr">
        <is>
          <t>Resources</t>
        </is>
      </c>
      <c r="M1778" t="inlineStr">
        <is>
          <t>Internal asset — not a player inventory collectible (1999 quest loaned-weapons loadout marker).</t>
        </is>
      </c>
      <c r="O1778" t="inlineStr">
        <is>
          <t>No wiki page uses this exact name.</t>
        </is>
      </c>
    </row>
    <row r="1779">
      <c r="A1779" t="inlineStr">
        <is>
          <t>/Lotus/Types/Items/ShipFeatureItems/MarketTierOneFeatureItem</t>
        </is>
      </c>
      <c r="B1779" t="inlineStr">
        <is>
          <t>MARKET TIER 1 SEGMENT</t>
        </is>
      </c>
      <c r="D1779" t="inlineStr">
        <is>
          <t>ExportResources</t>
        </is>
      </c>
      <c r="F1779" t="inlineStr">
        <is>
          <t>MARKET TIER 1 SEGMENT</t>
        </is>
      </c>
      <c r="H1779" t="inlineStr">
        <is>
          <t>Not a collectible: identity settled and archived 2026-10-17.</t>
        </is>
      </c>
      <c r="I1779" t="inlineStr">
        <is>
          <t>Resources</t>
        </is>
      </c>
      <c r="M1779" t="inlineStr">
        <is>
          <t>Internal asset — not a player inventory collectible (Orbiter feature/progression state item).</t>
        </is>
      </c>
      <c r="O1779" t="inlineStr">
        <is>
          <t>No wiki page uses this exact name.</t>
        </is>
      </c>
    </row>
    <row r="1780">
      <c r="A1780" t="inlineStr">
        <is>
          <t>/Lotus/Types/Items/ShipFeatureItems/MarketTierTwoFeatureItem</t>
        </is>
      </c>
      <c r="B1780" t="inlineStr">
        <is>
          <t>MARKET TIER 2 SEGMENT</t>
        </is>
      </c>
      <c r="D1780" t="inlineStr">
        <is>
          <t>ExportResources</t>
        </is>
      </c>
      <c r="F1780" t="inlineStr">
        <is>
          <t>MARKET TIER 2 SEGMENT</t>
        </is>
      </c>
      <c r="H1780" t="inlineStr">
        <is>
          <t>Not a collectible: identity settled and archived 2026-10-17.</t>
        </is>
      </c>
      <c r="I1780" t="inlineStr">
        <is>
          <t>Resources</t>
        </is>
      </c>
      <c r="M1780" t="inlineStr">
        <is>
          <t>Internal asset — not a player inventory collectible (Orbiter feature/progression state item).</t>
        </is>
      </c>
      <c r="O1780" t="inlineStr">
        <is>
          <t>No wiki page uses this exact name.</t>
        </is>
      </c>
    </row>
    <row r="1781">
      <c r="A1781" t="inlineStr">
        <is>
          <t>/Lotus/Types/Items/ShipFeatureItems/MarsNavigationFeatureItem</t>
        </is>
      </c>
      <c r="B1781" t="inlineStr">
        <is>
          <t>MARS NAV SEGMENT</t>
        </is>
      </c>
      <c r="D1781" t="inlineStr">
        <is>
          <t>ExportResources</t>
        </is>
      </c>
      <c r="F1781" t="inlineStr">
        <is>
          <t>MARS NAV SEGMENT</t>
        </is>
      </c>
      <c r="H1781" t="inlineStr">
        <is>
          <t>Not a collectible: identity settled and archived 2026-10-17.</t>
        </is>
      </c>
      <c r="I1781" t="inlineStr">
        <is>
          <t>Resources</t>
        </is>
      </c>
      <c r="M1781" t="inlineStr">
        <is>
          <t>Internal asset — not a player inventory collectible (legacy navigation unlock/state item).</t>
        </is>
      </c>
      <c r="O1781" t="inlineStr">
        <is>
          <t>No wiki page uses this exact name.</t>
        </is>
      </c>
    </row>
    <row r="1782">
      <c r="A1782" t="inlineStr">
        <is>
          <t>/Lotus/Types/Items/ShipFeatureItems/ModsFusionFeatureItem</t>
        </is>
      </c>
      <c r="B1782" t="inlineStr">
        <is>
          <t>Mod Fusion Segment</t>
        </is>
      </c>
      <c r="D1782" t="inlineStr">
        <is>
          <t>ExportResources</t>
        </is>
      </c>
      <c r="F1782" t="inlineStr">
        <is>
          <t>Mod Fusion Segment</t>
        </is>
      </c>
      <c r="H1782" t="inlineStr">
        <is>
          <t>Not a collectible: identity settled and archived 2026-10-17.</t>
        </is>
      </c>
      <c r="I1782" t="inlineStr">
        <is>
          <t>Resources</t>
        </is>
      </c>
      <c r="M1782" t="inlineStr">
        <is>
          <t>Internal asset — not a player inventory collectible (Orbiter feature/progression state item).</t>
        </is>
      </c>
      <c r="O1782" t="inlineStr">
        <is>
          <t>No wiki page uses this exact name.</t>
        </is>
      </c>
    </row>
    <row r="1783">
      <c r="A1783" t="inlineStr">
        <is>
          <t>/Lotus/Types/Items/ShipFeatureItems/ModsTransmuteFeatureItem</t>
        </is>
      </c>
      <c r="B1783" t="inlineStr">
        <is>
          <t>Mod Transmute Segment</t>
        </is>
      </c>
      <c r="C1783" t="inlineStr">
        <is>
          <t>https://wiki.warframe.com/w/Orbiter_Segments</t>
        </is>
      </c>
      <c r="D1783" t="inlineStr">
        <is>
          <t>ExportResources</t>
        </is>
      </c>
      <c r="F1783" t="inlineStr">
        <is>
          <t>Mod Transmute Segment</t>
        </is>
      </c>
      <c r="H1783" t="inlineStr">
        <is>
          <t>Not a collectible: identity settled and archived 2026-10-17.</t>
        </is>
      </c>
      <c r="I1783" t="inlineStr">
        <is>
          <t>Resources</t>
        </is>
      </c>
      <c r="M1783" t="inlineStr">
        <is>
          <t>Internal asset — not a player inventory collectible (Orbiter feature/progression state item).</t>
        </is>
      </c>
      <c r="N1783" t="inlineStr">
        <is>
          <t>Orbiter Segments</t>
        </is>
      </c>
      <c r="O1783" t="inlineStr">
        <is>
          <t>There is a wiki page that mentions this name, but that page never says where you get the item.</t>
        </is>
      </c>
    </row>
    <row r="1784">
      <c r="A1784" t="inlineStr">
        <is>
          <t>/Lotus/Types/Items/ShipFeatureItems/NeptuneNavigationFeatureItem</t>
        </is>
      </c>
      <c r="B1784" t="inlineStr">
        <is>
          <t>NEPTUNE NAV SEGMENT</t>
        </is>
      </c>
      <c r="C1784" t="inlineStr">
        <is>
          <t>https://wiki.warframe.com/w/Neptune</t>
        </is>
      </c>
      <c r="D1784" t="inlineStr">
        <is>
          <t>ExportResources</t>
        </is>
      </c>
      <c r="F1784" t="inlineStr">
        <is>
          <t>NEPTUNE NAV SEGMENT</t>
        </is>
      </c>
      <c r="H1784" t="inlineStr">
        <is>
          <t>Not a collectible: identity settled and archived 2026-10-17.</t>
        </is>
      </c>
      <c r="I1784" t="inlineStr">
        <is>
          <t>Resources</t>
        </is>
      </c>
      <c r="M1784" t="inlineStr">
        <is>
          <t>Internal asset — not a player inventory collectible (legacy navigation unlock/state item).</t>
        </is>
      </c>
      <c r="N1784" t="inlineStr">
        <is>
          <t>Neptune</t>
        </is>
      </c>
      <c r="O1784" t="inlineStr">
        <is>
          <t>There is a wiki page that mentions this name, but that page never says where you get the item.</t>
        </is>
      </c>
    </row>
    <row r="1785">
      <c r="A1785" t="inlineStr">
        <is>
          <t>/Lotus/Types/Items/SyndicateDogTags/NoraWolfDogTag</t>
        </is>
      </c>
      <c r="B1785" t="inlineStr">
        <is>
          <t>NIGHTWAVE &lt;REPUTATION_SMALL&gt; STANDING</t>
        </is>
      </c>
      <c r="D1785" t="inlineStr">
        <is>
          <t>ExportResources</t>
        </is>
      </c>
      <c r="F1785" t="inlineStr">
        <is>
          <t>NIGHTWAVE &lt;REPUTATION_SMALL&gt; STANDING</t>
        </is>
      </c>
      <c r="H1785" t="inlineStr">
        <is>
          <t>Not a collectible: identity settled and archived 2026-10-17.</t>
        </is>
      </c>
      <c r="I1785" t="inlineStr">
        <is>
          <t>Resources</t>
        </is>
      </c>
      <c r="M1785" t="inlineStr">
        <is>
          <t>Internal asset — not a player inventory collectible (Nightwave standing bookkeeping token).</t>
        </is>
      </c>
      <c r="O1785" t="inlineStr">
        <is>
          <t>No wiki page uses this exact name.</t>
        </is>
      </c>
    </row>
    <row r="1786">
      <c r="A1786" t="inlineStr">
        <is>
          <t>/Lotus/Types/Items/MiscItems/1999FixedStickersPack</t>
        </is>
      </c>
      <c r="B1786" t="inlineStr">
        <is>
          <t>Owned Peely Pak</t>
        </is>
      </c>
      <c r="D1786" t="inlineStr">
        <is>
          <t>ExportResources</t>
        </is>
      </c>
      <c r="F1786" t="inlineStr">
        <is>
          <t>Owned Peely Pak</t>
        </is>
      </c>
      <c r="H1786" t="inlineStr">
        <is>
          <t>Not a collectible: identity settled and archived 2026-10-17.</t>
        </is>
      </c>
      <c r="I1786" t="inlineStr">
        <is>
          <t>Resources</t>
        </is>
      </c>
      <c r="M1786" t="inlineStr">
        <is>
          <t>Internal asset — not a player inventory collectible (owned Peely Pix pack entitlement marker).</t>
        </is>
      </c>
      <c r="O1786" t="inlineStr">
        <is>
          <t>No wiki page uses this exact name.</t>
        </is>
      </c>
    </row>
    <row r="1787">
      <c r="A1787" t="inlineStr">
        <is>
          <t>/Lotus/Types/Items/MiscItems/1999FreeStickersPack</t>
        </is>
      </c>
      <c r="B1787" t="inlineStr">
        <is>
          <t>Owned Peely Pak</t>
        </is>
      </c>
      <c r="D1787" t="inlineStr">
        <is>
          <t>ExportResources</t>
        </is>
      </c>
      <c r="F1787" t="inlineStr">
        <is>
          <t>Owned Peely Pak</t>
        </is>
      </c>
      <c r="H1787" t="inlineStr">
        <is>
          <t>Not a collectible: identity settled and archived 2026-10-17.</t>
        </is>
      </c>
      <c r="I1787" t="inlineStr">
        <is>
          <t>Resources</t>
        </is>
      </c>
      <c r="M1787" t="inlineStr">
        <is>
          <t>Internal asset — not a player inventory collectible (free Peely Pix pack entitlement marker).</t>
        </is>
      </c>
      <c r="O1787" t="inlineStr">
        <is>
          <t>No wiki page uses this exact name.</t>
        </is>
      </c>
    </row>
    <row r="1788">
      <c r="A1788" t="inlineStr">
        <is>
          <t>/Lotus/Types/Items/InfestedFoundry/HelminthOxides</t>
        </is>
      </c>
      <c r="B1788" t="inlineStr">
        <is>
          <t>Oxides</t>
        </is>
      </c>
      <c r="C1788" t="inlineStr">
        <is>
          <t>https://wiki.warframe.com/w/Helminth#Oxides</t>
        </is>
      </c>
      <c r="D1788" t="inlineStr">
        <is>
          <t>ExportResources</t>
        </is>
      </c>
      <c r="G1788" t="inlineStr">
        <is>
          <t>Helminth#Oxides</t>
        </is>
      </c>
      <c r="H1788" t="inlineStr">
        <is>
          <t>Held: archived 2026-10-17 until a real source exists.</t>
        </is>
      </c>
      <c r="I1788" t="inlineStr">
        <is>
          <t>Resources</t>
        </is>
      </c>
      <c r="J1788" t="inlineStr">
        <is>
          <t>Resources_data</t>
        </is>
      </c>
      <c r="K1788" t="inlineStr">
        <is>
          <t>Resources/data</t>
        </is>
      </c>
      <c r="L1788" t="inlineStr">
        <is>
          <t>listed, no place</t>
        </is>
      </c>
      <c r="M1788" t="inlineStr">
        <is>
          <t>Hold — Helminth system value (Oxides); not an ordinary collectible, wiki has no concrete source.</t>
        </is>
      </c>
      <c r="N1788" t="inlineStr">
        <is>
          <t>Helminth</t>
        </is>
      </c>
      <c r="O1788" t="inlineStr">
        <is>
          <t>This is a Helminth secretion category rather than a separately acquired player-owned item; kept as a note and not forced into acquisition data.</t>
        </is>
      </c>
    </row>
    <row r="1789">
      <c r="A1789" t="inlineStr">
        <is>
          <t>/Lotus/Types/Items/ShipFeatureItems/PhobosNavigationFeatureItem</t>
        </is>
      </c>
      <c r="B1789" t="inlineStr">
        <is>
          <t>PHOBOS NAV SEGMENT</t>
        </is>
      </c>
      <c r="D1789" t="inlineStr">
        <is>
          <t>ExportResources</t>
        </is>
      </c>
      <c r="F1789" t="inlineStr">
        <is>
          <t>PHOBOS NAV SEGMENT</t>
        </is>
      </c>
      <c r="H1789" t="inlineStr">
        <is>
          <t>Not a collectible: identity settled and archived 2026-10-17.</t>
        </is>
      </c>
      <c r="I1789" t="inlineStr">
        <is>
          <t>Resources</t>
        </is>
      </c>
      <c r="M1789" t="inlineStr">
        <is>
          <t>Internal asset — not a player inventory collectible (legacy navigation unlock/state item).</t>
        </is>
      </c>
      <c r="O1789" t="inlineStr">
        <is>
          <t>No wiki page uses this exact name.</t>
        </is>
      </c>
    </row>
    <row r="1790">
      <c r="A1790" t="inlineStr">
        <is>
          <t>/Lotus/Types/Items/ShipFeatureItems/PlutoNavigationFeatureItem</t>
        </is>
      </c>
      <c r="B1790" t="inlineStr">
        <is>
          <t>PLUTO NAV SEGMENT</t>
        </is>
      </c>
      <c r="D1790" t="inlineStr">
        <is>
          <t>ExportResources</t>
        </is>
      </c>
      <c r="F1790" t="inlineStr">
        <is>
          <t>PLUTO NAV SEGMENT</t>
        </is>
      </c>
      <c r="H1790" t="inlineStr">
        <is>
          <t>Not a collectible: identity settled and archived 2026-10-17.</t>
        </is>
      </c>
      <c r="I1790" t="inlineStr">
        <is>
          <t>Resources</t>
        </is>
      </c>
      <c r="M1790" t="inlineStr">
        <is>
          <t>Internal asset — not a player inventory collectible (legacy navigation unlock/state item).</t>
        </is>
      </c>
      <c r="O1790" t="inlineStr">
        <is>
          <t>No wiki page uses this exact name.</t>
        </is>
      </c>
    </row>
    <row r="1791">
      <c r="A1791" t="inlineStr">
        <is>
          <t>/Lotus/Types/Items/ShipFeatureItems/Railjack/DamagedRailjackNacelleLeftFeatureItem</t>
        </is>
      </c>
      <c r="B1791" t="inlineStr">
        <is>
          <t>PORT NACELLE REPAIRS</t>
        </is>
      </c>
      <c r="D1791" t="inlineStr">
        <is>
          <t>ExportResources</t>
        </is>
      </c>
      <c r="F1791" t="inlineStr">
        <is>
          <t>PORT NACELLE REPAIRS</t>
        </is>
      </c>
      <c r="H1791" t="inlineStr">
        <is>
          <t>Not a collectible: identity settled and archived 2026-10-17.</t>
        </is>
      </c>
      <c r="I1791" t="inlineStr">
        <is>
          <t>Resources</t>
        </is>
      </c>
      <c r="M1791" t="inlineStr">
        <is>
          <t>Internal asset — not a player inventory collectible (Rising Tide Railjack repair-state item).</t>
        </is>
      </c>
      <c r="O1791" t="inlineStr">
        <is>
          <t>No wiki page uses this exact name.</t>
        </is>
      </c>
    </row>
    <row r="1792">
      <c r="A1792" t="inlineStr">
        <is>
          <t>/Lotus/Types/Items/ShipFeatureItems/Railjack/DamagedRailjackHoodBraceFeatureItem</t>
        </is>
      </c>
      <c r="B1792" t="inlineStr">
        <is>
          <t>PROPULSION SYSTEMS REPAIRS</t>
        </is>
      </c>
      <c r="D1792" t="inlineStr">
        <is>
          <t>ExportResources</t>
        </is>
      </c>
      <c r="F1792" t="inlineStr">
        <is>
          <t>PROPULSION SYSTEMS REPAIRS</t>
        </is>
      </c>
      <c r="H1792" t="inlineStr">
        <is>
          <t>Not a collectible: identity settled and archived 2026-10-17.</t>
        </is>
      </c>
      <c r="I1792" t="inlineStr">
        <is>
          <t>Resources</t>
        </is>
      </c>
      <c r="M1792" t="inlineStr">
        <is>
          <t>Internal asset — not a player inventory collectible (Rising Tide Railjack repair-state item).</t>
        </is>
      </c>
      <c r="O1792" t="inlineStr">
        <is>
          <t>No wiki page uses this exact name.</t>
        </is>
      </c>
    </row>
    <row r="1793">
      <c r="A1793" t="inlineStr">
        <is>
          <t>/Lotus/Types/Items/InfestedFoundry/HelminthPheromones</t>
        </is>
      </c>
      <c r="B1793" t="inlineStr">
        <is>
          <t>Pheromones</t>
        </is>
      </c>
      <c r="C1793" t="inlineStr">
        <is>
          <t>https://wiki.warframe.com/w/Helminth#Pheromones</t>
        </is>
      </c>
      <c r="D1793" t="inlineStr">
        <is>
          <t>ExportResources</t>
        </is>
      </c>
      <c r="G1793" t="inlineStr">
        <is>
          <t>Helminth#Pheromones</t>
        </is>
      </c>
      <c r="H1793" t="inlineStr">
        <is>
          <t>Held: archived 2026-10-17 until a real source exists.</t>
        </is>
      </c>
      <c r="I1793" t="inlineStr">
        <is>
          <t>Resources</t>
        </is>
      </c>
      <c r="J1793" t="inlineStr">
        <is>
          <t>Resources_data</t>
        </is>
      </c>
      <c r="K1793" t="inlineStr">
        <is>
          <t>Resources/data</t>
        </is>
      </c>
      <c r="L1793" t="inlineStr">
        <is>
          <t>listed, no place</t>
        </is>
      </c>
      <c r="M1793" t="inlineStr">
        <is>
          <t>Hold — Helminth system value (Pheromones); not an ordinary collectible, wiki has no concrete source.</t>
        </is>
      </c>
      <c r="N1793" t="inlineStr">
        <is>
          <t>Helminth | Pherliac Pod</t>
        </is>
      </c>
      <c r="O1793" t="inlineStr">
        <is>
          <t>This is a Helminth secretion category rather than a separately acquired player-owned item; kept as a note and not forced into acquisition data.</t>
        </is>
      </c>
    </row>
    <row r="1794">
      <c r="A1794" t="inlineStr">
        <is>
          <t>/Lotus/Types/Items/ShipFeatureItems/SaturnNavigationFeatureItem</t>
        </is>
      </c>
      <c r="B1794" t="inlineStr">
        <is>
          <t>SATURN NAV SEGMENT</t>
        </is>
      </c>
      <c r="D1794" t="inlineStr">
        <is>
          <t>ExportResources</t>
        </is>
      </c>
      <c r="F1794" t="inlineStr">
        <is>
          <t>SATURN NAV SEGMENT</t>
        </is>
      </c>
      <c r="H1794" t="inlineStr">
        <is>
          <t>Not a collectible: identity settled and archived 2026-10-17.</t>
        </is>
      </c>
      <c r="I1794" t="inlineStr">
        <is>
          <t>Resources</t>
        </is>
      </c>
      <c r="M1794" t="inlineStr">
        <is>
          <t>Internal asset — not a player inventory collectible (legacy navigation unlock/state item).</t>
        </is>
      </c>
      <c r="O1794" t="inlineStr">
        <is>
          <t>No wiki page uses this exact name.</t>
        </is>
      </c>
    </row>
    <row r="1795">
      <c r="A1795" t="inlineStr">
        <is>
          <t>/Lotus/Types/Items/ShipFeatureItems/SednaNavigationFeatureItem</t>
        </is>
      </c>
      <c r="B1795" t="inlineStr">
        <is>
          <t>SEDNA NAV SEGMENT</t>
        </is>
      </c>
      <c r="D1795" t="inlineStr">
        <is>
          <t>ExportResources</t>
        </is>
      </c>
      <c r="F1795" t="inlineStr">
        <is>
          <t>SEDNA NAV SEGMENT</t>
        </is>
      </c>
      <c r="H1795" t="inlineStr">
        <is>
          <t>Not a collectible: identity settled and archived 2026-10-17.</t>
        </is>
      </c>
      <c r="I1795" t="inlineStr">
        <is>
          <t>Resources</t>
        </is>
      </c>
      <c r="M1795" t="inlineStr">
        <is>
          <t>Internal asset — not a player inventory collectible (legacy navigation unlock/state item).</t>
        </is>
      </c>
      <c r="O1795" t="inlineStr">
        <is>
          <t>No wiki page uses this exact name.</t>
        </is>
      </c>
    </row>
    <row r="1796">
      <c r="A1796" t="inlineStr">
        <is>
          <t>/Lotus/Types/Items/InfestedFoundry/HelminthAppetiteCooldownReducer</t>
        </is>
      </c>
      <c r="B1796" t="inlineStr">
        <is>
          <t>SENTIENT APPETITE</t>
        </is>
      </c>
      <c r="C1796" t="inlineStr">
        <is>
          <t>https://wiki.warframe.com/w/Anomaly_Shard | https://wiki.warframe.com/w/Cetus_Wisp | https://wiki.warframe.com/w/Helminth</t>
        </is>
      </c>
      <c r="D1796" t="inlineStr">
        <is>
          <t>ExportResources</t>
        </is>
      </c>
      <c r="F1796" t="inlineStr">
        <is>
          <t>SENTIENT APPETITE</t>
        </is>
      </c>
      <c r="H1796" t="inlineStr">
        <is>
          <t>Held: archived 2026-10-17 until a real source exists.</t>
        </is>
      </c>
      <c r="I1796" t="inlineStr">
        <is>
          <t>Resources</t>
        </is>
      </c>
      <c r="J1796" t="inlineStr">
        <is>
          <t>Resources_data</t>
        </is>
      </c>
      <c r="K1796" t="inlineStr">
        <is>
          <t>name or path</t>
        </is>
      </c>
      <c r="M1796" t="inlineStr">
        <is>
          <t>Hold — Helminth system value (SENTIENT APPETITE); not an ordinary collectible, wiki has no concrete source.</t>
        </is>
      </c>
      <c r="N1796" t="inlineStr">
        <is>
          <t>Anomaly Shard | Cetus Wisp | Helminth | Update 32</t>
        </is>
      </c>
      <c r="O1796" t="inlineStr">
        <is>
          <t>There is a wiki page that mentions this name, but that page never says where you get the item.</t>
        </is>
      </c>
    </row>
    <row r="1797">
      <c r="A1797" t="inlineStr">
        <is>
          <t>/Lotus/Types/Game/Nemesis/KuvaLich/CapturedCorpusLichToken</t>
        </is>
      </c>
      <c r="B1797" t="inlineStr">
        <is>
          <t>SISTER OF PARVOS TOKEN</t>
        </is>
      </c>
      <c r="C1797" t="inlineStr">
        <is>
          <t>https://wiki.warframe.com/w/Public_Export</t>
        </is>
      </c>
      <c r="D1797" t="inlineStr">
        <is>
          <t>ExportResources</t>
        </is>
      </c>
      <c r="H1797" t="inlineStr">
        <is>
          <t>Not a collectible: identity settled and archived 2026-10-17.</t>
        </is>
      </c>
      <c r="I1797" t="inlineStr">
        <is>
          <t>Resources</t>
        </is>
      </c>
      <c r="J1797" t="inlineStr">
        <is>
          <t>Resources_data</t>
        </is>
      </c>
      <c r="K1797" t="inlineStr">
        <is>
          <t>Resources/data</t>
        </is>
      </c>
      <c r="L1797" t="inlineStr">
        <is>
          <t>listed, no place</t>
        </is>
      </c>
      <c r="M1797" t="inlineStr">
        <is>
          <t>Internal asset — not a player inventory collectible (converted Sister of Parvos trade-wrapper token).</t>
        </is>
      </c>
      <c r="N1797" t="inlineStr">
        <is>
          <t>Public Export</t>
        </is>
      </c>
      <c r="O1797" t="inlineStr">
        <is>
          <t>There is a wiki page that mentions this name, but that page never says where you get the item.</t>
        </is>
      </c>
    </row>
    <row r="1798">
      <c r="A1798" t="inlineStr">
        <is>
          <t>/Lotus/Types/Items/ShipFeatureItems/SolarChartFeatureItem</t>
        </is>
      </c>
      <c r="B1798" t="inlineStr">
        <is>
          <t>STAR CHART SEGMENT</t>
        </is>
      </c>
      <c r="D1798" t="inlineStr">
        <is>
          <t>ExportResources</t>
        </is>
      </c>
      <c r="F1798" t="inlineStr">
        <is>
          <t>STAR CHART SEGMENT</t>
        </is>
      </c>
      <c r="H1798" t="inlineStr">
        <is>
          <t>Not a collectible: identity settled and archived 2026-10-17.</t>
        </is>
      </c>
      <c r="I1798" t="inlineStr">
        <is>
          <t>Resources</t>
        </is>
      </c>
      <c r="M1798" t="inlineStr">
        <is>
          <t>Internal asset — not a player inventory collectible (Orbiter feature/progression state item).</t>
        </is>
      </c>
      <c r="O1798" t="inlineStr">
        <is>
          <t>No wiki page uses this exact name.</t>
        </is>
      </c>
    </row>
    <row r="1799">
      <c r="A1799" t="inlineStr">
        <is>
          <t>/Lotus/Types/Items/ShipFeatureItems/Railjack/DamagedRailjackNacelleRightFeatureItem</t>
        </is>
      </c>
      <c r="B1799" t="inlineStr">
        <is>
          <t>STARBOARD NACELLE REPAIRS</t>
        </is>
      </c>
      <c r="D1799" t="inlineStr">
        <is>
          <t>ExportResources</t>
        </is>
      </c>
      <c r="F1799" t="inlineStr">
        <is>
          <t>STARBOARD NACELLE REPAIRS</t>
        </is>
      </c>
      <c r="H1799" t="inlineStr">
        <is>
          <t>Not a collectible: identity settled and archived 2026-10-17.</t>
        </is>
      </c>
      <c r="I1799" t="inlineStr">
        <is>
          <t>Resources</t>
        </is>
      </c>
      <c r="M1799" t="inlineStr">
        <is>
          <t>Internal asset — not a player inventory collectible (Rising Tide Railjack repair-state item).</t>
        </is>
      </c>
      <c r="O1799" t="inlineStr">
        <is>
          <t>No wiki page uses this exact name.</t>
        </is>
      </c>
    </row>
    <row r="1800">
      <c r="A1800" t="inlineStr">
        <is>
          <t>/Lotus/Types/Items/InfestedFoundry/HelminthSynthetics</t>
        </is>
      </c>
      <c r="B1800" t="inlineStr">
        <is>
          <t>Synthetics</t>
        </is>
      </c>
      <c r="C1800" t="inlineStr">
        <is>
          <t>https://wiki.warframe.com/w/Helminth#Synthetics</t>
        </is>
      </c>
      <c r="D1800" t="inlineStr">
        <is>
          <t>ExportResources</t>
        </is>
      </c>
      <c r="G1800" t="inlineStr">
        <is>
          <t>Helminth#Synthetics</t>
        </is>
      </c>
      <c r="H1800" t="inlineStr">
        <is>
          <t>Held: archived 2026-10-17 until a real source exists.</t>
        </is>
      </c>
      <c r="I1800" t="inlineStr">
        <is>
          <t>Resources</t>
        </is>
      </c>
      <c r="J1800" t="inlineStr">
        <is>
          <t>Resources_data</t>
        </is>
      </c>
      <c r="K1800" t="inlineStr">
        <is>
          <t>Resources/data</t>
        </is>
      </c>
      <c r="L1800" t="inlineStr">
        <is>
          <t>listed, no place</t>
        </is>
      </c>
      <c r="M1800" t="inlineStr">
        <is>
          <t>Hold — Helminth system value (Synthetics); not an ordinary collectible, wiki has no concrete source.</t>
        </is>
      </c>
      <c r="N1800" t="inlineStr">
        <is>
          <t>Helminth | Sharrac Teeth | Charc Electroplax</t>
        </is>
      </c>
      <c r="O1800" t="inlineStr">
        <is>
          <t>This is a Helminth secretion category rather than a separately acquired player-owned item; kept as a note and not forced into acquisition data.</t>
        </is>
      </c>
    </row>
    <row r="1801">
      <c r="A1801" t="inlineStr">
        <is>
          <t>/Lotus/Types/Items/ShipFeatureItems/Railjack/DamagedRailjackTailFeatureItem</t>
        </is>
      </c>
      <c r="B1801" t="inlineStr">
        <is>
          <t>TAIL SECTION REPAIRS</t>
        </is>
      </c>
      <c r="D1801" t="inlineStr">
        <is>
          <t>ExportResources</t>
        </is>
      </c>
      <c r="F1801" t="inlineStr">
        <is>
          <t>TAIL SECTION REPAIRS</t>
        </is>
      </c>
      <c r="H1801" t="inlineStr">
        <is>
          <t>Not a collectible: identity settled and archived 2026-10-17.</t>
        </is>
      </c>
      <c r="I1801" t="inlineStr">
        <is>
          <t>Resources</t>
        </is>
      </c>
      <c r="M1801" t="inlineStr">
        <is>
          <t>Internal asset — not a player inventory collectible (Rising Tide Railjack repair-state item).</t>
        </is>
      </c>
      <c r="O1801" t="inlineStr">
        <is>
          <t>No wiki page uses this exact name.</t>
        </is>
      </c>
    </row>
    <row r="1802">
      <c r="A1802" t="inlineStr">
        <is>
          <t>/Lotus/Types/Game/Nemesis/KuvaLich/CapturedInfestedDJRomToken</t>
        </is>
      </c>
      <c r="B1802" t="inlineStr">
        <is>
          <t>TECHNOCYTE CODA TOKEN</t>
        </is>
      </c>
      <c r="D1802" t="inlineStr">
        <is>
          <t>ExportResources</t>
        </is>
      </c>
      <c r="F1802" t="inlineStr">
        <is>
          <t>TECHNOCYTE CODA TOKEN</t>
        </is>
      </c>
      <c r="H1802" t="inlineStr">
        <is>
          <t>Not a collectible: identity settled and archived 2026-10-17.</t>
        </is>
      </c>
      <c r="I1802" t="inlineStr">
        <is>
          <t>Resources</t>
        </is>
      </c>
      <c r="M1802" t="inlineStr">
        <is>
          <t>Internal asset — not a player inventory collectible (converted Technocyte Coda trade-wrapper token).</t>
        </is>
      </c>
      <c r="O1802" t="inlineStr">
        <is>
          <t>No wiki page uses this exact name.</t>
        </is>
      </c>
    </row>
    <row r="1803">
      <c r="A1803" t="inlineStr">
        <is>
          <t>/Lotus/Types/Game/Nemesis/KuvaLich/CapturedInfestedDrillBitToken</t>
        </is>
      </c>
      <c r="B1803" t="inlineStr">
        <is>
          <t>TECHNOCYTE CODA TOKEN</t>
        </is>
      </c>
      <c r="D1803" t="inlineStr">
        <is>
          <t>ExportResources</t>
        </is>
      </c>
      <c r="F1803" t="inlineStr">
        <is>
          <t>TECHNOCYTE CODA TOKEN</t>
        </is>
      </c>
      <c r="H1803" t="inlineStr">
        <is>
          <t>Not a collectible: identity settled and archived 2026-10-17.</t>
        </is>
      </c>
      <c r="I1803" t="inlineStr">
        <is>
          <t>Resources</t>
        </is>
      </c>
      <c r="M1803" t="inlineStr">
        <is>
          <t>Internal asset — not a player inventory collectible (converted Technocyte Coda trade-wrapper token).</t>
        </is>
      </c>
      <c r="O1803" t="inlineStr">
        <is>
          <t>No wiki page uses this exact name.</t>
        </is>
      </c>
    </row>
    <row r="1804">
      <c r="A1804" t="inlineStr">
        <is>
          <t>/Lotus/Types/Game/Nemesis/KuvaLich/CapturedInfestedHardDriveToken</t>
        </is>
      </c>
      <c r="B1804" t="inlineStr">
        <is>
          <t>TECHNOCYTE CODA TOKEN</t>
        </is>
      </c>
      <c r="D1804" t="inlineStr">
        <is>
          <t>ExportResources</t>
        </is>
      </c>
      <c r="F1804" t="inlineStr">
        <is>
          <t>TECHNOCYTE CODA TOKEN</t>
        </is>
      </c>
      <c r="H1804" t="inlineStr">
        <is>
          <t>Not a collectible: identity settled and archived 2026-10-17.</t>
        </is>
      </c>
      <c r="I1804" t="inlineStr">
        <is>
          <t>Resources</t>
        </is>
      </c>
      <c r="M1804" t="inlineStr">
        <is>
          <t>Internal asset — not a player inventory collectible (converted Technocyte Coda trade-wrapper token).</t>
        </is>
      </c>
      <c r="O1804" t="inlineStr">
        <is>
          <t>No wiki page uses this exact name.</t>
        </is>
      </c>
    </row>
    <row r="1805">
      <c r="A1805" t="inlineStr">
        <is>
          <t>/Lotus/Types/Game/Nemesis/KuvaLich/CapturedInfestedPacketToken</t>
        </is>
      </c>
      <c r="B1805" t="inlineStr">
        <is>
          <t>TECHNOCYTE CODA TOKEN</t>
        </is>
      </c>
      <c r="D1805" t="inlineStr">
        <is>
          <t>ExportResources</t>
        </is>
      </c>
      <c r="F1805" t="inlineStr">
        <is>
          <t>TECHNOCYTE CODA TOKEN</t>
        </is>
      </c>
      <c r="H1805" t="inlineStr">
        <is>
          <t>Not a collectible: identity settled and archived 2026-10-17.</t>
        </is>
      </c>
      <c r="I1805" t="inlineStr">
        <is>
          <t>Resources</t>
        </is>
      </c>
      <c r="M1805" t="inlineStr">
        <is>
          <t>Internal asset — not a player inventory collectible (converted Technocyte Coda trade-wrapper token).</t>
        </is>
      </c>
      <c r="O1805" t="inlineStr">
        <is>
          <t>No wiki page uses this exact name.</t>
        </is>
      </c>
    </row>
    <row r="1806">
      <c r="A1806" t="inlineStr">
        <is>
          <t>/Lotus/Types/Game/Nemesis/KuvaLich/CapturedInfestedZekeToken</t>
        </is>
      </c>
      <c r="B1806" t="inlineStr">
        <is>
          <t>TECHNOCYTE CODA TOKEN</t>
        </is>
      </c>
      <c r="D1806" t="inlineStr">
        <is>
          <t>ExportResources</t>
        </is>
      </c>
      <c r="F1806" t="inlineStr">
        <is>
          <t>TECHNOCYTE CODA TOKEN</t>
        </is>
      </c>
      <c r="H1806" t="inlineStr">
        <is>
          <t>Not a collectible: identity settled and archived 2026-10-17.</t>
        </is>
      </c>
      <c r="I1806" t="inlineStr">
        <is>
          <t>Resources</t>
        </is>
      </c>
      <c r="M1806" t="inlineStr">
        <is>
          <t>Internal asset — not a player inventory collectible (converted Technocyte Coda trade-wrapper token).</t>
        </is>
      </c>
      <c r="O1806" t="inlineStr">
        <is>
          <t>No wiki page uses this exact name.</t>
        </is>
      </c>
    </row>
    <row r="1807">
      <c r="A1807" t="inlineStr">
        <is>
          <t>/Lotus/Types/Items/MiscItems/FormaOmega</t>
        </is>
      </c>
      <c r="B1807" t="inlineStr">
        <is>
          <t>TEST FORMA</t>
        </is>
      </c>
      <c r="D1807" t="inlineStr">
        <is>
          <t>ExportResources</t>
        </is>
      </c>
      <c r="F1807" t="inlineStr">
        <is>
          <t>TEST FORMA</t>
        </is>
      </c>
      <c r="H1807" t="inlineStr">
        <is>
          <t>Not a collectible: identity settled and archived 2026-10-17.</t>
        </is>
      </c>
      <c r="I1807" t="inlineStr">
        <is>
          <t>Resources</t>
        </is>
      </c>
      <c r="M1807" t="inlineStr">
        <is>
          <t>Internal asset — not a player inventory collectible (test-only Forma variant).</t>
        </is>
      </c>
      <c r="O1807" t="inlineStr">
        <is>
          <t>No wiki page uses this exact name.</t>
        </is>
      </c>
    </row>
    <row r="1808">
      <c r="A1808" t="inlineStr">
        <is>
          <t>/Lotus/Types/Items/SongItems/DeadlockLoginSongItem</t>
        </is>
      </c>
      <c r="B1808" t="inlineStr">
        <is>
          <t>The Deadlock Protocol Login Music</t>
        </is>
      </c>
      <c r="D1808" t="inlineStr">
        <is>
          <t>ExportResources</t>
        </is>
      </c>
      <c r="F1808" t="inlineStr">
        <is>
          <t>The Deadlock Protocol Login Music</t>
        </is>
      </c>
      <c r="H1808" t="inlineStr">
        <is>
          <t>Not a collectible: identity settled and archived 2026-10-17.</t>
        </is>
      </c>
      <c r="I1808" t="inlineStr">
        <is>
          <t>Resources</t>
        </is>
      </c>
      <c r="M1808" t="inlineStr">
        <is>
          <t>Internal asset — not a player inventory collectible (Somachord track unlock record).</t>
        </is>
      </c>
      <c r="O1808" t="inlineStr">
        <is>
          <t>No wiki page uses this exact name.</t>
        </is>
      </c>
    </row>
    <row r="1809">
      <c r="A1809" t="inlineStr">
        <is>
          <t>/Lotus/Types/Items/SongItems/DuviriLoginSongItem</t>
        </is>
      </c>
      <c r="B1809" t="inlineStr">
        <is>
          <t>The Duviri Paradox Login Music</t>
        </is>
      </c>
      <c r="D1809" t="inlineStr">
        <is>
          <t>ExportResources</t>
        </is>
      </c>
      <c r="F1809" t="inlineStr">
        <is>
          <t>The Duviri Paradox Login Music</t>
        </is>
      </c>
      <c r="H1809" t="inlineStr">
        <is>
          <t>Not a collectible: identity settled and archived 2026-10-17.</t>
        </is>
      </c>
      <c r="I1809" t="inlineStr">
        <is>
          <t>Resources</t>
        </is>
      </c>
      <c r="M1809" t="inlineStr">
        <is>
          <t>Internal asset — not a player inventory collectible (Somachord track unlock record).</t>
        </is>
      </c>
      <c r="O1809" t="inlineStr">
        <is>
          <t>No wiki page uses this exact name.</t>
        </is>
      </c>
    </row>
    <row r="1810">
      <c r="A1810" t="inlineStr">
        <is>
          <t>/Lotus/Types/Items/ShipFeatureItems/UranusNavigationFeatureItem</t>
        </is>
      </c>
      <c r="B1810" t="inlineStr">
        <is>
          <t>URANUS NAV SEGMENT</t>
        </is>
      </c>
      <c r="C1810" t="inlineStr">
        <is>
          <t>https://wiki.warframe.com/w/Update_14 | https://wiki.warframe.com/w/Update_18</t>
        </is>
      </c>
      <c r="D1810" t="inlineStr">
        <is>
          <t>ExportResources</t>
        </is>
      </c>
      <c r="F1810" t="inlineStr">
        <is>
          <t>URANUS NAV SEGMENT</t>
        </is>
      </c>
      <c r="H1810" t="inlineStr">
        <is>
          <t>Not a collectible: identity settled and archived 2026-10-17.</t>
        </is>
      </c>
      <c r="I1810" t="inlineStr">
        <is>
          <t>Resources</t>
        </is>
      </c>
      <c r="M1810" t="inlineStr">
        <is>
          <t>Internal asset — not a player inventory collectible (legacy navigation unlock/state item).</t>
        </is>
      </c>
      <c r="N1810" t="inlineStr">
        <is>
          <t>Update 14 | Update 18</t>
        </is>
      </c>
      <c r="O1810" t="inlineStr">
        <is>
          <t>There is a wiki page that mentions this name, but that page never says where you get the item.</t>
        </is>
      </c>
    </row>
    <row r="1811">
      <c r="A1811" t="inlineStr">
        <is>
          <t>/Lotus/Types/Items/ShipFeatureItems/VenusNavigationFeatureItem</t>
        </is>
      </c>
      <c r="B1811" t="inlineStr">
        <is>
          <t>VENUS NAV SEGMENT</t>
        </is>
      </c>
      <c r="D1811" t="inlineStr">
        <is>
          <t>ExportResources</t>
        </is>
      </c>
      <c r="F1811" t="inlineStr">
        <is>
          <t>VENUS NAV SEGMENT</t>
        </is>
      </c>
      <c r="H1811" t="inlineStr">
        <is>
          <t>Not a collectible: identity settled and archived 2026-10-17.</t>
        </is>
      </c>
      <c r="I1811" t="inlineStr">
        <is>
          <t>Resources</t>
        </is>
      </c>
      <c r="M1811" t="inlineStr">
        <is>
          <t>Internal asset — not a player inventory collectible (legacy navigation unlock/state item).</t>
        </is>
      </c>
      <c r="O1811" t="inlineStr">
        <is>
          <t>No wiki page uses this exact name.</t>
        </is>
      </c>
    </row>
    <row r="1812">
      <c r="A1812" t="inlineStr">
        <is>
          <t>/Lotus/Types/StoreItems/Packages/MegaPrimeVault/LastChanceItemC</t>
        </is>
      </c>
      <c r="B1812" t="inlineStr">
        <is>
          <t>Varzia's Offerings</t>
        </is>
      </c>
      <c r="C1812" t="inlineStr">
        <is>
          <t>https://wiki.warframe.com/w/Relic_Pack | https://wiki.warframe.com/w/Sigils</t>
        </is>
      </c>
      <c r="D1812" t="inlineStr">
        <is>
          <t>ExportResources</t>
        </is>
      </c>
      <c r="F1812" t="inlineStr">
        <is>
          <t>Varzia's Offerings</t>
        </is>
      </c>
      <c r="H1812" t="inlineStr">
        <is>
          <t>Not a collectible: identity settled and archived 2026-10-17.</t>
        </is>
      </c>
      <c r="I1812" t="inlineStr">
        <is>
          <t>Resources</t>
        </is>
      </c>
      <c r="M1812" t="inlineStr">
        <is>
          <t>Internal asset — not a player inventory collectible (Prime Resurgence storefront/package proxy).</t>
        </is>
      </c>
      <c r="N1812" t="inlineStr">
        <is>
          <t>Relic Pack | Sigils</t>
        </is>
      </c>
      <c r="O1812" t="inlineStr">
        <is>
          <t>Cleared an unverifiable or broken place; still unsolved.</t>
        </is>
      </c>
    </row>
    <row r="1813">
      <c r="A1813" t="inlineStr">
        <is>
          <t>/Lotus/Types/StoreItems/Packages/MegaPrimeVault/LastChanceItemB</t>
        </is>
      </c>
      <c r="B1813" t="inlineStr">
        <is>
          <t>Varzia's Offerings - Part 2</t>
        </is>
      </c>
      <c r="D1813" t="inlineStr">
        <is>
          <t>ExportResources</t>
        </is>
      </c>
      <c r="F1813" t="inlineStr">
        <is>
          <t>Varzia's Offerings - Part 2</t>
        </is>
      </c>
      <c r="H1813" t="inlineStr">
        <is>
          <t>Not a collectible: identity settled and archived 2026-10-17.</t>
        </is>
      </c>
      <c r="I1813" t="inlineStr">
        <is>
          <t>Resources</t>
        </is>
      </c>
      <c r="M1813" t="inlineStr">
        <is>
          <t>Internal asset — not a player inventory collectible (Prime Resurgence storefront/package proxy).</t>
        </is>
      </c>
      <c r="O1813" t="inlineStr">
        <is>
          <t>No wiki page uses this exact name.</t>
        </is>
      </c>
    </row>
    <row r="1814">
      <c r="A1814" t="inlineStr">
        <is>
          <t>/Lotus/Types/Recipes/Components/BrandRemovalFakeItem</t>
        </is>
      </c>
      <c r="D1814" t="inlineStr">
        <is>
          <t>ExportResources</t>
        </is>
      </c>
      <c r="H1814" t="inlineStr">
        <is>
          <t>Not a collectible: identity settled and archived 2026-10-17.</t>
        </is>
      </c>
      <c r="M1814" t="inlineStr">
        <is>
          <t>Internal asset — not a player inventory collectible (fake recipe completion item for brand removal).</t>
        </is>
      </c>
      <c r="O1814" t="inlineStr">
        <is>
          <t>The game files have no name for this item, so we could not search for it.</t>
        </is>
      </c>
    </row>
    <row r="1815">
      <c r="A1815" t="inlineStr">
        <is>
          <t>/Lotus/Types/Recipes/Components/VorBoltRemoverFakeItem</t>
        </is>
      </c>
      <c r="D1815" t="inlineStr">
        <is>
          <t>ExportResources</t>
        </is>
      </c>
      <c r="H1815" t="inlineStr">
        <is>
          <t>Not a collectible: identity settled and archived 2026-10-17.</t>
        </is>
      </c>
      <c r="M1815" t="inlineStr">
        <is>
          <t>Internal asset — not a player inventory collectible (fake recipe completion item for Vor's Bolt removal).</t>
        </is>
      </c>
      <c r="O1815" t="inlineStr">
        <is>
          <t>The game files have no name for this item, so we could not search for it.</t>
        </is>
      </c>
    </row>
    <row r="1816">
      <c r="A1816" t="inlineStr">
        <is>
          <t>/Lotus/Types/Friendly/Pets/MoaPets/MoaPetPowerSuit</t>
        </is>
      </c>
      <c r="D1816" t="inlineStr">
        <is>
          <t>ExportSentinels</t>
        </is>
      </c>
      <c r="H1816" t="inlineStr">
        <is>
          <t>Not a collectible: identity settled and archived 2026-10-17.</t>
        </is>
      </c>
      <c r="J1816" t="inlineStr">
        <is>
          <t>Mods_itemCompatibility_data</t>
        </is>
      </c>
      <c r="K1816" t="inlineStr">
        <is>
          <t>name or path</t>
        </is>
      </c>
      <c r="M1816" t="inlineStr">
        <is>
          <t>Internal asset — not a player inventory collectible (MOA companion runtime powersuit class).</t>
        </is>
      </c>
      <c r="O1816" t="inlineStr">
        <is>
          <t>The game files have no name for this item, so we could not search for it.</t>
        </is>
      </c>
    </row>
    <row r="1817">
      <c r="A1817" t="inlineStr">
        <is>
          <t>/Lotus/Types/Friendly/Pets/ZanukaPets/ZanukaPetAPowerSuit</t>
        </is>
      </c>
      <c r="D1817" t="inlineStr">
        <is>
          <t>ExportSentinels</t>
        </is>
      </c>
      <c r="H1817" t="inlineStr">
        <is>
          <t>Not a collectible: identity settled and archived 2026-10-17.</t>
        </is>
      </c>
      <c r="M1817" t="inlineStr">
        <is>
          <t>Internal asset — not a player inventory collectible (robotic Zanuka/Hound companion runtime powersuit class A).</t>
        </is>
      </c>
      <c r="O1817" t="inlineStr">
        <is>
          <t>The game files have no name for this item, so we could not search for it.</t>
        </is>
      </c>
    </row>
    <row r="1818">
      <c r="A1818" t="inlineStr">
        <is>
          <t>/Lotus/Types/Friendly/Pets/ZanukaPets/ZanukaPetBPowerSuit</t>
        </is>
      </c>
      <c r="D1818" t="inlineStr">
        <is>
          <t>ExportSentinels</t>
        </is>
      </c>
      <c r="H1818" t="inlineStr">
        <is>
          <t>Not a collectible: identity settled and archived 2026-10-17.</t>
        </is>
      </c>
      <c r="M1818" t="inlineStr">
        <is>
          <t>Internal asset — not a player inventory collectible (robotic Zanuka/Hound companion runtime powersuit class B).</t>
        </is>
      </c>
      <c r="O1818" t="inlineStr">
        <is>
          <t>The game files have no name for this item, so we could not search for it.</t>
        </is>
      </c>
    </row>
    <row r="1819">
      <c r="A1819" t="inlineStr">
        <is>
          <t>/Lotus/Types/Friendly/Pets/ZanukaPets/ZanukaPetCPowerSuit</t>
        </is>
      </c>
      <c r="D1819" t="inlineStr">
        <is>
          <t>ExportSentinels</t>
        </is>
      </c>
      <c r="H1819" t="inlineStr">
        <is>
          <t>Not a collectible: identity settled and archived 2026-10-17.</t>
        </is>
      </c>
      <c r="M1819" t="inlineStr">
        <is>
          <t>Internal asset — not a player inventory collectible (robotic Zanuka/Hound companion runtime powersuit class C).</t>
        </is>
      </c>
      <c r="O1819" t="inlineStr">
        <is>
          <t>The game files have no name for this item, so we could not search for it.</t>
        </is>
      </c>
    </row>
    <row r="1820">
      <c r="A1820" t="inlineStr">
        <is>
          <t>/Lotus/Types/Friendly/PlayerControllable/Weapons/DuviriDualSwords</t>
        </is>
      </c>
      <c r="D1820" t="inlineStr">
        <is>
          <t>ExportWeapons</t>
        </is>
      </c>
      <c r="H1820" t="inlineStr">
        <is>
          <t>Not a collectible: identity settled and archived 2026-10-17.</t>
        </is>
      </c>
      <c r="J1820" t="inlineStr">
        <is>
          <t>Blueprints_data, Weapons_data, Weapons_data_melee</t>
        </is>
      </c>
      <c r="K1820" t="inlineStr">
        <is>
          <t>name or path</t>
        </is>
      </c>
      <c r="M1820" t="inlineStr">
        <is>
          <t>Internal asset — not a player inventory collectible (Sun &amp; Moon player-controllable runtime weapon class).</t>
        </is>
      </c>
      <c r="O1820" t="inlineStr">
        <is>
          <t>The game files have no name for this item, so we could not search for it.</t>
        </is>
      </c>
    </row>
    <row r="1821">
      <c r="A1821" t="inlineStr">
        <is>
          <t>/Lotus/Weapons/Tenno/Melee/Hammer/DaxDuviriHammer/DaxDuviriHammerPlayerWeapon</t>
        </is>
      </c>
      <c r="D1821" t="inlineStr">
        <is>
          <t>ExportWeapons</t>
        </is>
      </c>
      <c r="H1821" t="inlineStr">
        <is>
          <t>Not a collectible: identity settled and archived 2026-10-17.</t>
        </is>
      </c>
      <c r="M1821" t="inlineStr">
        <is>
          <t>Internal asset — not a player inventory collectible (Sampotes player-controllable runtime weapon class).</t>
        </is>
      </c>
      <c r="O1821" t="inlineStr">
        <is>
          <t>The game files have no name for this item, so we could not search for it.</t>
        </is>
      </c>
    </row>
    <row r="1822">
      <c r="A1822" t="inlineStr">
        <is>
          <t>/Lotus/Weapons/Tenno/Melee/Polearms/DaxDuviriPolearm/DaxDuviriPolearmSpearPlayerWeapon</t>
        </is>
      </c>
      <c r="D1822" t="inlineStr">
        <is>
          <t>ExportWeapons</t>
        </is>
      </c>
      <c r="H1822" t="inlineStr">
        <is>
          <t>Not a collectible: identity settled and archived 2026-10-17.</t>
        </is>
      </c>
      <c r="M1822" t="inlineStr">
        <is>
          <t>Internal asset — not a player inventory collectible (Edun player-controllable runtime weapon class).</t>
        </is>
      </c>
      <c r="O1822" t="inlineStr">
        <is>
          <t>The game files have no name for this item, so we could not search for it.</t>
        </is>
      </c>
    </row>
    <row r="1823">
      <c r="A1823" t="inlineStr">
        <is>
          <t>/Lotus/Weapons/Tenno/Melee/Swords/DaxDuviriKatana/DaxDuviriKatanaPlayerWeapon</t>
        </is>
      </c>
      <c r="D1823" t="inlineStr">
        <is>
          <t>ExportWeapons</t>
        </is>
      </c>
      <c r="H1823" t="inlineStr">
        <is>
          <t>Not a collectible: identity settled and archived 2026-10-17.</t>
        </is>
      </c>
      <c r="M1823" t="inlineStr">
        <is>
          <t>Internal asset — not a player inventory collectible (Syam player-controllable runtime weapon class).</t>
        </is>
      </c>
      <c r="O1823" t="inlineStr">
        <is>
          <t>The game files have no name for this item, so we could not search for it.</t>
        </is>
      </c>
    </row>
    <row r="1824">
      <c r="A1824" t="inlineStr">
        <is>
          <t>/Lotus/Weapons/Tenno/Melee/Swords/DaxDuviriTwoHandedKatana/DaxDuviriTwoHandedKatanaPlayerWeapon</t>
        </is>
      </c>
      <c r="D1824" t="inlineStr">
        <is>
          <t>ExportWeapons</t>
        </is>
      </c>
      <c r="H1824" t="inlineStr">
        <is>
          <t>Not a collectible: identity settled and archived 2026-10-17.</t>
        </is>
      </c>
      <c r="M1824" t="inlineStr">
        <is>
          <t>Internal asset — not a player inventory collectible (Azothane player-controllable runtime weapon class).</t>
        </is>
      </c>
      <c r="O1824" t="inlineStr">
        <is>
          <t>The game files have no name for this item, so we could not search for it.</t>
        </is>
      </c>
    </row>
    <row r="1825">
      <c r="A1825" t="inlineStr">
        <is>
          <t>/Lotus/Weapons/Tenno/Melee/SwordsAndBoards/DaxDuviriMaceShieldPlayerWeapon</t>
        </is>
      </c>
      <c r="D1825" t="inlineStr">
        <is>
          <t>ExportWeapons</t>
        </is>
      </c>
      <c r="H1825" t="inlineStr">
        <is>
          <t>Not a collectible: identity settled and archived 2026-10-17.</t>
        </is>
      </c>
      <c r="M1825" t="inlineStr">
        <is>
          <t>Internal asset — not a player inventory collectible (Argo &amp; Vel player-controllable runtime weapon class).</t>
        </is>
      </c>
      <c r="O1825" t="inlineStr">
        <is>
          <t>The game files have no name for this item, so we could not search for it.</t>
        </is>
      </c>
    </row>
    <row r="1826" ht="28.5" customHeight="1">
      <c r="A1826" t="inlineStr">
        <is>
          <t>/Lotus/Upgrades/Skins/Sigils/XBoneOneYearSigil</t>
        </is>
      </c>
      <c r="B1826" t="inlineStr">
        <is>
          <t>Seal Of Honoring</t>
        </is>
      </c>
      <c r="C1826" t="inlineStr">
        <is>
          <t>https://wiki.warframe.com/w/Sigils</t>
        </is>
      </c>
      <c r="D1826" t="inlineStr">
        <is>
          <t>ExportCustoms</t>
        </is>
      </c>
      <c r="F1826" t="inlineStr">
        <is>
          <t>Seal Of Honoring</t>
        </is>
      </c>
      <c r="H1826" t="inlineStr">
        <is>
          <t>Has a game name, but we never matched it to a wiki page.</t>
        </is>
      </c>
      <c r="I1826" t="inlineStr">
        <is>
          <t>Customs</t>
        </is>
      </c>
      <c r="J1826" t="inlineStr">
        <is>
          <t>Cosmetics_data, ExportCustoms_ground_truth, Sigils_data</t>
        </is>
      </c>
      <c r="K1826" t="inlineStr">
        <is>
          <t>Sigils/data</t>
        </is>
      </c>
      <c r="L1826" t="inlineStr">
        <is>
          <t>listed, no place</t>
        </is>
      </c>
      <c r="M1826" t="inlineStr">
        <is>
          <t>Xbox One exclusive. Winning design of the 1st Anniversary sigil contest, sent to Xbox One players. Not obtainable now.</t>
        </is>
      </c>
      <c r="N1826" t="inlineStr">
        <is>
          <t>Sigils</t>
        </is>
      </c>
      <c r="O1826" t="inlineStr">
        <is>
          <t>There is a wiki page that mentions this name, but that page never says where you get the item.</t>
        </is>
      </c>
    </row>
    <row r="1827" ht="28.5" customHeight="1">
      <c r="A1827" t="inlineStr">
        <is>
          <t>/Lotus/Upgrades/Skins/Sigils/XBoneTwoYearSigil</t>
        </is>
      </c>
      <c r="B1827" t="inlineStr">
        <is>
          <t>Seal Of Honoring II</t>
        </is>
      </c>
      <c r="C1827" t="inlineStr">
        <is>
          <t>https://wiki.warframe.com/w/Sigils</t>
        </is>
      </c>
      <c r="D1827" t="inlineStr">
        <is>
          <t>ExportCustoms</t>
        </is>
      </c>
      <c r="F1827" t="inlineStr">
        <is>
          <t>Seal Of Honoring II</t>
        </is>
      </c>
      <c r="H1827" t="inlineStr">
        <is>
          <t>Has a game name, but we never matched it to a wiki page.</t>
        </is>
      </c>
      <c r="I1827" t="inlineStr">
        <is>
          <t>Customs</t>
        </is>
      </c>
      <c r="J1827" t="inlineStr">
        <is>
          <t>Cosmetics_data, ExportCustoms_ground_truth, Sigils_data</t>
        </is>
      </c>
      <c r="K1827" t="inlineStr">
        <is>
          <t>Sigils/data</t>
        </is>
      </c>
      <c r="L1827" t="inlineStr">
        <is>
          <t>listed, no place</t>
        </is>
      </c>
      <c r="M1827" t="inlineStr">
        <is>
          <t>Xbox One exclusive. Xbox One 2nd Anniversary sigil. Not obtainable now.</t>
        </is>
      </c>
      <c r="N1827" t="inlineStr">
        <is>
          <t>Sigils</t>
        </is>
      </c>
      <c r="O1827" t="inlineStr">
        <is>
          <t>There is a wiki page that mentions this name, but that page never says where you get the item.</t>
        </is>
      </c>
    </row>
    <row r="1828" ht="25.5" customHeight="1">
      <c r="A1828" t="inlineStr">
        <is>
          <t>/Lotus/Upgrades/Skins/Sigils/XBoneThreeYearSigil</t>
        </is>
      </c>
      <c r="B1828" t="inlineStr">
        <is>
          <t>Seal Of Honoring III</t>
        </is>
      </c>
      <c r="C1828" t="inlineStr">
        <is>
          <t>https://wiki.warframe.com/w/Sigils</t>
        </is>
      </c>
      <c r="D1828" t="inlineStr">
        <is>
          <t>ExportCustoms</t>
        </is>
      </c>
      <c r="F1828" t="inlineStr">
        <is>
          <t>Seal Of Honoring III</t>
        </is>
      </c>
      <c r="H1828" t="inlineStr">
        <is>
          <t>Has a game name, but we never matched it to a wiki page.</t>
        </is>
      </c>
      <c r="I1828" t="inlineStr">
        <is>
          <t>Customs</t>
        </is>
      </c>
      <c r="J1828" t="inlineStr">
        <is>
          <t>Cosmetics_data, ExportCustoms_ground_truth, Sigils_data</t>
        </is>
      </c>
      <c r="K1828" t="inlineStr">
        <is>
          <t>Sigils/data</t>
        </is>
      </c>
      <c r="L1828" t="inlineStr">
        <is>
          <t>listed, no place</t>
        </is>
      </c>
      <c r="M1828" t="inlineStr">
        <is>
          <t>Xbox One exclusive. Inbox gift for the 3rd Anniversary event (August 2017). Not obtainable now.</t>
        </is>
      </c>
      <c r="N1828" t="inlineStr">
        <is>
          <t>Sigils</t>
        </is>
      </c>
      <c r="O1828" t="inlineStr">
        <is>
          <t>There is a wiki page that mentions this name, but that page never says where you get the item.</t>
        </is>
      </c>
    </row>
    <row r="1829" ht="28.5" customHeight="1">
      <c r="A1829" t="inlineStr">
        <is>
          <t>/Lotus/Upgrades/Skins/Sigils/XBoneFourYearSigil</t>
        </is>
      </c>
      <c r="B1829" t="inlineStr">
        <is>
          <t>Seal Of Honoring IV</t>
        </is>
      </c>
      <c r="C1829" t="inlineStr">
        <is>
          <t>https://wiki.warframe.com/w/Sigils</t>
        </is>
      </c>
      <c r="D1829" t="inlineStr">
        <is>
          <t>ExportCustoms</t>
        </is>
      </c>
      <c r="F1829" t="inlineStr">
        <is>
          <t>Seal Of Honoring IV</t>
        </is>
      </c>
      <c r="H1829" t="inlineStr">
        <is>
          <t>Has a game name, but we never matched it to a wiki page.</t>
        </is>
      </c>
      <c r="I1829" t="inlineStr">
        <is>
          <t>Customs</t>
        </is>
      </c>
      <c r="J1829" t="inlineStr">
        <is>
          <t>Cosmetics_data, ExportCustoms_ground_truth, Sigils_data</t>
        </is>
      </c>
      <c r="K1829" t="inlineStr">
        <is>
          <t>Sigils/data</t>
        </is>
      </c>
      <c r="L1829" t="inlineStr">
        <is>
          <t>listed, no place</t>
        </is>
      </c>
      <c r="M1829" t="inlineStr">
        <is>
          <t>Xbox One exclusive. Inbox gift for the 4th Anniversary event, Aug 31 to Oct 1, 2018. Not obtainable now.</t>
        </is>
      </c>
      <c r="N1829" t="inlineStr">
        <is>
          <t>Sigils</t>
        </is>
      </c>
      <c r="O1829" t="inlineStr">
        <is>
          <t>There is a wiki page that mentions this name, but that page never says where you get the item.</t>
        </is>
      </c>
    </row>
    <row r="1830" ht="28.5" customHeight="1">
      <c r="A1830" t="inlineStr">
        <is>
          <t>/Lotus/Upgrades/Skins/Sigils/TennoVIP2026ChinaSigil</t>
        </is>
      </c>
      <c r="B1830" t="inlineStr">
        <is>
          <t>TennoVIP Xi'an 2026 Sigil</t>
        </is>
      </c>
      <c r="C1830" t="inlineStr">
        <is>
          <t>https://wiki.warframe.com/w/Sigils</t>
        </is>
      </c>
      <c r="D1830" t="inlineStr">
        <is>
          <t>ExportCustoms</t>
        </is>
      </c>
      <c r="F1830" t="inlineStr">
        <is>
          <t>TennoVIP Xi'an 2026 Sigil</t>
        </is>
      </c>
      <c r="H1830" t="inlineStr">
        <is>
          <t>Has a game name, but we never matched it to a wiki page.</t>
        </is>
      </c>
      <c r="I1830" t="inlineStr">
        <is>
          <t>Customs</t>
        </is>
      </c>
      <c r="J1830" t="inlineStr">
        <is>
          <t>ExportCustoms_ground_truth</t>
        </is>
      </c>
      <c r="K1830" t="inlineStr">
        <is>
          <t>name or path</t>
        </is>
      </c>
      <c r="M1830" t="inlineStr">
        <is>
          <t>Live event exclusive for TennoVIP Xi'an (China) attendees, September 12, 2026. Not obtainable now.</t>
        </is>
      </c>
      <c r="N1830" t="inlineStr">
        <is>
          <t>Sigils</t>
        </is>
      </c>
      <c r="O1830" t="inlineStr">
        <is>
          <t>There is a wiki page that mentions this name, but that page never says where you get the item.</t>
        </is>
      </c>
    </row>
    <row r="1831" ht="28.5" customHeight="1">
      <c r="A1831" t="inlineStr">
        <is>
          <t>/Lotus/Types/Restoratives/Consumable/GlyphConsumableNoCharges</t>
        </is>
      </c>
      <c r="B1831" t="inlineStr">
        <is>
          <t>Glyph Prism</t>
        </is>
      </c>
      <c r="C1831" t="inlineStr">
        <is>
          <t>https://wiki.warframe.com/w/Glyph#Glyph_Prism</t>
        </is>
      </c>
      <c r="D1831" t="inlineStr">
        <is>
          <t>ExportGear</t>
        </is>
      </c>
      <c r="G1831" t="inlineStr">
        <is>
          <t>Glyph Prism</t>
        </is>
      </c>
      <c r="H1831" t="inlineStr">
        <is>
          <t>We know the wiki page name, but we never saved the 'where to get it' text from that page.</t>
        </is>
      </c>
      <c r="I1831" t="inlineStr">
        <is>
          <t>Gear</t>
        </is>
      </c>
      <c r="J1831" t="inlineStr">
        <is>
          <t>Resources_data</t>
        </is>
      </c>
      <c r="K1831" t="inlineStr">
        <is>
          <t>Resources/data</t>
        </is>
      </c>
      <c r="L1831" t="inlineStr">
        <is>
          <t>listed, no place</t>
        </is>
      </c>
      <c r="M1831" t="inlineStr">
        <is>
          <t>Unlocked by default in the Gear Wheel.</t>
        </is>
      </c>
      <c r="N1831" t="inlineStr">
        <is>
          <t>Clan | Glyph | Update 42: The Shadowgrapher | Equipment</t>
        </is>
      </c>
      <c r="O1831" t="inlineStr">
        <is>
          <t>The official Glyph page explains how to use the Glyph Prism but does not say where it is obtained.</t>
        </is>
      </c>
    </row>
    <row r="1832" ht="28.5" customHeight="1">
      <c r="A1832" t="inlineStr">
        <is>
          <t>/Lotus/Types/Restoratives/Consumable/RobofishSpearB</t>
        </is>
      </c>
      <c r="B1832" t="inlineStr">
        <is>
          <t>Shockprod Fishing Spear</t>
        </is>
      </c>
      <c r="C1832" t="inlineStr">
        <is>
          <t>https://wiki.warframe.com/w/Shockprod_Fishing_Spear</t>
        </is>
      </c>
      <c r="D1832" t="inlineStr">
        <is>
          <t>ExportGear</t>
        </is>
      </c>
      <c r="H1832" t="inlineStr">
        <is>
          <t>The wiki attaches two different page names to this same item. We did not pick one. (This is not about where it drops.)</t>
        </is>
      </c>
      <c r="I1832" t="inlineStr">
        <is>
          <t>Gear</t>
        </is>
      </c>
      <c r="J1832" t="inlineStr">
        <is>
          <t>Sold by The Business (500 Standing)</t>
        </is>
      </c>
      <c r="K1832" t="inlineStr">
        <is>
          <t>Vendors/data</t>
        </is>
      </c>
      <c r="L1832" t="inlineStr">
        <is>
          <t>name</t>
        </is>
      </c>
      <c r="M1832" t="inlineStr">
        <is>
          <t>Purchase from The Business for 500 Solaris United Standing.</t>
        </is>
      </c>
      <c r="O1832" t="inlineStr">
        <is>
          <t>We already know where it comes from. Look at the column that says place from wiki module.</t>
        </is>
      </c>
    </row>
    <row r="1833" ht="25.5" customHeight="1">
      <c r="A1833" t="inlineStr">
        <is>
          <t>/Lotus/Types/Items/ShipDecos/Duviri/Duviri2ndRelease/DUVxChairC</t>
        </is>
      </c>
      <c r="B1833" t="inlineStr">
        <is>
          <t>Duviri Senate Seat</t>
        </is>
      </c>
      <c r="C1833" t="inlineStr">
        <is>
          <t>https://wiki.warframe.com/w/Acrithis | https://wiki.warframe.com/w/Clan_Dojo</t>
        </is>
      </c>
      <c r="D1833" t="inlineStr">
        <is>
          <t>ExportResources</t>
        </is>
      </c>
      <c r="F1833" t="inlineStr">
        <is>
          <t>Duviri Senate Seat</t>
        </is>
      </c>
      <c r="H1833" t="inlineStr">
        <is>
          <t>Has a game name, but we never matched it to a wiki page.</t>
        </is>
      </c>
      <c r="I1833" t="inlineStr">
        <is>
          <t>Resources</t>
        </is>
      </c>
      <c r="M1833" t="inlineStr">
        <is>
          <t>Purchase from Acrithis's Enigma Archives for 10 Enigma Gyrum; always available.</t>
        </is>
      </c>
      <c r="N1833" t="inlineStr">
        <is>
          <t>Acrithis | Clan Dojo | Update 35 | Update 33 | Update 38</t>
        </is>
      </c>
      <c r="O1833" t="inlineStr">
        <is>
          <t>There is a wiki page that mentions this name, but that page never says where you get the item.</t>
        </is>
      </c>
    </row>
    <row r="1834" ht="25.5" customHeight="1">
      <c r="A1834" t="inlineStr">
        <is>
          <t>/Lotus/Types/Items/ShipDecos/ConclaveHeartOroOrnament</t>
        </is>
      </c>
      <c r="B1834" t="inlineStr">
        <is>
          <t>Eros Oro Ornament</t>
        </is>
      </c>
      <c r="C1834" t="inlineStr">
        <is>
          <t>https://wiki.warframe.com/w/Devstream_91</t>
        </is>
      </c>
      <c r="D1834" t="inlineStr">
        <is>
          <t>ExportResources</t>
        </is>
      </c>
      <c r="F1834" t="inlineStr">
        <is>
          <t>Eros Oro Ornament</t>
        </is>
      </c>
      <c r="H1834" t="inlineStr">
        <is>
          <t>Has a game name, but we never matched it to a wiki page.</t>
        </is>
      </c>
      <c r="I1834" t="inlineStr">
        <is>
          <t>Resources</t>
        </is>
      </c>
      <c r="M1834" t="inlineStr">
        <is>
          <t>Hearts &amp; Arrows Conclave event reward (2017); not currently obtainable.</t>
        </is>
      </c>
      <c r="N1834" t="inlineStr">
        <is>
          <t>Devstream 91 | Update 19</t>
        </is>
      </c>
      <c r="O1834" t="inlineStr">
        <is>
          <t>There is a wiki page that mentions this name, but that page never says where you get the item.</t>
        </is>
      </c>
    </row>
    <row r="1835">
      <c r="A1835" t="inlineStr">
        <is>
          <t>/Lotus/Types/Recipes/Weapons/WeaponParts/InfTransformClawsWeaponBlade</t>
        </is>
      </c>
      <c r="B1835" t="inlineStr">
        <is>
          <t>Keratinos Blades</t>
        </is>
      </c>
      <c r="C1835" t="inlineStr">
        <is>
          <t>https://wiki.warframe.com/w/Purged_Dagonic | https://wiki.warframe.com/w/Adramal_Alloy | https://wiki.warframe.com/w/Pustulite | https://wiki.warframe.com/w/Gallium</t>
        </is>
      </c>
      <c r="D1835" t="inlineStr">
        <is>
          <t>ExportResources</t>
        </is>
      </c>
      <c r="F1835" t="inlineStr">
        <is>
          <t>Keratinos Blades</t>
        </is>
      </c>
      <c r="H1835" t="inlineStr">
        <is>
          <t>Has a game name, but we never matched it to a wiki page.</t>
        </is>
      </c>
      <c r="I1835" t="inlineStr">
        <is>
          <t>Resources</t>
        </is>
      </c>
      <c r="M1835" t="inlineStr">
        <is>
          <t>Purchase the component blueprint from Father for 500 Entrati Standing.</t>
        </is>
      </c>
      <c r="N1835" t="inlineStr">
        <is>
          <t>Purged Dagonic | Adramal Alloy | Pustulite | Gallium</t>
        </is>
      </c>
      <c r="O1835" t="inlineStr">
        <is>
          <t>There is a wiki page that mentions this name, but that page never says where you get the item.</t>
        </is>
      </c>
    </row>
    <row r="1836">
      <c r="A1836" t="inlineStr">
        <is>
          <t>/Lotus/Types/Items/ShipDecos/ConclaveOroOrnament</t>
        </is>
      </c>
      <c r="B1836" t="inlineStr">
        <is>
          <t>Oro Ornament</t>
        </is>
      </c>
      <c r="C1836" t="inlineStr">
        <is>
          <t>https://wiki.warframe.com/w/Devstream_91 | https://wiki.warframe.com/w/Clan_Dojo</t>
        </is>
      </c>
      <c r="D1836" t="inlineStr">
        <is>
          <t>ExportResources</t>
        </is>
      </c>
      <c r="F1836" t="inlineStr">
        <is>
          <t>Oro Ornament</t>
        </is>
      </c>
      <c r="H1836" t="inlineStr">
        <is>
          <t>Has a game name, but we never matched it to a wiki page.</t>
        </is>
      </c>
      <c r="I1836" t="inlineStr">
        <is>
          <t>Resources</t>
        </is>
      </c>
      <c r="M1836" t="inlineStr">
        <is>
          <t>Quick Steel Conclave event reward (2017); not currently obtainable.</t>
        </is>
      </c>
      <c r="N1836" t="inlineStr">
        <is>
          <t>Devstream 91 | Clan Dojo | Update 19 | Update 22</t>
        </is>
      </c>
      <c r="O1836" t="inlineStr">
        <is>
          <t>There is a wiki page that mentions this name, but that page never says where you get the item.</t>
        </is>
      </c>
    </row>
    <row r="1837">
      <c r="A1837" t="inlineStr">
        <is>
          <t>/Lotus/Types/Items/ShipDecos/Props/LisetPropLASxProtoInfestedMotherboard</t>
        </is>
      </c>
      <c r="B1837" t="inlineStr">
        <is>
          <t>Techrot Motherboard Cluster Decoration</t>
        </is>
      </c>
      <c r="D1837" t="inlineStr">
        <is>
          <t>ExportResources</t>
        </is>
      </c>
      <c r="F1837" t="inlineStr">
        <is>
          <t>Techrot Motherboard Cluster Decoration</t>
        </is>
      </c>
      <c r="H1837" t="inlineStr">
        <is>
          <t>Has a game name, but we never matched it to a wiki page.</t>
        </is>
      </c>
      <c r="I1837" t="inlineStr">
        <is>
          <t>Resources</t>
        </is>
      </c>
      <c r="M1837" t="inlineStr">
        <is>
          <t>Purchase from Velimir in Höllvania Central Mall.</t>
        </is>
      </c>
      <c r="O1837" t="inlineStr">
        <is>
          <t>No wiki page uses this exact name.</t>
        </is>
      </c>
    </row>
    <row r="1838">
      <c r="A1838" t="inlineStr">
        <is>
          <t>/Lotus/Types/Game/Projections/T4VoidProjectionSevagothHydroidVaultABronze</t>
        </is>
      </c>
      <c r="B1838" t="inlineStr">
        <is>
          <t>Axi B10 Relic</t>
        </is>
      </c>
      <c r="C1838" t="inlineStr">
        <is>
          <t>https://www.warframe.com/droptables</t>
        </is>
      </c>
      <c r="D1838" t="inlineStr">
        <is>
          <t>ExportRelics</t>
        </is>
      </c>
      <c r="E1838" t="inlineStr">
        <is>
          <t>Intact</t>
        </is>
      </c>
      <c r="H1838" t="inlineStr">
        <is>
          <t>Solved: current place verified and archived 2026-10-17.</t>
        </is>
      </c>
      <c r="I1838" t="inlineStr">
        <is>
          <t>RelicArcane</t>
        </is>
      </c>
      <c r="M1838" t="inlineStr">
        <is>
          <t>Not attainable yet: in official game data, but not in mission drops and no Warframe Market listings.</t>
        </is>
      </c>
      <c r="N1838" t="inlineStr">
        <is>
          <t>none (wiki pages missing); warframe.com/droptables</t>
        </is>
      </c>
      <c r="O1838" t="inlineStr">
        <is>
          <t>Official DE droptables + Public Export: relic defined with rewards, but not listed as a mission reward; no wiki page; no Warframe Market listings found. Not previously attainable.</t>
        </is>
      </c>
    </row>
    <row r="1839">
      <c r="A1839" t="inlineStr">
        <is>
          <t>/Lotus/Types/Game/Projections/T4VoidProjectionSevagothHydroidVaultAGold</t>
        </is>
      </c>
      <c r="B1839" t="inlineStr">
        <is>
          <t>Axi B10 Relic</t>
        </is>
      </c>
      <c r="C1839" t="inlineStr">
        <is>
          <t>https://www.warframe.com/droptables</t>
        </is>
      </c>
      <c r="D1839" t="inlineStr">
        <is>
          <t>ExportRelics</t>
        </is>
      </c>
      <c r="E1839" t="inlineStr">
        <is>
          <t>Flawless</t>
        </is>
      </c>
      <c r="H1839" t="inlineStr">
        <is>
          <t>Solved: current place verified and archived 2026-10-17.</t>
        </is>
      </c>
      <c r="I1839" t="inlineStr">
        <is>
          <t>RelicArcane</t>
        </is>
      </c>
      <c r="M1839" t="inlineStr">
        <is>
          <t>Not attainable yet: in official game data, but not in mission drops and no Warframe Market listings.</t>
        </is>
      </c>
      <c r="N1839" t="inlineStr">
        <is>
          <t>none (wiki pages missing); warframe.com/droptables</t>
        </is>
      </c>
      <c r="O1839" t="inlineStr">
        <is>
          <t>Official DE droptables + Public Export: relic defined with rewards, but not listed as a mission reward; no wiki page; no Warframe Market listings found. Not previously attainable.</t>
        </is>
      </c>
    </row>
    <row r="1840">
      <c r="A1840" t="inlineStr">
        <is>
          <t>/Lotus/Types/Game/Projections/T4VoidProjectionSevagothHydroidVaultAPlatinum</t>
        </is>
      </c>
      <c r="B1840" t="inlineStr">
        <is>
          <t>Axi B10 Relic</t>
        </is>
      </c>
      <c r="C1840" t="inlineStr">
        <is>
          <t>https://www.warframe.com/droptables</t>
        </is>
      </c>
      <c r="D1840" t="inlineStr">
        <is>
          <t>ExportRelics</t>
        </is>
      </c>
      <c r="E1840" t="inlineStr">
        <is>
          <t>Radiant</t>
        </is>
      </c>
      <c r="H1840" t="inlineStr">
        <is>
          <t>Solved: current place verified and archived 2026-10-17.</t>
        </is>
      </c>
      <c r="I1840" t="inlineStr">
        <is>
          <t>RelicArcane</t>
        </is>
      </c>
      <c r="M1840" t="inlineStr">
        <is>
          <t>Not attainable yet: in official game data, but not in mission drops and no Warframe Market listings.</t>
        </is>
      </c>
      <c r="N1840" t="inlineStr">
        <is>
          <t>none (wiki pages missing); warframe.com/droptables</t>
        </is>
      </c>
      <c r="O1840" t="inlineStr">
        <is>
          <t>Official DE droptables + Public Export: relic defined with rewards, but not listed as a mission reward; no wiki page; no Warframe Market listings found. Not previously attainable.</t>
        </is>
      </c>
    </row>
    <row r="1841">
      <c r="A1841" t="inlineStr">
        <is>
          <t>/Lotus/Types/Game/Projections/T4VoidProjectionSevagothHydroidVaultASilver</t>
        </is>
      </c>
      <c r="B1841" t="inlineStr">
        <is>
          <t>Axi B10 Relic</t>
        </is>
      </c>
      <c r="C1841" t="inlineStr">
        <is>
          <t>https://www.warframe.com/droptables</t>
        </is>
      </c>
      <c r="D1841" t="inlineStr">
        <is>
          <t>ExportRelics</t>
        </is>
      </c>
      <c r="E1841" t="inlineStr">
        <is>
          <t>Exceptional</t>
        </is>
      </c>
      <c r="H1841" t="inlineStr">
        <is>
          <t>Solved: current place verified and archived 2026-10-17.</t>
        </is>
      </c>
      <c r="I1841" t="inlineStr">
        <is>
          <t>RelicArcane</t>
        </is>
      </c>
      <c r="M1841" t="inlineStr">
        <is>
          <t>Not attainable yet: in official game data, but not in mission drops and no Warframe Market listings.</t>
        </is>
      </c>
      <c r="N1841" t="inlineStr">
        <is>
          <t>none (wiki pages missing); warframe.com/droptables</t>
        </is>
      </c>
      <c r="O1841" t="inlineStr">
        <is>
          <t>Official DE droptables + Public Export: relic defined with rewards, but not listed as a mission reward; no wiki page; no Warframe Market listings found. Not previously attainable.</t>
        </is>
      </c>
    </row>
    <row r="1842">
      <c r="A1842" t="inlineStr">
        <is>
          <t>/Lotus/Types/Game/Projections/T4VoidProjectionSevagothHydroidVaultBBronze</t>
        </is>
      </c>
      <c r="B1842" t="inlineStr">
        <is>
          <t>Axi N14 Relic</t>
        </is>
      </c>
      <c r="C1842" t="inlineStr">
        <is>
          <t>https://www.warframe.com/droptables</t>
        </is>
      </c>
      <c r="D1842" t="inlineStr">
        <is>
          <t>ExportRelics</t>
        </is>
      </c>
      <c r="E1842" t="inlineStr">
        <is>
          <t>Intact</t>
        </is>
      </c>
      <c r="H1842" t="inlineStr">
        <is>
          <t>Solved: current place verified and archived 2026-10-17.</t>
        </is>
      </c>
      <c r="I1842" t="inlineStr">
        <is>
          <t>RelicArcane</t>
        </is>
      </c>
      <c r="M1842" t="inlineStr">
        <is>
          <t>Not attainable yet: in official game data, but not in mission drops and no Warframe Market listings.</t>
        </is>
      </c>
      <c r="N1842" t="inlineStr">
        <is>
          <t>none (wiki pages missing); warframe.com/droptables</t>
        </is>
      </c>
      <c r="O1842" t="inlineStr">
        <is>
          <t>Official DE droptables + Public Export: relic defined with rewards, but not listed as a mission reward; no wiki page; no Warframe Market listings found. Not previously attainable.</t>
        </is>
      </c>
    </row>
    <row r="1843">
      <c r="A1843" t="inlineStr">
        <is>
          <t>/Lotus/Types/Game/Projections/T4VoidProjectionSevagothHydroidVaultBGold</t>
        </is>
      </c>
      <c r="B1843" t="inlineStr">
        <is>
          <t>Axi N14 Relic</t>
        </is>
      </c>
      <c r="C1843" t="inlineStr">
        <is>
          <t>https://www.warframe.com/droptables</t>
        </is>
      </c>
      <c r="D1843" t="inlineStr">
        <is>
          <t>ExportRelics</t>
        </is>
      </c>
      <c r="E1843" t="inlineStr">
        <is>
          <t>Flawless</t>
        </is>
      </c>
      <c r="H1843" t="inlineStr">
        <is>
          <t>Solved: current place verified and archived 2026-10-17.</t>
        </is>
      </c>
      <c r="I1843" t="inlineStr">
        <is>
          <t>RelicArcane</t>
        </is>
      </c>
      <c r="M1843" t="inlineStr">
        <is>
          <t>Not attainable yet: in official game data, but not in mission drops and no Warframe Market listings.</t>
        </is>
      </c>
      <c r="N1843" t="inlineStr">
        <is>
          <t>none (wiki pages missing); warframe.com/droptables</t>
        </is>
      </c>
      <c r="O1843" t="inlineStr">
        <is>
          <t>Official DE droptables + Public Export: relic defined with rewards, but not listed as a mission reward; no wiki page; no Warframe Market listings found. Not previously attainable.</t>
        </is>
      </c>
    </row>
    <row r="1844">
      <c r="A1844" t="inlineStr">
        <is>
          <t>/Lotus/Types/Game/Projections/T4VoidProjectionSevagothHydroidVaultBPlatinum</t>
        </is>
      </c>
      <c r="B1844" t="inlineStr">
        <is>
          <t>Axi N14 Relic</t>
        </is>
      </c>
      <c r="C1844" t="inlineStr">
        <is>
          <t>https://www.warframe.com/droptables</t>
        </is>
      </c>
      <c r="D1844" t="inlineStr">
        <is>
          <t>ExportRelics</t>
        </is>
      </c>
      <c r="E1844" t="inlineStr">
        <is>
          <t>Radiant</t>
        </is>
      </c>
      <c r="H1844" t="inlineStr">
        <is>
          <t>Solved: current place verified and archived 2026-10-17.</t>
        </is>
      </c>
      <c r="I1844" t="inlineStr">
        <is>
          <t>RelicArcane</t>
        </is>
      </c>
      <c r="M1844" t="inlineStr">
        <is>
          <t>Not attainable yet: in official game data, but not in mission drops and no Warframe Market listings.</t>
        </is>
      </c>
      <c r="N1844" t="inlineStr">
        <is>
          <t>none (wiki pages missing); warframe.com/droptables</t>
        </is>
      </c>
      <c r="O1844" t="inlineStr">
        <is>
          <t>Official DE droptables + Public Export: relic defined with rewards, but not listed as a mission reward; no wiki page; no Warframe Market listings found. Not previously attainable.</t>
        </is>
      </c>
    </row>
    <row r="1845">
      <c r="A1845" t="inlineStr">
        <is>
          <t>/Lotus/Types/Game/Projections/T4VoidProjectionSevagothHydroidVaultBSilver</t>
        </is>
      </c>
      <c r="B1845" t="inlineStr">
        <is>
          <t>Axi N14 Relic</t>
        </is>
      </c>
      <c r="C1845" t="inlineStr">
        <is>
          <t>https://www.warframe.com/droptables</t>
        </is>
      </c>
      <c r="D1845" t="inlineStr">
        <is>
          <t>ExportRelics</t>
        </is>
      </c>
      <c r="E1845" t="inlineStr">
        <is>
          <t>Exceptional</t>
        </is>
      </c>
      <c r="H1845" t="inlineStr">
        <is>
          <t>Solved: current place verified and archived 2026-10-17.</t>
        </is>
      </c>
      <c r="I1845" t="inlineStr">
        <is>
          <t>RelicArcane</t>
        </is>
      </c>
      <c r="M1845" t="inlineStr">
        <is>
          <t>Not attainable yet: in official game data, but not in mission drops and no Warframe Market listings.</t>
        </is>
      </c>
      <c r="N1845" t="inlineStr">
        <is>
          <t>none (wiki pages missing); warframe.com/droptables</t>
        </is>
      </c>
      <c r="O1845" t="inlineStr">
        <is>
          <t>Official DE droptables + Public Export: relic defined with rewards, but not listed as a mission reward; no wiki page; no Warframe Market listings found. Not previously attainable.</t>
        </is>
      </c>
    </row>
    <row r="1846">
      <c r="A1846" t="inlineStr">
        <is>
          <t>/Lotus/Types/Game/Projections/T1VoidProjectionSevagothHydroidVaultABronze</t>
        </is>
      </c>
      <c r="B1846" t="inlineStr">
        <is>
          <t>Lith S20 Relic</t>
        </is>
      </c>
      <c r="C1846" t="inlineStr">
        <is>
          <t>https://www.warframe.com/droptables</t>
        </is>
      </c>
      <c r="D1846" t="inlineStr">
        <is>
          <t>ExportRelics</t>
        </is>
      </c>
      <c r="E1846" t="inlineStr">
        <is>
          <t>Intact</t>
        </is>
      </c>
      <c r="H1846" t="inlineStr">
        <is>
          <t>Solved: current place verified and archived 2026-10-17.</t>
        </is>
      </c>
      <c r="I1846" t="inlineStr">
        <is>
          <t>RelicArcane</t>
        </is>
      </c>
      <c r="M1846" t="inlineStr">
        <is>
          <t>Not attainable yet: in official game data, but not in mission drops and no Warframe Market listings.</t>
        </is>
      </c>
      <c r="N1846" t="inlineStr">
        <is>
          <t>none (wiki pages missing); warframe.com/droptables</t>
        </is>
      </c>
      <c r="O1846" t="inlineStr">
        <is>
          <t>Official DE droptables + Public Export: relic defined with rewards, but not listed as a mission reward; no wiki page; no Warframe Market listings found. Not previously attainable.</t>
        </is>
      </c>
    </row>
    <row r="1847">
      <c r="A1847" t="inlineStr">
        <is>
          <t>/Lotus/Types/Game/Projections/T1VoidProjectionSevagothHydroidVaultAGold</t>
        </is>
      </c>
      <c r="B1847" t="inlineStr">
        <is>
          <t>Lith S20 Relic</t>
        </is>
      </c>
      <c r="C1847" t="inlineStr">
        <is>
          <t>https://www.warframe.com/droptables</t>
        </is>
      </c>
      <c r="D1847" t="inlineStr">
        <is>
          <t>ExportRelics</t>
        </is>
      </c>
      <c r="E1847" t="inlineStr">
        <is>
          <t>Flawless</t>
        </is>
      </c>
      <c r="H1847" t="inlineStr">
        <is>
          <t>Solved: current place verified and archived 2026-10-17.</t>
        </is>
      </c>
      <c r="I1847" t="inlineStr">
        <is>
          <t>RelicArcane</t>
        </is>
      </c>
      <c r="M1847" t="inlineStr">
        <is>
          <t>Not attainable yet: in official game data, but not in mission drops and no Warframe Market listings.</t>
        </is>
      </c>
      <c r="N1847" t="inlineStr">
        <is>
          <t>none (wiki pages missing); warframe.com/droptables</t>
        </is>
      </c>
      <c r="O1847" t="inlineStr">
        <is>
          <t>Official DE droptables + Public Export: relic defined with rewards, but not listed as a mission reward; no wiki page; no Warframe Market listings found. Not previously attainable.</t>
        </is>
      </c>
    </row>
    <row r="1848">
      <c r="A1848" t="inlineStr">
        <is>
          <t>/Lotus/Types/Game/Projections/T1VoidProjectionSevagothHydroidVaultAPlatinum</t>
        </is>
      </c>
      <c r="B1848" t="inlineStr">
        <is>
          <t>Lith S20 Relic</t>
        </is>
      </c>
      <c r="C1848" t="inlineStr">
        <is>
          <t>https://www.warframe.com/droptables</t>
        </is>
      </c>
      <c r="D1848" t="inlineStr">
        <is>
          <t>ExportRelics</t>
        </is>
      </c>
      <c r="E1848" t="inlineStr">
        <is>
          <t>Radiant</t>
        </is>
      </c>
      <c r="H1848" t="inlineStr">
        <is>
          <t>Solved: current place verified and archived 2026-10-17.</t>
        </is>
      </c>
      <c r="I1848" t="inlineStr">
        <is>
          <t>RelicArcane</t>
        </is>
      </c>
      <c r="M1848" t="inlineStr">
        <is>
          <t>Not attainable yet: in official game data, but not in mission drops and no Warframe Market listings.</t>
        </is>
      </c>
      <c r="N1848" t="inlineStr">
        <is>
          <t>none (wiki pages missing); warframe.com/droptables</t>
        </is>
      </c>
      <c r="O1848" t="inlineStr">
        <is>
          <t>Official DE droptables + Public Export: relic defined with rewards, but not listed as a mission reward; no wiki page; no Warframe Market listings found. Not previously attainable.</t>
        </is>
      </c>
    </row>
    <row r="1849">
      <c r="A1849" t="inlineStr">
        <is>
          <t>/Lotus/Types/Game/Projections/T1VoidProjectionSevagothHydroidVaultASilver</t>
        </is>
      </c>
      <c r="B1849" t="inlineStr">
        <is>
          <t>Lith S20 Relic</t>
        </is>
      </c>
      <c r="C1849" t="inlineStr">
        <is>
          <t>https://www.warframe.com/droptables</t>
        </is>
      </c>
      <c r="D1849" t="inlineStr">
        <is>
          <t>ExportRelics</t>
        </is>
      </c>
      <c r="E1849" t="inlineStr">
        <is>
          <t>Exceptional</t>
        </is>
      </c>
      <c r="H1849" t="inlineStr">
        <is>
          <t>Solved: current place verified and archived 2026-10-17.</t>
        </is>
      </c>
      <c r="I1849" t="inlineStr">
        <is>
          <t>RelicArcane</t>
        </is>
      </c>
      <c r="M1849" t="inlineStr">
        <is>
          <t>Not attainable yet: in official game data, but not in mission drops and no Warframe Market listings.</t>
        </is>
      </c>
      <c r="N1849" t="inlineStr">
        <is>
          <t>none (wiki pages missing); warframe.com/droptables</t>
        </is>
      </c>
      <c r="O1849" t="inlineStr">
        <is>
          <t>Official DE droptables + Public Export: relic defined with rewards, but not listed as a mission reward; no wiki page; no Warframe Market listings found. Not previously attainable.</t>
        </is>
      </c>
    </row>
    <row r="1850">
      <c r="A1850" t="inlineStr">
        <is>
          <t>/Lotus/Types/Game/Projections/T2VoidProjectionSevagothHydroidVaultABronze</t>
        </is>
      </c>
      <c r="B1850" t="inlineStr">
        <is>
          <t>Meso E8 Relic</t>
        </is>
      </c>
      <c r="C1850" t="inlineStr">
        <is>
          <t>https://www.warframe.com/droptables</t>
        </is>
      </c>
      <c r="D1850" t="inlineStr">
        <is>
          <t>ExportRelics</t>
        </is>
      </c>
      <c r="E1850" t="inlineStr">
        <is>
          <t>Intact</t>
        </is>
      </c>
      <c r="H1850" t="inlineStr">
        <is>
          <t>Solved: current place verified and archived 2026-10-17.</t>
        </is>
      </c>
      <c r="I1850" t="inlineStr">
        <is>
          <t>RelicArcane</t>
        </is>
      </c>
      <c r="M1850" t="inlineStr">
        <is>
          <t>Not attainable yet: in official game data, but not in mission drops and no Warframe Market listings.</t>
        </is>
      </c>
      <c r="N1850" t="inlineStr">
        <is>
          <t>none (wiki pages missing); warframe.com/droptables</t>
        </is>
      </c>
      <c r="O1850" t="inlineStr">
        <is>
          <t>Official DE droptables + Public Export: relic defined with rewards, but not listed as a mission reward; no wiki page; no Warframe Market listings found. Not previously attainable.</t>
        </is>
      </c>
    </row>
    <row r="1851">
      <c r="A1851" t="inlineStr">
        <is>
          <t>/Lotus/Types/Game/Projections/T2VoidProjectionSevagothHydroidVaultAGold</t>
        </is>
      </c>
      <c r="B1851" t="inlineStr">
        <is>
          <t>Meso E8 Relic</t>
        </is>
      </c>
      <c r="C1851" t="inlineStr">
        <is>
          <t>https://www.warframe.com/droptables</t>
        </is>
      </c>
      <c r="D1851" t="inlineStr">
        <is>
          <t>ExportRelics</t>
        </is>
      </c>
      <c r="E1851" t="inlineStr">
        <is>
          <t>Flawless</t>
        </is>
      </c>
      <c r="H1851" t="inlineStr">
        <is>
          <t>Solved: current place verified and archived 2026-10-17.</t>
        </is>
      </c>
      <c r="I1851" t="inlineStr">
        <is>
          <t>RelicArcane</t>
        </is>
      </c>
      <c r="M1851" t="inlineStr">
        <is>
          <t>Not attainable yet: in official game data, but not in mission drops and no Warframe Market listings.</t>
        </is>
      </c>
      <c r="N1851" t="inlineStr">
        <is>
          <t>none (wiki pages missing); warframe.com/droptables</t>
        </is>
      </c>
      <c r="O1851" t="inlineStr">
        <is>
          <t>Official DE droptables + Public Export: relic defined with rewards, but not listed as a mission reward; no wiki page; no Warframe Market listings found. Not previously attainable.</t>
        </is>
      </c>
    </row>
    <row r="1852">
      <c r="A1852" t="inlineStr">
        <is>
          <t>/Lotus/Types/Game/Projections/T2VoidProjectionSevagothHydroidVaultAPlatinum</t>
        </is>
      </c>
      <c r="B1852" t="inlineStr">
        <is>
          <t>Meso E8 Relic</t>
        </is>
      </c>
      <c r="C1852" t="inlineStr">
        <is>
          <t>https://www.warframe.com/droptables</t>
        </is>
      </c>
      <c r="D1852" t="inlineStr">
        <is>
          <t>ExportRelics</t>
        </is>
      </c>
      <c r="E1852" t="inlineStr">
        <is>
          <t>Radiant</t>
        </is>
      </c>
      <c r="H1852" t="inlineStr">
        <is>
          <t>Solved: current place verified and archived 2026-10-17.</t>
        </is>
      </c>
      <c r="I1852" t="inlineStr">
        <is>
          <t>RelicArcane</t>
        </is>
      </c>
      <c r="M1852" t="inlineStr">
        <is>
          <t>Not attainable yet: in official game data, but not in mission drops and no Warframe Market listings.</t>
        </is>
      </c>
      <c r="N1852" t="inlineStr">
        <is>
          <t>none (wiki pages missing); warframe.com/droptables</t>
        </is>
      </c>
      <c r="O1852" t="inlineStr">
        <is>
          <t>Official DE droptables + Public Export: relic defined with rewards, but not listed as a mission reward; no wiki page; no Warframe Market listings found. Not previously attainable.</t>
        </is>
      </c>
    </row>
    <row r="1853">
      <c r="A1853" t="inlineStr">
        <is>
          <t>/Lotus/Types/Game/Projections/T2VoidProjectionSevagothHydroidVaultASilver</t>
        </is>
      </c>
      <c r="B1853" t="inlineStr">
        <is>
          <t>Meso E8 Relic</t>
        </is>
      </c>
      <c r="C1853" t="inlineStr">
        <is>
          <t>https://www.warframe.com/droptables</t>
        </is>
      </c>
      <c r="D1853" t="inlineStr">
        <is>
          <t>ExportRelics</t>
        </is>
      </c>
      <c r="E1853" t="inlineStr">
        <is>
          <t>Exceptional</t>
        </is>
      </c>
      <c r="H1853" t="inlineStr">
        <is>
          <t>Solved: current place verified and archived 2026-10-17.</t>
        </is>
      </c>
      <c r="I1853" t="inlineStr">
        <is>
          <t>RelicArcane</t>
        </is>
      </c>
      <c r="M1853" t="inlineStr">
        <is>
          <t>Not attainable yet: in official game data, but not in mission drops and no Warframe Market listings.</t>
        </is>
      </c>
      <c r="N1853" t="inlineStr">
        <is>
          <t>none (wiki pages missing); warframe.com/droptables</t>
        </is>
      </c>
      <c r="O1853" t="inlineStr">
        <is>
          <t>Official DE droptables + Public Export: relic defined with rewards, but not listed as a mission reward; no wiki page; no Warframe Market listings found. Not previously attainable.</t>
        </is>
      </c>
    </row>
    <row r="1854">
      <c r="A1854" t="inlineStr">
        <is>
          <t>/Lotus/Types/Game/Projections/T3VoidProjectionSevagothHydroidVaultBBronze</t>
        </is>
      </c>
      <c r="B1854" t="inlineStr">
        <is>
          <t>Neo H5 Relic</t>
        </is>
      </c>
      <c r="C1854" t="inlineStr">
        <is>
          <t>https://www.warframe.com/droptables</t>
        </is>
      </c>
      <c r="D1854" t="inlineStr">
        <is>
          <t>ExportRelics</t>
        </is>
      </c>
      <c r="E1854" t="inlineStr">
        <is>
          <t>Intact</t>
        </is>
      </c>
      <c r="H1854" t="inlineStr">
        <is>
          <t>Solved: current place verified and archived 2026-10-17.</t>
        </is>
      </c>
      <c r="I1854" t="inlineStr">
        <is>
          <t>RelicArcane</t>
        </is>
      </c>
      <c r="M1854" t="inlineStr">
        <is>
          <t>Not attainable yet: in official game data, but not in mission drops and no Warframe Market listings.</t>
        </is>
      </c>
      <c r="N1854" t="inlineStr">
        <is>
          <t>none (wiki pages missing); warframe.com/droptables</t>
        </is>
      </c>
      <c r="O1854" t="inlineStr">
        <is>
          <t>Official DE droptables + Public Export: relic defined with rewards, but not listed as a mission reward; no wiki page; no Warframe Market listings found. Not previously attainable.</t>
        </is>
      </c>
    </row>
    <row r="1855">
      <c r="A1855" t="inlineStr">
        <is>
          <t>/Lotus/Types/Game/Projections/T3VoidProjectionSevagothHydroidVaultBGold</t>
        </is>
      </c>
      <c r="B1855" t="inlineStr">
        <is>
          <t>Neo H5 Relic</t>
        </is>
      </c>
      <c r="C1855" t="inlineStr">
        <is>
          <t>https://www.warframe.com/droptables</t>
        </is>
      </c>
      <c r="D1855" t="inlineStr">
        <is>
          <t>ExportRelics</t>
        </is>
      </c>
      <c r="E1855" t="inlineStr">
        <is>
          <t>Flawless</t>
        </is>
      </c>
      <c r="H1855" t="inlineStr">
        <is>
          <t>Solved: current place verified and archived 2026-10-17.</t>
        </is>
      </c>
      <c r="I1855" t="inlineStr">
        <is>
          <t>RelicArcane</t>
        </is>
      </c>
      <c r="M1855" t="inlineStr">
        <is>
          <t>Not attainable yet: in official game data, but not in mission drops and no Warframe Market listings.</t>
        </is>
      </c>
      <c r="N1855" t="inlineStr">
        <is>
          <t>none (wiki pages missing); warframe.com/droptables</t>
        </is>
      </c>
      <c r="O1855" t="inlineStr">
        <is>
          <t>Official DE droptables + Public Export: relic defined with rewards, but not listed as a mission reward; no wiki page; no Warframe Market listings found. Not previously attainable.</t>
        </is>
      </c>
    </row>
    <row r="1856">
      <c r="A1856" t="inlineStr">
        <is>
          <t>/Lotus/Types/Game/Projections/T3VoidProjectionSevagothHydroidVaultBPlatinum</t>
        </is>
      </c>
      <c r="B1856" t="inlineStr">
        <is>
          <t>Neo H5 Relic</t>
        </is>
      </c>
      <c r="C1856" t="inlineStr">
        <is>
          <t>https://www.warframe.com/droptables</t>
        </is>
      </c>
      <c r="D1856" t="inlineStr">
        <is>
          <t>ExportRelics</t>
        </is>
      </c>
      <c r="E1856" t="inlineStr">
        <is>
          <t>Radiant</t>
        </is>
      </c>
      <c r="H1856" t="inlineStr">
        <is>
          <t>Solved: current place verified and archived 2026-10-17.</t>
        </is>
      </c>
      <c r="I1856" t="inlineStr">
        <is>
          <t>RelicArcane</t>
        </is>
      </c>
      <c r="M1856" t="inlineStr">
        <is>
          <t>Not attainable yet: in official game data, but not in mission drops and no Warframe Market listings.</t>
        </is>
      </c>
      <c r="N1856" t="inlineStr">
        <is>
          <t>none (wiki pages missing); warframe.com/droptables</t>
        </is>
      </c>
      <c r="O1856" t="inlineStr">
        <is>
          <t>Official DE droptables + Public Export: relic defined with rewards, but not listed as a mission reward; no wiki page; no Warframe Market listings found. Not previously attainable.</t>
        </is>
      </c>
    </row>
    <row r="1857">
      <c r="A1857" t="inlineStr">
        <is>
          <t>/Lotus/Types/Game/Projections/T3VoidProjectionSevagothHydroidVaultBSilver</t>
        </is>
      </c>
      <c r="B1857" t="inlineStr">
        <is>
          <t>Neo H5 Relic</t>
        </is>
      </c>
      <c r="C1857" t="inlineStr">
        <is>
          <t>https://www.warframe.com/droptables</t>
        </is>
      </c>
      <c r="D1857" t="inlineStr">
        <is>
          <t>ExportRelics</t>
        </is>
      </c>
      <c r="E1857" t="inlineStr">
        <is>
          <t>Exceptional</t>
        </is>
      </c>
      <c r="H1857" t="inlineStr">
        <is>
          <t>Solved: current place verified and archived 2026-10-17.</t>
        </is>
      </c>
      <c r="I1857" t="inlineStr">
        <is>
          <t>RelicArcane</t>
        </is>
      </c>
      <c r="M1857" t="inlineStr">
        <is>
          <t>Not attainable yet: in official game data, but not in mission drops and no Warframe Market listings.</t>
        </is>
      </c>
      <c r="N1857" t="inlineStr">
        <is>
          <t>none (wiki pages missing); warframe.com/droptables</t>
        </is>
      </c>
      <c r="O1857" t="inlineStr">
        <is>
          <t>Official DE droptables + Public Export: relic defined with rewards, but not listed as a mission reward; no wiki page; no Warframe Market listings found. Not previously attainable.</t>
        </is>
      </c>
    </row>
    <row r="1858">
      <c r="A1858" t="inlineStr">
        <is>
          <t>/Lotus/Types/Game/Projections/T3VoidProjectionSevagothHydroidVaultABronze</t>
        </is>
      </c>
      <c r="B1858" t="inlineStr">
        <is>
          <t>Neo N25 Relic</t>
        </is>
      </c>
      <c r="C1858" t="inlineStr">
        <is>
          <t>https://www.warframe.com/droptables</t>
        </is>
      </c>
      <c r="D1858" t="inlineStr">
        <is>
          <t>ExportRelics</t>
        </is>
      </c>
      <c r="E1858" t="inlineStr">
        <is>
          <t>Intact</t>
        </is>
      </c>
      <c r="H1858" t="inlineStr">
        <is>
          <t>Solved: current place verified and archived 2026-10-17.</t>
        </is>
      </c>
      <c r="I1858" t="inlineStr">
        <is>
          <t>RelicArcane</t>
        </is>
      </c>
      <c r="M1858" t="inlineStr">
        <is>
          <t>Not attainable yet: in official game data, but not in mission drops and no Warframe Market listings.</t>
        </is>
      </c>
      <c r="N1858" t="inlineStr">
        <is>
          <t>none (wiki pages missing); warframe.com/droptables</t>
        </is>
      </c>
      <c r="O1858" t="inlineStr">
        <is>
          <t>Official DE droptables + Public Export: relic defined with rewards, but not listed as a mission reward; no wiki page; no Warframe Market listings found. Not previously attainable.</t>
        </is>
      </c>
    </row>
    <row r="1859">
      <c r="A1859" t="inlineStr">
        <is>
          <t>/Lotus/Types/Game/Projections/T3VoidProjectionSevagothHydroidVaultAGold</t>
        </is>
      </c>
      <c r="B1859" t="inlineStr">
        <is>
          <t>Neo N25 Relic</t>
        </is>
      </c>
      <c r="C1859" t="inlineStr">
        <is>
          <t>https://www.warframe.com/droptables</t>
        </is>
      </c>
      <c r="D1859" t="inlineStr">
        <is>
          <t>ExportRelics</t>
        </is>
      </c>
      <c r="E1859" t="inlineStr">
        <is>
          <t>Flawless</t>
        </is>
      </c>
      <c r="H1859" t="inlineStr">
        <is>
          <t>Solved: current place verified and archived 2026-10-17.</t>
        </is>
      </c>
      <c r="I1859" t="inlineStr">
        <is>
          <t>RelicArcane</t>
        </is>
      </c>
      <c r="M1859" t="inlineStr">
        <is>
          <t>Not attainable yet: in official game data, but not in mission drops and no Warframe Market listings.</t>
        </is>
      </c>
      <c r="N1859" t="inlineStr">
        <is>
          <t>none (wiki pages missing); warframe.com/droptables</t>
        </is>
      </c>
      <c r="O1859" t="inlineStr">
        <is>
          <t>Official DE droptables + Public Export: relic defined with rewards, but not listed as a mission reward; no wiki page; no Warframe Market listings found. Not previously attainable.</t>
        </is>
      </c>
    </row>
    <row r="1860">
      <c r="A1860" t="inlineStr">
        <is>
          <t>/Lotus/Types/Game/Projections/T3VoidProjectionSevagothHydroidVaultAPlatinum</t>
        </is>
      </c>
      <c r="B1860" t="inlineStr">
        <is>
          <t>Neo N25 Relic</t>
        </is>
      </c>
      <c r="C1860" t="inlineStr">
        <is>
          <t>https://www.warframe.com/droptables</t>
        </is>
      </c>
      <c r="D1860" t="inlineStr">
        <is>
          <t>ExportRelics</t>
        </is>
      </c>
      <c r="E1860" t="inlineStr">
        <is>
          <t>Radiant</t>
        </is>
      </c>
      <c r="H1860" t="inlineStr">
        <is>
          <t>Solved: current place verified and archived 2026-10-17.</t>
        </is>
      </c>
      <c r="I1860" t="inlineStr">
        <is>
          <t>RelicArcane</t>
        </is>
      </c>
      <c r="M1860" t="inlineStr">
        <is>
          <t>Not attainable yet: in official game data, but not in mission drops and no Warframe Market listings.</t>
        </is>
      </c>
      <c r="N1860" t="inlineStr">
        <is>
          <t>none (wiki pages missing); warframe.com/droptables</t>
        </is>
      </c>
      <c r="O1860" t="inlineStr">
        <is>
          <t>Official DE droptables + Public Export: relic defined with rewards, but not listed as a mission reward; no wiki page; no Warframe Market listings found. Not previously attainable.</t>
        </is>
      </c>
    </row>
    <row r="1861">
      <c r="A1861" t="inlineStr">
        <is>
          <t>/Lotus/Types/Game/Projections/T3VoidProjectionSevagothHydroidVaultASilver</t>
        </is>
      </c>
      <c r="B1861" t="inlineStr">
        <is>
          <t>Neo N25 Relic</t>
        </is>
      </c>
      <c r="C1861" t="inlineStr">
        <is>
          <t>https://www.warframe.com/droptables</t>
        </is>
      </c>
      <c r="D1861" t="inlineStr">
        <is>
          <t>ExportRelics</t>
        </is>
      </c>
      <c r="E1861" t="inlineStr">
        <is>
          <t>Exceptional</t>
        </is>
      </c>
      <c r="H1861" t="inlineStr">
        <is>
          <t>Solved: current place verified and archived 2026-10-17.</t>
        </is>
      </c>
      <c r="I1861" t="inlineStr">
        <is>
          <t>RelicArcane</t>
        </is>
      </c>
      <c r="M1861" t="inlineStr">
        <is>
          <t>Not attainable yet: in official game data, but not in mission drops and no Warframe Market listings.</t>
        </is>
      </c>
      <c r="N1861" t="inlineStr">
        <is>
          <t>none (wiki pages missing); warframe.com/droptables</t>
        </is>
      </c>
      <c r="O1861" t="inlineStr">
        <is>
          <t>Official DE droptables + Public Export: relic defined with rewards, but not listed as a mission reward; no wiki page; no Warframe Market listings found. Not previously attainable.</t>
        </is>
      </c>
    </row>
    <row r="1862">
      <c r="A1862" t="inlineStr">
        <is>
          <t>/Lotus/Types/Items/ShipDecos/Conquera2025Display</t>
        </is>
      </c>
      <c r="B1862" t="inlineStr">
        <is>
          <t>Conquera 2025 Community Display</t>
        </is>
      </c>
      <c r="C1862" t="inlineStr">
        <is>
          <t>https://wiki.warframe.com/w/Decorations/Orbiter_Decorations</t>
        </is>
      </c>
      <c r="D1862" t="inlineStr">
        <is>
          <t>ExportResources</t>
        </is>
      </c>
      <c r="F1862" t="inlineStr">
        <is>
          <t>Conquera 2025 Community Display</t>
        </is>
      </c>
      <c r="H1862" t="inlineStr">
        <is>
          <t>Solved: current place verified and archived 2026-10-17.</t>
        </is>
      </c>
      <c r="I1862" t="inlineStr">
        <is>
          <t>Resources</t>
        </is>
      </c>
      <c r="M1862" t="inlineStr">
        <is>
          <t>Conquera 2025 merch: included with Conquera Puzzle add-on (Nelosart art); related login display in wrap-up news.</t>
        </is>
      </c>
      <c r="N1862" t="inlineStr">
        <is>
          <t>https://www.warframe.com/en/news/quest-to-conquer-cancer-2025; https://www.warframe.com/en/news/quest-to-conquer-cancer-2025-wrap-up</t>
        </is>
      </c>
      <c r="O1862" t="inlineStr">
        <is>
          <t>Solid news/decorations match (high): Promoted from news body after review</t>
        </is>
      </c>
    </row>
    <row r="1863">
      <c r="A1863" t="inlineStr">
        <is>
          <t>/Lotus/Types/Items/ShipDecos/Conquera2026Display</t>
        </is>
      </c>
      <c r="B1863" t="inlineStr">
        <is>
          <t>Conquera 2026 Community Display</t>
        </is>
      </c>
      <c r="C1863" t="inlineStr">
        <is>
          <t>https://www.warframe.com/en/news/2026-conquera-merch</t>
        </is>
      </c>
      <c r="D1863" t="inlineStr">
        <is>
          <t>ExportResources</t>
        </is>
      </c>
      <c r="F1863" t="inlineStr">
        <is>
          <t>Conquera 2026 Community Display</t>
        </is>
      </c>
      <c r="H1863" t="inlineStr">
        <is>
          <t>Solved: current place verified and archived 2026-10-17.</t>
        </is>
      </c>
      <c r="I1863" t="inlineStr">
        <is>
          <t>Resources</t>
        </is>
      </c>
      <c r="M1863" t="inlineStr">
        <is>
          <t>Conquera merch: Conquera Coloring Book purchase includes a code to claim this in-game display.</t>
        </is>
      </c>
      <c r="N1863" t="inlineStr">
        <is>
          <t>https://www.warframe.com/en/news/2026-conquera-merch</t>
        </is>
      </c>
      <c r="O1863" t="inlineStr">
        <is>
          <t>Solid news/decorations match (high): Promoted from news body after review</t>
        </is>
      </c>
    </row>
    <row r="1864">
      <c r="A1864" t="inlineStr">
        <is>
          <t>/Lotus/Types/Items/ShipDecos/EmberBobbleHead</t>
        </is>
      </c>
      <c r="B1864" t="inlineStr">
        <is>
          <t>Noggle Statue - Ember</t>
        </is>
      </c>
      <c r="C1864" t="inlineStr">
        <is>
          <t>https://wiki.warframe.com/w/Dog_Days | https://wiki.warframe.com/w/Nightwave/Nora's_Mix_Volume_5 | https://wiki.warframe.com/w/Market/Equipment</t>
        </is>
      </c>
      <c r="D1864" t="inlineStr">
        <is>
          <t>ExportResources</t>
        </is>
      </c>
      <c r="F1864" t="inlineStr">
        <is>
          <t>Noggle Statue - Ember</t>
        </is>
      </c>
      <c r="H1864" t="inlineStr">
        <is>
          <t>Solved: current place verified and archived 2026-10-17.</t>
        </is>
      </c>
      <c r="I1864" t="inlineStr">
        <is>
          <t>Resources</t>
        </is>
      </c>
      <c r="M1864" t="inlineStr">
        <is>
          <t>In-game Market (35 Platinum).</t>
        </is>
      </c>
      <c r="N1864" t="inlineStr">
        <is>
          <t>https://wiki.warframe.com/w/Market/Equipment</t>
        </is>
      </c>
      <c r="O1864" t="inlineStr">
        <is>
          <t>Solid news/decorations match (high): Market/Equipment wiki + packages MM_VISIBLE</t>
        </is>
      </c>
    </row>
    <row r="1865">
      <c r="A1865" t="inlineStr">
        <is>
          <t>/Lotus/Types/Items/ShipDecos/HydroidBobbleHead</t>
        </is>
      </c>
      <c r="B1865" t="inlineStr">
        <is>
          <t>Noggle Statue - Hydroid</t>
        </is>
      </c>
      <c r="C1865" t="inlineStr">
        <is>
          <t>https://wiki.warframe.com/w/Dog_Days | https://wiki.warframe.com/w/Market/Equipment</t>
        </is>
      </c>
      <c r="D1865" t="inlineStr">
        <is>
          <t>ExportResources</t>
        </is>
      </c>
      <c r="F1865" t="inlineStr">
        <is>
          <t>Noggle Statue - Hydroid</t>
        </is>
      </c>
      <c r="H1865" t="inlineStr">
        <is>
          <t>Solved: current place verified and archived 2026-10-17.</t>
        </is>
      </c>
      <c r="I1865" t="inlineStr">
        <is>
          <t>Resources</t>
        </is>
      </c>
      <c r="M1865" t="inlineStr">
        <is>
          <t>In-game Market (35 Platinum).</t>
        </is>
      </c>
      <c r="N1865" t="inlineStr">
        <is>
          <t>https://wiki.warframe.com/w/Market/Equipment</t>
        </is>
      </c>
      <c r="O1865" t="inlineStr">
        <is>
          <t>Solid news/decorations match (high): Market/Equipment wiki + packages MM_VISIBLE</t>
        </is>
      </c>
    </row>
    <row r="1866">
      <c r="A1866" t="inlineStr">
        <is>
          <t>/Lotus/Types/Items/ShipDecos/IvaraObsidianBobbleHead</t>
        </is>
      </c>
      <c r="B1866" t="inlineStr">
        <is>
          <t>Noggle Statue - Ivara Obsidian</t>
        </is>
      </c>
      <c r="C1866" t="inlineStr">
        <is>
          <t>https://www.warframe.com/en/news/renown-pack-xi-available-now | https://www.warframe.com/en/news/save-on-obsidian-collections | https://www.warframe.com/en/news/ivara-prime-community-build-guide</t>
        </is>
      </c>
      <c r="D1866" t="inlineStr">
        <is>
          <t>ExportResources</t>
        </is>
      </c>
      <c r="F1866" t="inlineStr">
        <is>
          <t>Noggle Statue - Ivara Obsidian</t>
        </is>
      </c>
      <c r="H1866" t="inlineStr">
        <is>
          <t>Solved: current place verified and archived 2026-10-17.</t>
        </is>
      </c>
      <c r="I1866" t="inlineStr">
        <is>
          <t>Resources</t>
        </is>
      </c>
      <c r="M1866" t="inlineStr">
        <is>
          <t>PS4/PlayStation exclusive: anniversary inbox/alerts and later Market for Credits (e.g. 10,000 Credits in 2021 PlayStation Anniversary).</t>
        </is>
      </c>
      <c r="N1866" t="inlineStr">
        <is>
          <t>https://www.warframe.com/en/news/renown-pack-xi-available-now; https://www.warframe.com/en/news/save-on-obsidian-collections; https://www.warframe.com/en/news/ivara-prime-community-build-guide; https://www.warframe.com/en/news/ultimate-obsidian-collection</t>
        </is>
      </c>
      <c r="O1866" t="inlineStr">
        <is>
          <t>Solid news/decorations match (high): orbiter: Obsidian Ivara]] Noggle PS4 Exclusive; orbiter PS4 Exclusive; multi-year anniversary news</t>
        </is>
      </c>
    </row>
    <row r="1867">
      <c r="A1867" t="inlineStr">
        <is>
          <t>/Lotus/Types/Items/ShipDecos/NezhaPrimeBobbleHead</t>
        </is>
      </c>
      <c r="B1867" t="inlineStr">
        <is>
          <t>Noggle Statue - Nezha Prime</t>
        </is>
      </c>
      <c r="D1867" t="inlineStr">
        <is>
          <t>ExportResources</t>
        </is>
      </c>
      <c r="F1867" t="inlineStr">
        <is>
          <t>Noggle Statue - Nezha Prime</t>
        </is>
      </c>
      <c r="H1867" t="inlineStr">
        <is>
          <t>Solved: current place verified and archived 2026-10-17.</t>
        </is>
      </c>
      <c r="I1867" t="inlineStr">
        <is>
          <t>Resources</t>
        </is>
      </c>
      <c r="M1867" t="inlineStr">
        <is>
          <t>Prime Access or Prime Vault pack, or buy from Varzia during Prime Resurgence.</t>
        </is>
      </c>
      <c r="N1867" t="inlineStr">
        <is>
          <t>warframe.com/news; Orbiter Decorations / Market</t>
        </is>
      </c>
      <c r="O1867" t="inlineStr">
        <is>
          <t>Solid news/decorations match (high): orbiter prime noggle rule + caption: Nezha Prime}} Noggle</t>
        </is>
      </c>
    </row>
    <row r="1868">
      <c r="A1868" t="inlineStr">
        <is>
          <t>/Lotus/Types/Items/ShipDecos/FrostSnowdayBobbleHead</t>
        </is>
      </c>
      <c r="B1868" t="inlineStr">
        <is>
          <t>Noggle Statue - Snowday Frost</t>
        </is>
      </c>
      <c r="D1868" t="inlineStr">
        <is>
          <t>ExportResources</t>
        </is>
      </c>
      <c r="F1868" t="inlineStr">
        <is>
          <t>Noggle Statue - Snowday Frost</t>
        </is>
      </c>
      <c r="H1868" t="inlineStr">
        <is>
          <t>Solved: current place verified and archived 2026-10-17.</t>
        </is>
      </c>
      <c r="I1868" t="inlineStr">
        <is>
          <t>Resources</t>
        </is>
      </c>
      <c r="M1868" t="inlineStr">
        <is>
          <t>Tennobaum gift goal reward.</t>
        </is>
      </c>
      <c r="N1868" t="inlineStr">
        <is>
          <t>warframe.com/news; Orbiter Decorations / Market</t>
        </is>
      </c>
      <c r="O1868" t="inlineStr">
        <is>
          <t>Solid news/decorations match (high): orbiter: Frost}} Snowday Noggle Tennobaum Gift Goal</t>
        </is>
      </c>
    </row>
    <row r="1869">
      <c r="A1869" t="inlineStr">
        <is>
          <t>/Lotus/Types/Items/ShipDecos/BombastineBobbleHead</t>
        </is>
      </c>
      <c r="B1869" t="inlineStr">
        <is>
          <t>Noggle Statue - Bombastine</t>
        </is>
      </c>
      <c r="C1869" t="inlineStr">
        <is>
          <t>In-game Market for 35 Platinum (confirmed by Jacob). Previously also noted as a Twitch drop (DE forums, Apr 26 2023) — Market is the current acquisition path.</t>
        </is>
      </c>
      <c r="D1869" t="inlineStr">
        <is>
          <t>ExportResources</t>
        </is>
      </c>
      <c r="F1869" t="inlineStr">
        <is>
          <t>Noggle Statue - Bombastine</t>
        </is>
      </c>
      <c r="H1869" t="inlineStr">
        <is>
          <t>Solved: current place verified and archived 2026-10-17.</t>
        </is>
      </c>
      <c r="I1869" t="inlineStr">
        <is>
          <t>Resources</t>
        </is>
      </c>
      <c r="M1869" t="inlineStr">
        <is>
          <t>Twitch Drop from The Duviri Paradox celebratory drops (started April 26, 2023): watch any stream in the Warframe directory — Bombastine Noggle at 3 hours total watch time (Drop 1: Community Bombastine Glyph at 1h; Drop 2: Community Kaithe Portrait at 2h). Announced by DE on the official Warframe forums.</t>
        </is>
      </c>
      <c r="N1869" t="inlineStr">
        <is>
          <t>https://forums.warframe.com/topic/1345854-the-duviri-paradox-celebratory-twitch-drops-starting-april-26/</t>
        </is>
      </c>
      <c r="O1869" t="inlineStr">
        <is>
          <t>DE official forums announcement of Duviri Paradox celebratory Twitch Drops (Apr 26, 2023). No warframe.com/news article; forums post is the DE announcement channel for this drop. Validated via user-provided official drop table text.</t>
        </is>
      </c>
    </row>
    <row r="1870">
      <c r="A1870" t="inlineStr">
        <is>
          <t>/Lotus/Types/Items/ShipDecos/HexLettieBobbleHead</t>
        </is>
      </c>
      <c r="B1870" t="inlineStr">
        <is>
          <t>Noggle Statue - Lettie Garcia</t>
        </is>
      </c>
      <c r="C1870" t="inlineStr">
        <is>
          <t>https://wiki.warframe.com/w/The_Hex_(Quest)#Finale | https://wiki.warframe.com/w/Decorations/Orbiter_Decorations</t>
        </is>
      </c>
      <c r="D1870" t="inlineStr">
        <is>
          <t>ExportResources</t>
        </is>
      </c>
      <c r="F1870" t="inlineStr">
        <is>
          <t>Noggle Statue - Lettie Garcia</t>
        </is>
      </c>
      <c r="H1870" t="inlineStr">
        <is>
          <t>Solved: current place verified and archived 2026-10-17.</t>
        </is>
      </c>
      <c r="I1870" t="inlineStr">
        <is>
          <t>Resources</t>
        </is>
      </c>
      <c r="M1870" t="inlineStr">
        <is>
          <t>Reward for completing the finale of The Hex quest.</t>
        </is>
      </c>
      <c r="N1870" t="inlineStr">
        <is>
          <t>The Hex (Quest) Finale; Decorations/Orbiter Decorations (Leticia Garcia Noggle — The Hex Quest Finale)</t>
        </is>
      </c>
      <c r="O1870" t="inlineStr">
        <is>
          <t>Confirmed on both wiki.warframe.com Decorations/Orbiter Decorations (Noggles: Leticia Garcia Noggle → The Hex Quest Finale) and The Hex (Quest) Finale section. Same acquisition as the other Hex cast noggles.</t>
        </is>
      </c>
    </row>
    <row r="1871">
      <c r="A1871" t="inlineStr">
        <is>
          <t>/Lotus/Types/Items/ShipDecos/Plushies/PlushyBaroEvil</t>
        </is>
      </c>
      <c r="B1871" t="inlineStr">
        <is>
          <t>Eskhatos Ki'Teer Floof</t>
        </is>
      </c>
      <c r="C1871" t="inlineStr">
        <is>
          <t>https://wiki.warframe.com/w/Decorations/Orbiter_Decorations | https://wiki.warframe.com/w/Baro_Ki%27Teer</t>
        </is>
      </c>
      <c r="D1871" t="inlineStr">
        <is>
          <t>ExportResources</t>
        </is>
      </c>
      <c r="F1871" t="inlineStr">
        <is>
          <t>Eskhatos Ki'Teer Floof</t>
        </is>
      </c>
      <c r="H1871" t="inlineStr">
        <is>
          <t>Solved: current place verified and archived 2026-10-17.</t>
        </is>
      </c>
      <c r="I1871" t="inlineStr">
        <is>
          <t>Resources</t>
        </is>
      </c>
      <c r="M1871" t="inlineStr">
        <is>
          <t>Purchase from Baro Ki'Teer for 111 Ducats and 111,111 Credits.</t>
        </is>
      </c>
      <c r="N1871" t="inlineStr">
        <is>
          <t>https://wiki.warframe.com/w/Decorations/Orbiter_Decorations | https://wiki.warframe.com/w/Baro_Ki%27Teer</t>
        </is>
      </c>
      <c r="O1871" t="inlineStr">
        <is>
          <t>Solid (high): Floofs caption: Eskhatos Ki'Teer, 111,111 credits + 111 ducats from Baro Ki'Teer.</t>
        </is>
      </c>
    </row>
    <row r="1872">
      <c r="A1872" t="inlineStr">
        <is>
          <t>/Lotus/Types/Items/ShipDecos/Props/Seasonal/OrnamentGlaive</t>
        </is>
      </c>
      <c r="B1872" t="inlineStr">
        <is>
          <t>Festive Cychel Glaive Ornament</t>
        </is>
      </c>
      <c r="C1872" t="inlineStr">
        <is>
          <t>https://wiki.warframe.com/w/Decorations/Orbiter_Decorations | https://wiki.warframe.com/w/Tennobaum</t>
        </is>
      </c>
      <c r="D1872" t="inlineStr">
        <is>
          <t>ExportResources</t>
        </is>
      </c>
      <c r="F1872" t="inlineStr">
        <is>
          <t>Festive Cychel Glaive Ornament</t>
        </is>
      </c>
      <c r="H1872" t="inlineStr">
        <is>
          <t>Solved: current place verified and archived 2026-10-17.</t>
        </is>
      </c>
      <c r="I1872" t="inlineStr">
        <is>
          <t>Resources</t>
        </is>
      </c>
      <c r="M1872" t="inlineStr">
        <is>
          <t>Tennobaum 2025 reward.</t>
        </is>
      </c>
      <c r="N1872" t="inlineStr">
        <is>
          <t>https://wiki.warframe.com/w/Decorations/Orbiter_Decorations | https://wiki.warframe.com/w/Tennobaum</t>
        </is>
      </c>
      <c r="O1872" t="inlineStr">
        <is>
          <t>Solid (high): Decorations caption is Festive Cychel Ornament, Tennobaum 2025 Reward. Tennobaum 2025 lists the same ornament under that year's rewards.</t>
        </is>
      </c>
    </row>
    <row r="1873">
      <c r="A1873" t="inlineStr">
        <is>
          <t>/Lotus/Types/Items/ShipDecos/GrineerExcavationBossBobbleHead</t>
        </is>
      </c>
      <c r="B1873" t="inlineStr">
        <is>
          <t>Noggle Statue - Boril</t>
        </is>
      </c>
      <c r="C1873" t="inlineStr">
        <is>
          <t>https://wiki.warframe.com/w/Decorations/Orbiter_Decorations | https://wiki.warframe.com/w/Market/Equipment</t>
        </is>
      </c>
      <c r="D1873" t="inlineStr">
        <is>
          <t>ExportResources</t>
        </is>
      </c>
      <c r="F1873" t="inlineStr">
        <is>
          <t>Noggle Statue - Boril</t>
        </is>
      </c>
      <c r="H1873" t="inlineStr">
        <is>
          <t>Solved: current place verified and archived 2026-10-17.</t>
        </is>
      </c>
      <c r="I1873" t="inlineStr">
        <is>
          <t>Resources</t>
        </is>
      </c>
      <c r="M1873" t="inlineStr">
        <is>
          <t>In-game Market for 35 Platinum.</t>
        </is>
      </c>
      <c r="N1873" t="inlineStr">
        <is>
          <t>https://wiki.warframe.com/w/Decorations/Orbiter_Decorations | https://wiki.warframe.com/w/Market/Equipment</t>
        </is>
      </c>
      <c r="O1873" t="inlineStr">
        <is>
          <t>Solid (high): Noggles intro: most noggles cost 35 Platinum from the Market. Boril Noggle has no other caption. Neighbors Arid Seeker and Lancer are Market/Equipment at 35 Platinum; Boril itself is not named on that list.</t>
        </is>
      </c>
    </row>
    <row r="1874">
      <c r="A1874" t="inlineStr">
        <is>
          <t>/Lotus/Types/Items/ShipDecos/DarvoBobbleHead</t>
        </is>
      </c>
      <c r="B1874" t="inlineStr">
        <is>
          <t>Noggle Statue - Darvo</t>
        </is>
      </c>
      <c r="C1874" t="inlineStr">
        <is>
          <t>https://wiki.warframe.com/w/Decorations/Orbiter_Decorations | https://www.warframe.com/en/news/recall-ten-zero</t>
        </is>
      </c>
      <c r="D1874" t="inlineStr">
        <is>
          <t>ExportResources</t>
        </is>
      </c>
      <c r="F1874" t="inlineStr">
        <is>
          <t>Noggle Statue - Darvo</t>
        </is>
      </c>
      <c r="H1874" t="inlineStr">
        <is>
          <t>Solved: current place verified and archived 2026-10-17.</t>
        </is>
      </c>
      <c r="I1874" t="inlineStr">
        <is>
          <t>Resources</t>
        </is>
      </c>
      <c r="M1874" t="inlineStr">
        <is>
          <t>Recall: Ten-Zero reward.</t>
        </is>
      </c>
      <c r="N1874" t="inlineStr">
        <is>
          <t>https://wiki.warframe.com/w/Decorations/Orbiter_Decorations | https://www.warframe.com/en/news/recall-ten-zero</t>
        </is>
      </c>
      <c r="O1874" t="inlineStr">
        <is>
          <t>Solid (high): Darvo Noggle caption. News: Week 1 reward, July 19–27, 2023.</t>
        </is>
      </c>
    </row>
    <row r="1875">
      <c r="A1875" t="inlineStr">
        <is>
          <t>/Lotus/Types/Items/ShipDecos/GaraBobbleHead</t>
        </is>
      </c>
      <c r="B1875" t="inlineStr">
        <is>
          <t>Noggle Statue - Gara</t>
        </is>
      </c>
      <c r="C1875" t="inlineStr">
        <is>
          <t>https://wiki.warframe.com/w/Decorations/Orbiter_Decorations</t>
        </is>
      </c>
      <c r="D1875" t="inlineStr">
        <is>
          <t>ExportResources</t>
        </is>
      </c>
      <c r="F1875" t="inlineStr">
        <is>
          <t>Noggle Statue - Gara</t>
        </is>
      </c>
      <c r="H1875" t="inlineStr">
        <is>
          <t>Solved: current place verified and archived 2026-10-17.</t>
        </is>
      </c>
      <c r="I1875" t="inlineStr">
        <is>
          <t>Resources</t>
        </is>
      </c>
      <c r="M1875" t="inlineStr">
        <is>
          <t>In-game Market for 35 Platinum.</t>
        </is>
      </c>
      <c r="N1875" t="inlineStr">
        <is>
          <t>https://wiki.warframe.com/w/Decorations/Orbiter_Decorations</t>
        </is>
      </c>
      <c r="O1875" t="inlineStr">
        <is>
          <t>Solid (high): Warframe noggle gallery lists Gara Noggle with no other source. Section intro: most noggles cost 35 Platinum from the Market. Market/Equipment does not name Gara.</t>
        </is>
      </c>
    </row>
    <row r="1876">
      <c r="A1876" t="inlineStr">
        <is>
          <t>/Lotus/Types/Items/ShipDecos/JackalBobbleHead</t>
        </is>
      </c>
      <c r="B1876" t="inlineStr">
        <is>
          <t>Noggle Statue - Jackal</t>
        </is>
      </c>
      <c r="C1876" t="inlineStr">
        <is>
          <t>https://wiki.warframe.com/w/Decorations/Orbiter_Decorations | https://www.warframe.com/en/news/recall-ten-zero</t>
        </is>
      </c>
      <c r="D1876" t="inlineStr">
        <is>
          <t>ExportResources</t>
        </is>
      </c>
      <c r="F1876" t="inlineStr">
        <is>
          <t>Noggle Statue - Jackal</t>
        </is>
      </c>
      <c r="H1876" t="inlineStr">
        <is>
          <t>Solved: current place verified and archived 2026-10-17.</t>
        </is>
      </c>
      <c r="I1876" t="inlineStr">
        <is>
          <t>Resources</t>
        </is>
      </c>
      <c r="M1876" t="inlineStr">
        <is>
          <t>Recall: Ten-Zero reward.</t>
        </is>
      </c>
      <c r="N1876" t="inlineStr">
        <is>
          <t>https://wiki.warframe.com/w/Decorations/Orbiter_Decorations | https://www.warframe.com/en/news/recall-ten-zero</t>
        </is>
      </c>
      <c r="O1876" t="inlineStr">
        <is>
          <t>Solid (high): Jackal Noggle caption. News: Week 5 reward, August 17–25, 2023.</t>
        </is>
      </c>
    </row>
    <row r="1877">
      <c r="A1877" t="inlineStr">
        <is>
          <t>/Lotus/Types/Items/ShipDecos/GrineerNightwatchMarineBobbleHead</t>
        </is>
      </c>
      <c r="B1877" t="inlineStr">
        <is>
          <t>Noggle Statue - Nightwatch Lancer</t>
        </is>
      </c>
      <c r="C1877" t="inlineStr">
        <is>
          <t>https://wiki.warframe.com/w/Decorations/Orbiter_Decorations | https://www.warframe.com/en/news/recall-ten-zero</t>
        </is>
      </c>
      <c r="D1877" t="inlineStr">
        <is>
          <t>ExportResources</t>
        </is>
      </c>
      <c r="F1877" t="inlineStr">
        <is>
          <t>Noggle Statue - Nightwatch Lancer</t>
        </is>
      </c>
      <c r="H1877" t="inlineStr">
        <is>
          <t>Solved: current place verified and archived 2026-10-17.</t>
        </is>
      </c>
      <c r="I1877" t="inlineStr">
        <is>
          <t>Resources</t>
        </is>
      </c>
      <c r="M1877" t="inlineStr">
        <is>
          <t>Recall: Ten-Zero reward.</t>
        </is>
      </c>
      <c r="N1877" t="inlineStr">
        <is>
          <t>https://wiki.warframe.com/w/Decorations/Orbiter_Decorations | https://www.warframe.com/en/news/recall-ten-zero</t>
        </is>
      </c>
      <c r="O1877" t="inlineStr">
        <is>
          <t>Solid (high): Wiki caption is Nightwatch Grineer Lancer Noggle. News: Week 2 reward, July 27–August 3, 2023.</t>
        </is>
      </c>
    </row>
    <row r="1878">
      <c r="A1878" t="inlineStr">
        <is>
          <t>/Lotus/Types/Items/ShipDecos/GlassmakerBobbleHead</t>
        </is>
      </c>
      <c r="B1878" t="inlineStr">
        <is>
          <t>Noggle Statue - Nihil</t>
        </is>
      </c>
      <c r="C1878" t="inlineStr">
        <is>
          <t>https://wiki.warframe.com/w/Decorations/Orbiter_Decorations | https://www.warframe.com/en/news/recall-ten-zero</t>
        </is>
      </c>
      <c r="D1878" t="inlineStr">
        <is>
          <t>ExportResources</t>
        </is>
      </c>
      <c r="F1878" t="inlineStr">
        <is>
          <t>Noggle Statue - Nihil</t>
        </is>
      </c>
      <c r="H1878" t="inlineStr">
        <is>
          <t>Solved: current place verified and archived 2026-10-17.</t>
        </is>
      </c>
      <c r="I1878" t="inlineStr">
        <is>
          <t>Resources</t>
        </is>
      </c>
      <c r="M1878" t="inlineStr">
        <is>
          <t>Recall: Ten-Zero reward.</t>
        </is>
      </c>
      <c r="N1878" t="inlineStr">
        <is>
          <t>https://wiki.warframe.com/w/Decorations/Orbiter_Decorations | https://www.warframe.com/en/news/recall-ten-zero</t>
        </is>
      </c>
      <c r="O1878" t="inlineStr">
        <is>
          <t>Solid (high): Nihil Noggle caption. News: Week 3 reward, August 3–10, 2023.</t>
        </is>
      </c>
    </row>
    <row r="1879">
      <c r="A1879" t="inlineStr">
        <is>
          <t>/Lotus/Types/Items/ShipDecos/PopcornBobbleHead</t>
        </is>
      </c>
      <c r="B1879" t="inlineStr">
        <is>
          <t>Noggle Statue - Popcorn</t>
        </is>
      </c>
      <c r="C1879" t="inlineStr">
        <is>
          <t>https://wiki.warframe.com/w/Decorations/Orbiter_Decorations</t>
        </is>
      </c>
      <c r="D1879" t="inlineStr">
        <is>
          <t>ExportResources</t>
        </is>
      </c>
      <c r="F1879" t="inlineStr">
        <is>
          <t>Noggle Statue - Popcorn</t>
        </is>
      </c>
      <c r="H1879" t="inlineStr">
        <is>
          <t>Solved: current place verified and archived 2026-10-17.</t>
        </is>
      </c>
      <c r="I1879" t="inlineStr">
        <is>
          <t>Resources</t>
        </is>
      </c>
      <c r="M1879" t="inlineStr">
        <is>
          <t>Twitch Drop.</t>
        </is>
      </c>
      <c r="N1879" t="inlineStr">
        <is>
          <t>https://wiki.warframe.com/w/Decorations/Orbiter_Decorations</t>
        </is>
      </c>
      <c r="O1879" t="inlineStr">
        <is>
          <t>Solid (high): Popcorn Noggle caption is Twitch Drops. No separate price.</t>
        </is>
      </c>
    </row>
    <row r="1880">
      <c r="A1880" t="inlineStr">
        <is>
          <t>/Lotus/Types/Items/SyndicateDogTags/KelaEventDogTag</t>
        </is>
      </c>
      <c r="B1880" t="inlineStr">
        <is>
          <t>Rathuum Prisoner Coordinates</t>
        </is>
      </c>
      <c r="C1880" t="inlineStr">
        <is>
          <t>https://wiki.warframe.com/w/Operation:Rathuum</t>
        </is>
      </c>
      <c r="D1880" t="inlineStr">
        <is>
          <t>ExportResources</t>
        </is>
      </c>
      <c r="F1880" t="inlineStr">
        <is>
          <t>Rathuum Prisoner Coordinates</t>
        </is>
      </c>
      <c r="H1880" t="inlineStr">
        <is>
          <t>Solved: current place verified and archived 2026-10-17.</t>
        </is>
      </c>
      <c r="I1880" t="inlineStr">
        <is>
          <t>Resources</t>
        </is>
      </c>
      <c r="M1880" t="inlineStr">
        <is>
          <t>Awarded the first time you defeat Kela De Thaym in Operation: Rathuum.</t>
        </is>
      </c>
      <c r="N1880" t="inlineStr">
        <is>
          <t>https://wiki.warframe.com/w/Operation:Rathuum</t>
        </is>
      </c>
      <c r="O1880" t="inlineStr">
        <is>
          <t>Solid (medium): Page does not print the item name. It says the first Kela defeat awards the defectors' coordinates, turned in to Steel Meridian or your highest Syndicate for 10,000 standing. Export description matches that handoff.</t>
        </is>
      </c>
    </row>
    <row r="1881">
      <c r="A1881" t="inlineStr">
        <is>
          <t>/Lotus/Types/Restoratives/Conservation/Deimos/InfestedNexiferaRarityBoost</t>
        </is>
      </c>
      <c r="B1881" t="inlineStr">
        <is>
          <t>NEXIFERA PHEROMONE GLAND</t>
        </is>
      </c>
      <c r="C1881" t="inlineStr">
        <is>
          <t>https://wiki.warframe.com/w/Nexifera | https://wiki.warframe.com/w/Conservation</t>
        </is>
      </c>
      <c r="D1881" t="inlineStr">
        <is>
          <t>ExportGear</t>
        </is>
      </c>
      <c r="F1881" t="inlineStr">
        <is>
          <t>NEXIFERA PHEROMONE GLAND</t>
        </is>
      </c>
      <c r="H1881" t="inlineStr">
        <is>
          <t>Solved: current place verified and archived 2026-10-17.</t>
        </is>
      </c>
      <c r="I1881" t="inlineStr">
        <is>
          <t>Gear</t>
        </is>
      </c>
      <c r="M1881" t="inlineStr">
        <is>
          <t>Exclude from app: Unused gear. The Nexifera page says this animal has no lures or pheromones and is found in caves. Not in Son's pheromone offerings.</t>
        </is>
      </c>
      <c r="N1881" t="inlineStr">
        <is>
          <t>https://wiki.warframe.com/w/Nexifera | https://wiki.warframe.com/w/Conservation</t>
        </is>
      </c>
      <c r="O1881" t="inlineStr">
        <is>
          <t>Exclude from app. Unused gear. The Nexifera page says this animal has no lures or pheromones and is found in caves. Not in Son's pheromone offerings.</t>
        </is>
      </c>
    </row>
    <row r="1882">
      <c r="A1882" t="inlineStr">
        <is>
          <t>/Lotus/Types/Restoratives/Conservation/Deimos/InfestedNexiferaLureGearItem</t>
        </is>
      </c>
      <c r="B1882" t="inlineStr">
        <is>
          <t>Nexifera Echo-Lure</t>
        </is>
      </c>
      <c r="C1882" t="inlineStr">
        <is>
          <t>https://wiki.warframe.com/w/Nexifera | https://wiki.warframe.com/w/Conservation</t>
        </is>
      </c>
      <c r="D1882" t="inlineStr">
        <is>
          <t>ExportGear</t>
        </is>
      </c>
      <c r="F1882" t="inlineStr">
        <is>
          <t>Nexifera Echo-Lure</t>
        </is>
      </c>
      <c r="H1882" t="inlineStr">
        <is>
          <t>Solved: current place verified and archived 2026-10-17.</t>
        </is>
      </c>
      <c r="I1882" t="inlineStr">
        <is>
          <t>Gear</t>
        </is>
      </c>
      <c r="M1882" t="inlineStr">
        <is>
          <t>Exclude from app: Unused gear. The Nexifera page says this animal has no lures or pheromones and is found in caves. Not in Son's Echo-Lure offerings.</t>
        </is>
      </c>
      <c r="N1882" t="inlineStr">
        <is>
          <t>https://wiki.warframe.com/w/Nexifera | https://wiki.warframe.com/w/Conservation</t>
        </is>
      </c>
      <c r="O1882" t="inlineStr">
        <is>
          <t>Exclude from app. Unused gear. The Nexifera page says this animal has no lures or pheromones and is found in caves. Not in Son's Echo-Lure offerings.</t>
        </is>
      </c>
    </row>
    <row r="1883">
      <c r="A1883" t="inlineStr">
        <is>
          <t>/Lotus/Types/Items/ShipDecos/MasteryTrophies/Rank00Trophy</t>
        </is>
      </c>
      <c r="B1883" t="inlineStr">
        <is>
          <t>Unranked Mastery Slate</t>
        </is>
      </c>
      <c r="C1883" t="inlineStr">
        <is>
          <t>https://wiki.warframe.com/w/Decorations/Orbiter_Decorations | https://wiki.warframe.com/w/Mastery_Rank</t>
        </is>
      </c>
      <c r="D1883" t="inlineStr">
        <is>
          <t>ExportResources</t>
        </is>
      </c>
      <c r="F1883" t="inlineStr">
        <is>
          <t>Unranked Mastery Slate</t>
        </is>
      </c>
      <c r="H1883" t="inlineStr">
        <is>
          <t>Solved: current place verified and archived 2026-10-17.</t>
        </is>
      </c>
      <c r="I1883" t="inlineStr">
        <is>
          <t>Resources</t>
        </is>
      </c>
      <c r="M1883" t="inlineStr">
        <is>
          <t>Exclude from app: Not a listed reward. Orbiter Decorations comments out the Rank 0 slate. Mastery slates on that page start at Rank 1 and are awarded on rank-up.</t>
        </is>
      </c>
      <c r="N1883" t="inlineStr">
        <is>
          <t>https://wiki.warframe.com/w/Decorations/Orbiter_Decorations | https://wiki.warframe.com/w/Mastery_Rank</t>
        </is>
      </c>
      <c r="O1883" t="inlineStr">
        <is>
          <t>Exclude from app. Not a listed reward. Orbiter Decorations comments out the Rank 0 slate. Mastery slates on that page start at Rank 1 and are awarded on rank-up.</t>
        </is>
      </c>
    </row>
    <row r="1884">
      <c r="A1884" t="inlineStr">
        <is>
          <t>/Lotus/Upgrades/Skins/Garuda/SWSuccessorClawsSkin</t>
        </is>
      </c>
      <c r="B1884" t="inlineStr">
        <is>
          <t>Garuda Successor Talons Skin</t>
        </is>
      </c>
      <c r="C1884" t="inlineStr">
        <is>
          <t>https://wiki.warframe.com/w/TennoGen</t>
        </is>
      </c>
      <c r="D1884" t="inlineStr">
        <is>
          <t>ExportCustoms</t>
        </is>
      </c>
      <c r="F1884" t="inlineStr">
        <is>
          <t>Garuda Successor Talons Skin</t>
        </is>
      </c>
      <c r="H1884" t="inlineStr">
        <is>
          <t>Solved: current place verified and archived 2026-10-17.</t>
        </is>
      </c>
      <c r="I1884" t="inlineStr">
        <is>
          <t>Customs</t>
        </is>
      </c>
      <c r="J1884" t="inlineStr">
        <is>
          <t>ExportCustoms_ground_truth</t>
        </is>
      </c>
      <c r="K1884" t="inlineStr">
        <is>
          <t>name or path</t>
        </is>
      </c>
      <c r="M1884" t="inlineStr">
        <is>
          <t>Comes with the Garuda Successor Skin (TennoGen).</t>
        </is>
      </c>
      <c r="N1884" t="inlineStr">
        <is>
          <t>https://wiki.warframe.com/w/TennoGen</t>
        </is>
      </c>
      <c r="O1884" t="inlineStr">
        <is>
          <t>User note converted: TennoGen skin bundle includes these talons.</t>
        </is>
      </c>
    </row>
    <row r="1885">
      <c r="A1885" t="inlineStr">
        <is>
          <t>/Lotus/Upgrades/Skins/Garuda/SWGarudaTengushinClawsSkin</t>
        </is>
      </c>
      <c r="B1885" t="inlineStr">
        <is>
          <t>Garuda Tengushin Talons Skin</t>
        </is>
      </c>
      <c r="C1885" t="inlineStr">
        <is>
          <t>https://wiki.warframe.com/w/TennoGen</t>
        </is>
      </c>
      <c r="D1885" t="inlineStr">
        <is>
          <t>ExportCustoms</t>
        </is>
      </c>
      <c r="F1885" t="inlineStr">
        <is>
          <t>Garuda Tengushin Talons Skin</t>
        </is>
      </c>
      <c r="H1885" t="inlineStr">
        <is>
          <t>Solved: current place verified and archived 2026-10-17.</t>
        </is>
      </c>
      <c r="I1885" t="inlineStr">
        <is>
          <t>Customs</t>
        </is>
      </c>
      <c r="J1885" t="inlineStr">
        <is>
          <t>ExportCustoms_ground_truth</t>
        </is>
      </c>
      <c r="K1885" t="inlineStr">
        <is>
          <t>name or path</t>
        </is>
      </c>
      <c r="M1885" t="inlineStr">
        <is>
          <t>Comes with the Garuda Tengushin Skin (TennoGen).</t>
        </is>
      </c>
      <c r="N1885" t="inlineStr">
        <is>
          <t>https://wiki.warframe.com/w/TennoGen</t>
        </is>
      </c>
      <c r="O1885" t="inlineStr">
        <is>
          <t>User note converted: TennoGen skin bundle includes these talons.</t>
        </is>
      </c>
    </row>
    <row r="1886">
      <c r="A1886" t="inlineStr">
        <is>
          <t>/Lotus/Upgrades/Skins/Garuda/SWTiamatClawsSkin</t>
        </is>
      </c>
      <c r="B1886" t="inlineStr">
        <is>
          <t>Garuda Tiamat Talons Skin</t>
        </is>
      </c>
      <c r="C1886" t="inlineStr">
        <is>
          <t>https://wiki.warframe.com/w/TennoGen</t>
        </is>
      </c>
      <c r="D1886" t="inlineStr">
        <is>
          <t>ExportCustoms</t>
        </is>
      </c>
      <c r="F1886" t="inlineStr">
        <is>
          <t>Garuda Tiamat Talons Skin</t>
        </is>
      </c>
      <c r="H1886" t="inlineStr">
        <is>
          <t>Solved: current place verified and archived 2026-10-17.</t>
        </is>
      </c>
      <c r="I1886" t="inlineStr">
        <is>
          <t>Customs</t>
        </is>
      </c>
      <c r="J1886" t="inlineStr">
        <is>
          <t>ExportCustoms_ground_truth</t>
        </is>
      </c>
      <c r="K1886" t="inlineStr">
        <is>
          <t>name or path</t>
        </is>
      </c>
      <c r="M1886" t="inlineStr">
        <is>
          <t>Comes with the Garuda Tiamat Skin (TennoGen).</t>
        </is>
      </c>
      <c r="N1886" t="inlineStr">
        <is>
          <t>https://wiki.warframe.com/w/TennoGen</t>
        </is>
      </c>
      <c r="O1886" t="inlineStr">
        <is>
          <t>User note converted: TennoGen skin bundle includes these talons.</t>
        </is>
      </c>
    </row>
    <row r="1887">
      <c r="A1887" t="inlineStr">
        <is>
          <t>/Lotus/Upgrades/Skins/Sigils/VorDuviriSigil</t>
        </is>
      </c>
      <c r="B1887" t="inlineStr">
        <is>
          <t>Prisma Vor Sigil</t>
        </is>
      </c>
      <c r="C1887" t="inlineStr">
        <is>
          <t>https://wiki.warframe.com/w/Baro_Ki'Teer</t>
        </is>
      </c>
      <c r="D1887" t="inlineStr">
        <is>
          <t>ExportCustoms</t>
        </is>
      </c>
      <c r="F1887" t="inlineStr">
        <is>
          <t>Prisma Vor Sigil</t>
        </is>
      </c>
      <c r="H1887" t="inlineStr">
        <is>
          <t>Solved: current place verified and archived 2026-10-17.</t>
        </is>
      </c>
      <c r="I1887" t="inlineStr">
        <is>
          <t>Customs</t>
        </is>
      </c>
      <c r="J1887" t="inlineStr">
        <is>
          <t>ExportCustoms_ground_truth</t>
        </is>
      </c>
      <c r="K1887" t="inlineStr">
        <is>
          <t>name or path</t>
        </is>
      </c>
      <c r="M1887" t="inlineStr">
        <is>
          <t>Purchase from Baro Ki'Teer when available in his inventory.</t>
        </is>
      </c>
      <c r="N1887" t="inlineStr">
        <is>
          <t>https://wiki.warframe.com/w/Baro_Ki'Teer</t>
        </is>
      </c>
      <c r="O1887" t="inlineStr">
        <is>
          <t>Item description credits Baro Ki'Teer; user research.</t>
        </is>
      </c>
    </row>
    <row r="1888">
      <c r="A1888" t="inlineStr">
        <is>
          <t>/Lotus/Upgrades/Skins/Odalisk/ProteaImmortalHelmet</t>
        </is>
      </c>
      <c r="B1888" t="inlineStr">
        <is>
          <t>Protea Immortal Helmet</t>
        </is>
      </c>
      <c r="C1888" t="inlineStr">
        <is>
          <t xml:space="preserve">item is either future, or is a placeholder, or content originally planned and scrapped. </t>
        </is>
      </c>
      <c r="D1888" t="inlineStr">
        <is>
          <t>ExportCustoms</t>
        </is>
      </c>
      <c r="F1888" t="inlineStr">
        <is>
          <t>Protea Immortal Helmet</t>
        </is>
      </c>
      <c r="H1888" t="inlineStr">
        <is>
          <t>Solved: current place verified and archived 2026-10-17.</t>
        </is>
      </c>
      <c r="I1888" t="inlineStr">
        <is>
          <t>Customs</t>
        </is>
      </c>
      <c r="J1888" t="inlineStr">
        <is>
          <t>ExportCustoms_ground_truth</t>
        </is>
      </c>
      <c r="K1888" t="inlineStr">
        <is>
          <t>name or path</t>
        </is>
      </c>
      <c r="M1888" t="inlineStr">
        <is>
          <t>Exclude from app: placeholder / unreleased or scrapped content.</t>
        </is>
      </c>
      <c r="O1888" t="inlineStr">
        <is>
          <t>User research: future/placeholder/scrapped.</t>
        </is>
      </c>
    </row>
    <row r="1889">
      <c r="A1889" t="inlineStr">
        <is>
          <t>/Lotus/Upgrades/Skins/Odalisk/ProteaImmortalSkin</t>
        </is>
      </c>
      <c r="B1889" t="inlineStr">
        <is>
          <t>Protea Immortal Skin</t>
        </is>
      </c>
      <c r="C1889" t="inlineStr">
        <is>
          <t xml:space="preserve">item is either future, or is a placeholder, or content originally planned and scrapped. </t>
        </is>
      </c>
      <c r="D1889" t="inlineStr">
        <is>
          <t>ExportCustoms</t>
        </is>
      </c>
      <c r="F1889" t="inlineStr">
        <is>
          <t>Protea Immortal Skin</t>
        </is>
      </c>
      <c r="H1889" t="inlineStr">
        <is>
          <t>Solved: current place verified and archived 2026-10-17.</t>
        </is>
      </c>
      <c r="I1889" t="inlineStr">
        <is>
          <t>Customs</t>
        </is>
      </c>
      <c r="J1889" t="inlineStr">
        <is>
          <t>ExportCustoms_ground_truth</t>
        </is>
      </c>
      <c r="K1889" t="inlineStr">
        <is>
          <t>name or path</t>
        </is>
      </c>
      <c r="M1889" t="inlineStr">
        <is>
          <t>Exclude from app: placeholder / unreleased or scrapped content.</t>
        </is>
      </c>
      <c r="O1889" t="inlineStr">
        <is>
          <t>User research: future/placeholder/scrapped.</t>
        </is>
      </c>
    </row>
    <row r="1890">
      <c r="A1890" t="inlineStr">
        <is>
          <t>/Lotus/Upgrades/Skins/Operator/Accessories/OperatorNefAnyoMask</t>
        </is>
      </c>
      <c r="B1890" t="inlineStr">
        <is>
          <t>Vox Solaris Mask</t>
        </is>
      </c>
      <c r="C1890" t="inlineStr">
        <is>
          <t>Scrapped mask, remnent left in game. Do not include in app</t>
        </is>
      </c>
      <c r="D1890" t="inlineStr">
        <is>
          <t>ExportCustoms</t>
        </is>
      </c>
      <c r="F1890" t="inlineStr">
        <is>
          <t>Vox Solaris Mask</t>
        </is>
      </c>
      <c r="H1890" t="inlineStr">
        <is>
          <t>Solved: current place verified and archived 2026-10-17.</t>
        </is>
      </c>
      <c r="I1890" t="inlineStr">
        <is>
          <t>Customs</t>
        </is>
      </c>
      <c r="J1890" t="inlineStr">
        <is>
          <t>ExportCustoms_ground_truth</t>
        </is>
      </c>
      <c r="K1890" t="inlineStr">
        <is>
          <t>name or path</t>
        </is>
      </c>
      <c r="M1890" t="inlineStr">
        <is>
          <t>Exclude from app: scrapped mask remnant left in game files.</t>
        </is>
      </c>
      <c r="O1890" t="inlineStr">
        <is>
          <t>User research: scrapped; do not include in app.</t>
        </is>
      </c>
    </row>
    <row r="1891">
      <c r="A1891" t="inlineStr">
        <is>
          <t>/Lotus/Upgrades/Skins/Tengu/ZephyrQTCCHelmet</t>
        </is>
      </c>
      <c r="B1891" t="inlineStr">
        <is>
          <t>Zephyr Conquera Helmet</t>
        </is>
      </c>
      <c r="C1891" t="inlineStr">
        <is>
          <t>https://wiki.warframe.com/w/Zephyr_Conquera_Skin | https://wiki.warframe.com/w/Conquera</t>
        </is>
      </c>
      <c r="D1891" t="inlineStr">
        <is>
          <t>ExportCustoms</t>
        </is>
      </c>
      <c r="F1891" t="inlineStr">
        <is>
          <t>Zephyr Conquera Helmet</t>
        </is>
      </c>
      <c r="H1891" t="inlineStr">
        <is>
          <t>Solved: current place verified and archived 2026-10-17.</t>
        </is>
      </c>
      <c r="I1891" t="inlineStr">
        <is>
          <t>Customs</t>
        </is>
      </c>
      <c r="J1891" t="inlineStr">
        <is>
          <t>ExportCustoms_ground_truth</t>
        </is>
      </c>
      <c r="K1891" t="inlineStr">
        <is>
          <t>name or path</t>
        </is>
      </c>
      <c r="M1891" t="inlineStr">
        <is>
          <t>Comes with the Zephyr Conquera Skin from the seasonal Conquera Market shop (25,000 Credits).</t>
        </is>
      </c>
      <c r="N1891" t="inlineStr">
        <is>
          <t>https://wiki.warframe.com/w/Zephyr_Conquera_Skin | https://wiki.warframe.com/w/Conquera</t>
        </is>
      </c>
      <c r="O1891" t="inlineStr">
        <is>
          <t>User note + wiki Conquera / Zephyr Conquera Skin.</t>
        </is>
      </c>
    </row>
    <row r="1892">
      <c r="A1892" t="inlineStr">
        <is>
          <t>/Lotus/Types/Restoratives/Consumable/SpearFishingSpear</t>
        </is>
      </c>
      <c r="B1892" t="inlineStr">
        <is>
          <t>Lanzo Fishing Spear</t>
        </is>
      </c>
      <c r="C1892" t="inlineStr">
        <is>
          <t>https://wiki.warframe.com/w/Lanzo_Fishing_Spear</t>
        </is>
      </c>
      <c r="D1892" t="inlineStr">
        <is>
          <t>ExportGear</t>
        </is>
      </c>
      <c r="H1892" t="inlineStr">
        <is>
          <t>Solved: current place verified and archived 2026-10-17.</t>
        </is>
      </c>
      <c r="I1892" t="inlineStr">
        <is>
          <t>Gear</t>
        </is>
      </c>
      <c r="J1892" t="inlineStr">
        <is>
          <t>Sold by Fisher Hai-Luk (500 Standing)</t>
        </is>
      </c>
      <c r="K1892" t="inlineStr">
        <is>
          <t>Vendors/data</t>
        </is>
      </c>
      <c r="L1892" t="inlineStr">
        <is>
          <t>name</t>
        </is>
      </c>
      <c r="M1892" t="inlineStr">
        <is>
          <t>Buy from Hai-Luk for 500 Standing.</t>
        </is>
      </c>
      <c r="N1892" t="inlineStr">
        <is>
          <t>https://wiki.warframe.com/w/Lanzo_Fishing_Spear</t>
        </is>
      </c>
      <c r="O1892" t="inlineStr">
        <is>
          <t>Wiki Lanzo Fishing Spear.</t>
        </is>
      </c>
    </row>
    <row r="1893">
      <c r="A1893" t="inlineStr">
        <is>
          <t>/Lotus/Types/Restoratives/Consumable/SpearFishingSpearC</t>
        </is>
      </c>
      <c r="B1893" t="inlineStr">
        <is>
          <t>Peram Fishing Spear</t>
        </is>
      </c>
      <c r="C1893" t="inlineStr">
        <is>
          <t>https://wiki.warframe.com/w/Peram_Fishing_Spear</t>
        </is>
      </c>
      <c r="D1893" t="inlineStr">
        <is>
          <t>ExportGear</t>
        </is>
      </c>
      <c r="H1893" t="inlineStr">
        <is>
          <t>Solved: current place verified and archived 2026-10-17.</t>
        </is>
      </c>
      <c r="I1893" t="inlineStr">
        <is>
          <t>Gear</t>
        </is>
      </c>
      <c r="J1893" t="inlineStr">
        <is>
          <t>Sold by Fisher Hai-Luk (500 Standing)</t>
        </is>
      </c>
      <c r="K1893" t="inlineStr">
        <is>
          <t>Vendors/data</t>
        </is>
      </c>
      <c r="L1893" t="inlineStr">
        <is>
          <t>name</t>
        </is>
      </c>
      <c r="M1893" t="inlineStr">
        <is>
          <t>Buy from Hai-Luk for 500 Standing (Neutral rank).</t>
        </is>
      </c>
      <c r="N1893" t="inlineStr">
        <is>
          <t>https://wiki.warframe.com/w/Peram_Fishing_Spear</t>
        </is>
      </c>
      <c r="O1893" t="inlineStr">
        <is>
          <t>Wiki Peram Fishing Spear.</t>
        </is>
      </c>
    </row>
    <row r="1894">
      <c r="A1894" t="inlineStr">
        <is>
          <t>/Lotus/Types/Restoratives/Consumable/RobofishSpearC</t>
        </is>
      </c>
      <c r="B1894" t="inlineStr">
        <is>
          <t>Stunna Fishing Spear</t>
        </is>
      </c>
      <c r="C1894" t="inlineStr">
        <is>
          <t>https://wiki.warframe.com/w/Stunna_Fishing_Spear</t>
        </is>
      </c>
      <c r="D1894" t="inlineStr">
        <is>
          <t>ExportGear</t>
        </is>
      </c>
      <c r="H1894" t="inlineStr">
        <is>
          <t>Solved: current place verified and archived 2026-10-17.</t>
        </is>
      </c>
      <c r="I1894" t="inlineStr">
        <is>
          <t>Gear</t>
        </is>
      </c>
      <c r="J1894" t="inlineStr">
        <is>
          <t>Sold by The Business (5,000 Standing)</t>
        </is>
      </c>
      <c r="K1894" t="inlineStr">
        <is>
          <t>Vendors/data</t>
        </is>
      </c>
      <c r="L1894" t="inlineStr">
        <is>
          <t>name</t>
        </is>
      </c>
      <c r="M1894" t="inlineStr">
        <is>
          <t>Buy from The Business for 5,000 Standing (Doer), after owning the Shockprod Fishing Spear.</t>
        </is>
      </c>
      <c r="N1894" t="inlineStr">
        <is>
          <t>https://wiki.warframe.com/w/Stunna_Fishing_Spear</t>
        </is>
      </c>
      <c r="O1894" t="inlineStr">
        <is>
          <t>Wiki Stunna Fishing Spear.</t>
        </is>
      </c>
    </row>
    <row r="1895">
      <c r="A1895" t="inlineStr">
        <is>
          <t>/Lotus/Types/Restoratives/Consumable/SpearFishingSpearB</t>
        </is>
      </c>
      <c r="B1895" t="inlineStr">
        <is>
          <t>Tulok Fishing Spear</t>
        </is>
      </c>
      <c r="C1895" t="inlineStr">
        <is>
          <t>https://wiki.warframe.com/w/Tulok_Fishing_Spear</t>
        </is>
      </c>
      <c r="D1895" t="inlineStr">
        <is>
          <t>ExportGear</t>
        </is>
      </c>
      <c r="H1895" t="inlineStr">
        <is>
          <t>Solved: current place verified and archived 2026-10-17.</t>
        </is>
      </c>
      <c r="I1895" t="inlineStr">
        <is>
          <t>Gear</t>
        </is>
      </c>
      <c r="J1895" t="inlineStr">
        <is>
          <t>Sold by Fisher Hai-Luk (500 Standing)</t>
        </is>
      </c>
      <c r="K1895" t="inlineStr">
        <is>
          <t>Vendors/data</t>
        </is>
      </c>
      <c r="L1895" t="inlineStr">
        <is>
          <t>name</t>
        </is>
      </c>
      <c r="M1895" t="inlineStr">
        <is>
          <t>Buy from Hai-Luk for 500 Standing (Neutral rank).</t>
        </is>
      </c>
      <c r="N1895" t="inlineStr">
        <is>
          <t>https://wiki.warframe.com/w/Tulok_Fishing_Spear</t>
        </is>
      </c>
      <c r="O1895" t="inlineStr">
        <is>
          <t>Wiki Tulok Fishing Spear.</t>
        </is>
      </c>
    </row>
    <row r="1896">
      <c r="A1896" t="inlineStr">
        <is>
          <t>/Lotus/Types/Restoratives/Consumable/GlyphConsumable</t>
        </is>
      </c>
      <c r="B1896" t="inlineStr">
        <is>
          <t>Glyph Prism</t>
        </is>
      </c>
      <c r="C1896" t="inlineStr">
        <is>
          <t>https://wiki.warframe.com/w/Glyph#Glyph_Prism</t>
        </is>
      </c>
      <c r="D1896" t="inlineStr">
        <is>
          <t>ExportGear</t>
        </is>
      </c>
      <c r="F1896" t="inlineStr">
        <is>
          <t>Glyph Prism</t>
        </is>
      </c>
      <c r="G1896" t="inlineStr">
        <is>
          <t>Glyph Prism</t>
        </is>
      </c>
      <c r="H1896" t="inlineStr">
        <is>
          <t>Solved: current place verified and archived 2026-10-17.</t>
        </is>
      </c>
      <c r="I1896" t="inlineStr">
        <is>
          <t>Gear</t>
        </is>
      </c>
      <c r="J1896" t="inlineStr">
        <is>
          <t>Resources_data</t>
        </is>
      </c>
      <c r="K1896" t="inlineStr">
        <is>
          <t>Resources/data</t>
        </is>
      </c>
      <c r="L1896" t="inlineStr">
        <is>
          <t>listed, no place</t>
        </is>
      </c>
      <c r="M1896" t="inlineStr">
        <is>
          <t>Gear item used to place your Glyph in missions.</t>
        </is>
      </c>
      <c r="N1896" t="inlineStr">
        <is>
          <t>https://wiki.warframe.com/w/Glyph#Glyph_Prism</t>
        </is>
      </c>
      <c r="O1896" t="inlineStr">
        <is>
          <t>Wiki Glyph Prism (usage). Separate purchase not listed on that section.</t>
        </is>
      </c>
    </row>
    <row r="1897">
      <c r="A1897" t="inlineStr">
        <is>
          <t>/Lotus/Types/Items/MiscItems/PhotoboothTileSyndicateSimarisDerelictHub</t>
        </is>
      </c>
      <c r="B1897" t="inlineStr">
        <is>
          <t>Orokin Derelict Plaza Scene</t>
        </is>
      </c>
      <c r="C1897" t="inlineStr">
        <is>
          <t>https://wiki.warframe.com/w/Captura | https://wiki.warframe.com/w/Cephalon_Simaris</t>
        </is>
      </c>
      <c r="D1897" t="inlineStr">
        <is>
          <t>ExportResources</t>
        </is>
      </c>
      <c r="F1897" t="inlineStr">
        <is>
          <t>Orokin Derelict Plaza Scene</t>
        </is>
      </c>
      <c r="H1897" t="inlineStr">
        <is>
          <t>Solved: current place verified and archived 2026-10-17.</t>
        </is>
      </c>
      <c r="I1897" t="inlineStr">
        <is>
          <t>Resources</t>
        </is>
      </c>
      <c r="M1897" t="inlineStr">
        <is>
          <t>Purchase from Arbiters of Hexis for 100,000 Standing (Maxim) after completing The Sacrifice.</t>
        </is>
      </c>
      <c r="N1897" t="inlineStr">
        <is>
          <t>https://wiki.warframe.com/w/Captura</t>
        </is>
      </c>
      <c r="O1897" t="inlineStr">
        <is>
          <t>Captura: Orokin Derelict Plaza Scene.</t>
        </is>
      </c>
    </row>
    <row r="1898">
      <c r="A1898" t="inlineStr">
        <is>
          <t>/Lotus/Types/Items/ShipDecos/Tennocon2018PlanterA</t>
        </is>
      </c>
      <c r="B1898" t="inlineStr">
        <is>
          <t>Unity</t>
        </is>
      </c>
      <c r="C1898" t="inlineStr">
        <is>
          <t>https://wiki.warframe.com/w/Focus/Vazarin | https://wiki.warframe.com/w/TennoCon/2021 | https://wiki.warframe.com/w/Anarchs | https://wiki.warframe.com/w/Rashasi_Polearm_Skin</t>
        </is>
      </c>
      <c r="D1898" t="inlineStr">
        <is>
          <t>ExportResources</t>
        </is>
      </c>
      <c r="F1898" t="inlineStr">
        <is>
          <t>Unity</t>
        </is>
      </c>
      <c r="H1898" t="inlineStr">
        <is>
          <t>Solved: current place verified and archived 2026-10-17.</t>
        </is>
      </c>
      <c r="I1898" t="inlineStr">
        <is>
          <t>Resources</t>
        </is>
      </c>
      <c r="M1898" t="inlineStr">
        <is>
          <t>In-game Market for 50 Platinum.</t>
        </is>
      </c>
      <c r="N1898" t="inlineStr">
        <is>
          <t>https://wiki.warframe.com/w/Decorations/Orbiter_Decorations</t>
        </is>
      </c>
      <c r="O1898" t="inlineStr">
        <is>
          <t>Orbiter Decorations: Unity at 50 Platinum.</t>
        </is>
      </c>
    </row>
    <row r="1899">
      <c r="A1899" t="inlineStr">
        <is>
          <t>/Lotus/Types/Items/ShipDecos/WolfBobbleHead</t>
        </is>
      </c>
      <c r="B1899" t="inlineStr">
        <is>
          <t>Noggle Statue - The Wolf</t>
        </is>
      </c>
      <c r="C1899" t="inlineStr">
        <is>
          <t>https://wiki.warframe.com/w/Update_38 | https://wiki.warframe.com/w/Nightwave/Patch_History</t>
        </is>
      </c>
      <c r="D1899" t="inlineStr">
        <is>
          <t>ExportResources</t>
        </is>
      </c>
      <c r="F1899" t="inlineStr">
        <is>
          <t>Noggle Statue - The Wolf</t>
        </is>
      </c>
      <c r="H1899" t="inlineStr">
        <is>
          <t>Solved: current place verified and archived 2026-10-17.</t>
        </is>
      </c>
      <c r="I1899" t="inlineStr">
        <is>
          <t>Resources</t>
        </is>
      </c>
      <c r="M1899" t="inlineStr">
        <is>
          <t>Nightwave Series 1 reward; also Nightwave Offerings for 40 Nora Creds.</t>
        </is>
      </c>
      <c r="N1899" t="inlineStr">
        <is>
          <t>https://wiki.warframe.com/w/Decorations/Orbiter_Decorations | https://wiki.warframe.com/w/Nightwave/Offerings</t>
        </is>
      </c>
      <c r="O1899" t="inlineStr">
        <is>
          <t>Orbiter Decorations Wolf of Saturn Six Noggle caption.</t>
        </is>
      </c>
    </row>
    <row r="1900">
      <c r="A1900" t="inlineStr">
        <is>
          <t>/Lotus/Powersuits/Archwing/StandardJetPack/FireShieldAugmentCard</t>
        </is>
      </c>
      <c r="B1900" t="inlineStr">
        <is>
          <t>Energy Field</t>
        </is>
      </c>
      <c r="C1900" t="inlineStr">
        <is>
          <t>https://wiki.warframe.com/w/Energy_Field</t>
        </is>
      </c>
      <c r="D1900" t="inlineStr">
        <is>
          <t>ExportUpgrades</t>
        </is>
      </c>
      <c r="G1900" t="inlineStr">
        <is>
          <t>Energy Field</t>
        </is>
      </c>
      <c r="H1900" t="inlineStr">
        <is>
          <t>Solved: current place verified and archived 2026-10-17.</t>
        </is>
      </c>
      <c r="I1900" t="inlineStr">
        <is>
          <t>Upgrades</t>
        </is>
      </c>
      <c r="J1900" t="inlineStr">
        <is>
          <t>Ability_data, Mods_data, Tooltips_data_Ability</t>
        </is>
      </c>
      <c r="K1900" t="inlineStr">
        <is>
          <t>Mods/data</t>
        </is>
      </c>
      <c r="L1900" t="inlineStr">
        <is>
          <t>listed, no place</t>
        </is>
      </c>
      <c r="M1900" t="inlineStr">
        <is>
          <t>Odonata augment mod — see Energy Field drop tables on the wiki.</t>
        </is>
      </c>
      <c r="N1900" t="inlineStr">
        <is>
          <t>https://wiki.warframe.com/w/Energy_Field</t>
        </is>
      </c>
      <c r="O1900" t="inlineStr">
        <is>
          <t>Wiki Energy Field.</t>
        </is>
      </c>
    </row>
    <row r="1901">
      <c r="A1901" t="inlineStr">
        <is>
          <t>/Lotus/Powersuits/Sandman/SandmanSwarmAugmentCard</t>
        </is>
      </c>
      <c r="B1901" t="inlineStr">
        <is>
          <t>Negation Armor</t>
        </is>
      </c>
      <c r="C1901" t="inlineStr">
        <is>
          <t>https://wiki.warframe.com/w/Negation_Armor</t>
        </is>
      </c>
      <c r="D1901" t="inlineStr">
        <is>
          <t>ExportUpgrades</t>
        </is>
      </c>
      <c r="H1901" t="inlineStr">
        <is>
          <t>Solved: current place verified and archived 2026-10-17.</t>
        </is>
      </c>
      <c r="I1901" t="inlineStr">
        <is>
          <t>Upgrades</t>
        </is>
      </c>
      <c r="J1901" t="inlineStr">
        <is>
          <t>Sold by Arbiters of Hexis (25,000 Standing) | Sold by The Perrin Sequence (25,000 Standing)</t>
        </is>
      </c>
      <c r="K1901" t="inlineStr">
        <is>
          <t>Vendors/data</t>
        </is>
      </c>
      <c r="L1901" t="inlineStr">
        <is>
          <t>name</t>
        </is>
      </c>
      <c r="M1901" t="inlineStr">
        <is>
          <t>Buy from Arbiters of Hexis (Maxim) or The Perrin Sequence (Partner) for 25,000 Standing; also from The Circuit.</t>
        </is>
      </c>
      <c r="N1901" t="inlineStr">
        <is>
          <t>https://wiki.warframe.com/w/Negation_Armor</t>
        </is>
      </c>
      <c r="O1901" t="inlineStr">
        <is>
          <t>Wiki Negation Armor.</t>
        </is>
      </c>
    </row>
    <row r="1902">
      <c r="A1902" t="inlineStr">
        <is>
          <t>/Lotus/Upgrades/Mods/Warframe/Expert/AvatarSprintSpeedModExpert</t>
        </is>
      </c>
      <c r="B1902" t="inlineStr">
        <is>
          <t>Rush</t>
        </is>
      </c>
      <c r="C1902" t="inlineStr">
        <is>
          <t>https://wiki.warframe.com/w/Rush</t>
        </is>
      </c>
      <c r="D1902" t="inlineStr">
        <is>
          <t>ExportUpgrades</t>
        </is>
      </c>
      <c r="H1902" t="inlineStr">
        <is>
          <t>Solved: current place verified and archived 2026-10-17.</t>
        </is>
      </c>
      <c r="I1902" t="inlineStr">
        <is>
          <t>Upgrades</t>
        </is>
      </c>
      <c r="J1902" t="inlineStr">
        <is>
          <t>Dropped by Vapos Fusion MOA (5.53%) | Dropped by Fusion MOA (5.53%) | Found in Void Treasure Room Storage Container (0.4252%) | Tier 1 Interception reward, rotation B (5.56%) | Dark Sector Defense reward, rotation A (7.37%) | Tier 2 Spy reward, rotation B (5.56%) | Tier 1 The Circuit (Normal) reward, rotation A (0.67%) | Tier 3 The Circuit (Normal) reward, rotation A (0.67%) | Capture reward, rotation A (11.06%)</t>
        </is>
      </c>
      <c r="K1902" t="inlineStr">
        <is>
          <t>DropTables/data</t>
        </is>
      </c>
      <c r="L1902" t="inlineStr">
        <is>
          <t>name</t>
        </is>
      </c>
      <c r="M1902" t="inlineStr">
        <is>
          <t>Exilus mod — see Rush drop tables on the wiki.</t>
        </is>
      </c>
      <c r="N1902" t="inlineStr">
        <is>
          <t>https://wiki.warframe.com/w/Rush</t>
        </is>
      </c>
      <c r="O1902" t="inlineStr">
        <is>
          <t>Wiki Rush.</t>
        </is>
      </c>
    </row>
    <row r="1903">
      <c r="A1903" t="inlineStr">
        <is>
          <t>/Lotus/Powersuits/Ninja/TeleportToAugmentCard</t>
        </is>
      </c>
      <c r="B1903" t="inlineStr">
        <is>
          <t>Teleport Rush</t>
        </is>
      </c>
      <c r="C1903" t="inlineStr">
        <is>
          <t>https://wiki.warframe.com/w/Teleport_Rush</t>
        </is>
      </c>
      <c r="D1903" t="inlineStr">
        <is>
          <t>ExportUpgrades</t>
        </is>
      </c>
      <c r="H1903" t="inlineStr">
        <is>
          <t>Solved: current place verified and archived 2026-10-17.</t>
        </is>
      </c>
      <c r="I1903" t="inlineStr">
        <is>
          <t>Upgrades</t>
        </is>
      </c>
      <c r="J1903" t="inlineStr">
        <is>
          <t>Sold by Arbiters of Hexis (25,000 Standing) | Sold by Red Veil (25,000 Standing)</t>
        </is>
      </c>
      <c r="K1903" t="inlineStr">
        <is>
          <t>Vendors/data</t>
        </is>
      </c>
      <c r="L1903" t="inlineStr">
        <is>
          <t>name</t>
        </is>
      </c>
      <c r="M1903" t="inlineStr">
        <is>
          <t>Buy from Arbiters of Hexis (Maxim) or Red Veil (Exalted) for 25,000 Standing.</t>
        </is>
      </c>
      <c r="N1903" t="inlineStr">
        <is>
          <t>https://wiki.warframe.com/w/Teleport_Rush</t>
        </is>
      </c>
      <c r="O1903" t="inlineStr">
        <is>
          <t>Wiki Teleport Rush.</t>
        </is>
      </c>
    </row>
    <row r="1904">
      <c r="A1904" t="inlineStr">
        <is>
          <t>/Lotus/Powersuits/Pirate/CannonBarrageAugmentCard</t>
        </is>
      </c>
      <c r="B1904" t="inlineStr">
        <is>
          <t>Viral Tempest</t>
        </is>
      </c>
      <c r="C1904" t="inlineStr">
        <is>
          <t>https://wiki.warframe.com/w/Viral_Tempest</t>
        </is>
      </c>
      <c r="D1904" t="inlineStr">
        <is>
          <t>ExportUpgrades</t>
        </is>
      </c>
      <c r="H1904" t="inlineStr">
        <is>
          <t>Solved: current place verified and archived 2026-10-17.</t>
        </is>
      </c>
      <c r="I1904" t="inlineStr">
        <is>
          <t>Upgrades</t>
        </is>
      </c>
      <c r="J1904" t="inlineStr">
        <is>
          <t>Sold by Cephalon Suda (25,000 Standing) | Sold by New Loka (25,000 Standing)</t>
        </is>
      </c>
      <c r="K1904" t="inlineStr">
        <is>
          <t>Vendors/data</t>
        </is>
      </c>
      <c r="L1904" t="inlineStr">
        <is>
          <t>name</t>
        </is>
      </c>
      <c r="M1904" t="inlineStr">
        <is>
          <t>Buy from Cephalon Suda (Genius) or New Loka (Flawless) for 25,000 Standing; also from The Circuit.</t>
        </is>
      </c>
      <c r="N1904" t="inlineStr">
        <is>
          <t>https://wiki.warframe.com/w/Viral_Tempest</t>
        </is>
      </c>
      <c r="O1904" t="inlineStr">
        <is>
          <t>Wiki Viral Tempest.</t>
        </is>
      </c>
    </row>
    <row r="1905">
      <c r="A1905" t="inlineStr">
        <is>
          <t>/Lotus/Types/Items/ShipDecos/TNWKahlBobbleHead</t>
        </is>
      </c>
      <c r="B1905" t="inlineStr">
        <is>
          <t>Noggle Statue - Kahl-175</t>
        </is>
      </c>
      <c r="C1905" t="inlineStr">
        <is>
          <t>https://wiki.warframe.com/w/Update_32</t>
        </is>
      </c>
      <c r="D1905" t="inlineStr">
        <is>
          <t>ExportResources</t>
        </is>
      </c>
      <c r="F1905" t="inlineStr">
        <is>
          <t>Noggle Statue - Kahl-175</t>
        </is>
      </c>
      <c r="H1905" t="inlineStr">
        <is>
          <t>Solved: current place verified and archived 2026-10-17.</t>
        </is>
      </c>
      <c r="I1905" t="inlineStr">
        <is>
          <t>Resources</t>
        </is>
      </c>
      <c r="M1905" t="inlineStr">
        <is>
          <t>In-game Market for 35 Platinum.</t>
        </is>
      </c>
      <c r="N1905" t="inlineStr">
        <is>
          <t>https://wiki.warframe.com/w/Decorations/Orbiter_Decorations</t>
        </is>
      </c>
      <c r="O1905" t="inlineStr">
        <is>
          <t>Orbiter Decorations lists Kahl-175 Noggle; packages MarketMode MM_VISIBLE / 35p.</t>
        </is>
      </c>
    </row>
    <row r="1906">
      <c r="A1906" t="inlineStr">
        <is>
          <t>/Lotus/Types/Items/ShipDecos/Venus/VentKidPosterH</t>
        </is>
      </c>
      <c r="B1906" t="inlineStr">
        <is>
          <t>Cicero Poster</t>
        </is>
      </c>
      <c r="C1906" t="inlineStr">
        <is>
          <t>In-game Market as part of the Pobbers Series 2 K-Drive Scrawl Bundle (125 Platinum).</t>
        </is>
      </c>
      <c r="D1906" t="inlineStr">
        <is>
          <t>ExportResources</t>
        </is>
      </c>
      <c r="F1906" t="inlineStr">
        <is>
          <t>Cicero Poster</t>
        </is>
      </c>
      <c r="H1906" t="inlineStr">
        <is>
          <t>Has a game name, but we never matched it to a wiki page.</t>
        </is>
      </c>
      <c r="I1906" t="inlineStr">
        <is>
          <t>Resources</t>
        </is>
      </c>
      <c r="O1906" t="inlineStr">
        <is>
          <t>No wiki page uses this exact name.</t>
        </is>
      </c>
    </row>
    <row r="1907">
      <c r="A1907" t="inlineStr">
        <is>
          <t>/Lotus/Types/Items/ShipDecos/Venus/VentKidPosterD</t>
        </is>
      </c>
      <c r="B1907" t="inlineStr">
        <is>
          <t>Error! Poster</t>
        </is>
      </c>
      <c r="C1907" t="inlineStr">
        <is>
          <t>In-game Market as part of the Pobbers Series 1 K-Drive Scrawl Bundle (125 Platinum).</t>
        </is>
      </c>
      <c r="D1907" t="inlineStr">
        <is>
          <t>ExportResources</t>
        </is>
      </c>
      <c r="F1907" t="inlineStr">
        <is>
          <t>Error! Poster</t>
        </is>
      </c>
      <c r="H1907" t="inlineStr">
        <is>
          <t>Has a game name, but we never matched it to a wiki page.</t>
        </is>
      </c>
      <c r="I1907" t="inlineStr">
        <is>
          <t>Resources</t>
        </is>
      </c>
      <c r="O1907" t="inlineStr">
        <is>
          <t>No wiki page uses this exact name.</t>
        </is>
      </c>
    </row>
    <row r="1908">
      <c r="A1908" t="inlineStr">
        <is>
          <t>/Lotus/Types/Items/ShipDecos/Venus/VentKidPosterF</t>
        </is>
      </c>
      <c r="B1908" t="inlineStr">
        <is>
          <t>Justice Poster</t>
        </is>
      </c>
      <c r="C1908" t="inlineStr">
        <is>
          <t>In-game Market as part of the Pobbers Series 2 K-Drive Scrawl Bundle (125 Platinum).</t>
        </is>
      </c>
      <c r="D1908" t="inlineStr">
        <is>
          <t>ExportResources</t>
        </is>
      </c>
      <c r="F1908" t="inlineStr">
        <is>
          <t>Justice Poster</t>
        </is>
      </c>
      <c r="H1908" t="inlineStr">
        <is>
          <t>Has a game name, but we never matched it to a wiki page.</t>
        </is>
      </c>
      <c r="I1908" t="inlineStr">
        <is>
          <t>Resources</t>
        </is>
      </c>
      <c r="O1908" t="inlineStr">
        <is>
          <t>No wiki page uses this exact name.</t>
        </is>
      </c>
    </row>
    <row r="1909">
      <c r="A1909" t="inlineStr">
        <is>
          <t>/Lotus/Types/Items/ShipDecos/Venus/VentKidPosterE</t>
        </is>
      </c>
      <c r="B1909" t="inlineStr">
        <is>
          <t>Kill Poster</t>
        </is>
      </c>
      <c r="C1909" t="inlineStr">
        <is>
          <t>In-game Market as part of the Pobbers Series 2 K-Drive Scrawl Bundle (125 Platinum).</t>
        </is>
      </c>
      <c r="D1909" t="inlineStr">
        <is>
          <t>ExportResources</t>
        </is>
      </c>
      <c r="F1909" t="inlineStr">
        <is>
          <t>Kill Poster</t>
        </is>
      </c>
      <c r="H1909" t="inlineStr">
        <is>
          <t>Has a game name, but we never matched it to a wiki page.</t>
        </is>
      </c>
      <c r="I1909" t="inlineStr">
        <is>
          <t>Resources</t>
        </is>
      </c>
      <c r="O1909" t="inlineStr">
        <is>
          <t>No wiki page uses this exact name.</t>
        </is>
      </c>
    </row>
    <row r="1910">
      <c r="A1910" t="inlineStr">
        <is>
          <t>/Lotus/Types/Items/ShipDecos/Venus/VentKidPosterA</t>
        </is>
      </c>
      <c r="B1910" t="inlineStr">
        <is>
          <t>Let's Go Poster</t>
        </is>
      </c>
      <c r="C1910" t="inlineStr">
        <is>
          <t>In-game Market as part of the Pobbers Series 1 K-Drive Scrawl Bundle (125 Platinum).</t>
        </is>
      </c>
      <c r="D1910" t="inlineStr">
        <is>
          <t>ExportResources</t>
        </is>
      </c>
      <c r="F1910" t="inlineStr">
        <is>
          <t>Let's Go Poster</t>
        </is>
      </c>
      <c r="H1910" t="inlineStr">
        <is>
          <t>Has a game name, but we never matched it to a wiki page.</t>
        </is>
      </c>
      <c r="I1910" t="inlineStr">
        <is>
          <t>Resources</t>
        </is>
      </c>
      <c r="O1910" t="inlineStr">
        <is>
          <t>No wiki page uses this exact name.</t>
        </is>
      </c>
    </row>
    <row r="1911">
      <c r="A1911" t="inlineStr">
        <is>
          <t>/Lotus/Types/Items/ShipDecos/Venus/VentKidPosterC</t>
        </is>
      </c>
      <c r="B1911" t="inlineStr">
        <is>
          <t>Silence! Poster</t>
        </is>
      </c>
      <c r="C1911" t="inlineStr">
        <is>
          <t>In-game Market as part of the Pobbers Series 1 K-Drive Scrawl Bundle (125 Platinum).</t>
        </is>
      </c>
      <c r="D1911" t="inlineStr">
        <is>
          <t>ExportResources</t>
        </is>
      </c>
      <c r="F1911" t="inlineStr">
        <is>
          <t>Silence! Poster</t>
        </is>
      </c>
      <c r="H1911" t="inlineStr">
        <is>
          <t>Has a game name, but we never matched it to a wiki page.</t>
        </is>
      </c>
      <c r="I1911" t="inlineStr">
        <is>
          <t>Resources</t>
        </is>
      </c>
      <c r="O1911" t="inlineStr">
        <is>
          <t>No wiki page uses this exact name.</t>
        </is>
      </c>
    </row>
    <row r="1912">
      <c r="A1912" t="inlineStr">
        <is>
          <t>/Lotus/Types/Items/ShipDecos/Venus/VentKidPosterG</t>
        </is>
      </c>
      <c r="B1912" t="inlineStr">
        <is>
          <t>Worm! Poster</t>
        </is>
      </c>
      <c r="C1912" t="inlineStr">
        <is>
          <t>In-game Market as part of the Pobbers Series 2 K-Drive Scrawl Bundle (125 Platinum).</t>
        </is>
      </c>
      <c r="D1912" t="inlineStr">
        <is>
          <t>ExportResources</t>
        </is>
      </c>
      <c r="F1912" t="inlineStr">
        <is>
          <t>Worm! Poster</t>
        </is>
      </c>
      <c r="H1912" t="inlineStr">
        <is>
          <t>Has a game name, but we never matched it to a wiki page.</t>
        </is>
      </c>
      <c r="I1912" t="inlineStr">
        <is>
          <t>Resources</t>
        </is>
      </c>
      <c r="O1912" t="inlineStr">
        <is>
          <t>No wiki page uses this exact name.</t>
        </is>
      </c>
    </row>
    <row r="1913">
      <c r="A1913" t="inlineStr">
        <is>
          <t>/Lotus/Types/Items/ShipDecos/Venus/VentKidPosterB</t>
        </is>
      </c>
      <c r="B1913" t="inlineStr">
        <is>
          <t>Zanuka?! Poster</t>
        </is>
      </c>
      <c r="C1913" t="inlineStr">
        <is>
          <t>In-game Market as part of the Pobbers Series 1 K-Drive Scrawl Bundle (125 Platinum).</t>
        </is>
      </c>
      <c r="D1913" t="inlineStr">
        <is>
          <t>ExportResources</t>
        </is>
      </c>
      <c r="F1913" t="inlineStr">
        <is>
          <t>Zanuka?! Poster</t>
        </is>
      </c>
      <c r="H1913" t="inlineStr">
        <is>
          <t>Has a game name, but we never matched it to a wiki page.</t>
        </is>
      </c>
      <c r="I1913" t="inlineStr">
        <is>
          <t>Resources</t>
        </is>
      </c>
      <c r="O1913" t="inlineStr">
        <is>
          <t>No wiki page uses this exact name.</t>
        </is>
      </c>
    </row>
    <row r="1914">
      <c r="A1914" t="inlineStr">
        <is>
          <t>/Lotus/Types/Items/ShipDecos/Venus/VentKidPosterL</t>
        </is>
      </c>
      <c r="B1914" t="inlineStr">
        <is>
          <t>Destroy All! Poster</t>
        </is>
      </c>
      <c r="C1914" t="inlineStr">
        <is>
          <t>In-game Market as part of the Kubrodon Series 1 K-Drive Scrawl Bundle (125 Platinum).</t>
        </is>
      </c>
      <c r="D1914" t="inlineStr">
        <is>
          <t>ExportResources</t>
        </is>
      </c>
      <c r="F1914" t="inlineStr">
        <is>
          <t>Destroy All! Poster</t>
        </is>
      </c>
      <c r="H1914" t="inlineStr">
        <is>
          <t>Has a game name, but we never matched it to a wiki page.</t>
        </is>
      </c>
      <c r="I1914" t="inlineStr">
        <is>
          <t>Resources</t>
        </is>
      </c>
      <c r="O1914" t="inlineStr">
        <is>
          <t>No wiki page uses this exact name.</t>
        </is>
      </c>
    </row>
    <row r="1915">
      <c r="A1915" t="inlineStr">
        <is>
          <t>/Lotus/Types/Items/ShipDecos/Venus/VentKidPosterM</t>
        </is>
      </c>
      <c r="B1915" t="inlineStr">
        <is>
          <t>Exterminate Poster</t>
        </is>
      </c>
      <c r="C1915" t="inlineStr">
        <is>
          <t>In-game Market as part of the Kubrodon Series 2 K-Drive Scrawl Bundle (125 Platinum).</t>
        </is>
      </c>
      <c r="D1915" t="inlineStr">
        <is>
          <t>ExportResources</t>
        </is>
      </c>
      <c r="F1915" t="inlineStr">
        <is>
          <t>Exterminate Poster</t>
        </is>
      </c>
      <c r="H1915" t="inlineStr">
        <is>
          <t>Has a game name, but we never matched it to a wiki page.</t>
        </is>
      </c>
      <c r="I1915" t="inlineStr">
        <is>
          <t>Resources</t>
        </is>
      </c>
      <c r="O1915" t="inlineStr">
        <is>
          <t>No wiki page uses this exact name.</t>
        </is>
      </c>
    </row>
    <row r="1916">
      <c r="A1916" t="inlineStr">
        <is>
          <t>/Lotus/Types/Items/ShipDecos/Venus/VentKidPosterK</t>
        </is>
      </c>
      <c r="B1916" t="inlineStr">
        <is>
          <t>Get Rekt Poster</t>
        </is>
      </c>
      <c r="C1916" t="inlineStr">
        <is>
          <t>In-game Market as part of the Kubrodon Series 1 K-Drive Scrawl Bundle (125 Platinum).</t>
        </is>
      </c>
      <c r="D1916" t="inlineStr">
        <is>
          <t>ExportResources</t>
        </is>
      </c>
      <c r="F1916" t="inlineStr">
        <is>
          <t>Get Rekt Poster</t>
        </is>
      </c>
      <c r="H1916" t="inlineStr">
        <is>
          <t>Has a game name, but we never matched it to a wiki page.</t>
        </is>
      </c>
      <c r="I1916" t="inlineStr">
        <is>
          <t>Resources</t>
        </is>
      </c>
      <c r="O1916" t="inlineStr">
        <is>
          <t>No wiki page uses this exact name.</t>
        </is>
      </c>
    </row>
    <row r="1917">
      <c r="A1917" t="inlineStr">
        <is>
          <t>/Lotus/Types/Items/ShipDecos/Venus/VentKidPosterJ</t>
        </is>
      </c>
      <c r="B1917" t="inlineStr">
        <is>
          <t>Get Them! Poster</t>
        </is>
      </c>
      <c r="C1917" t="inlineStr">
        <is>
          <t>In-game Market as part of the Kubrodon Series 1 K-Drive Scrawl Bundle (125 Platinum).</t>
        </is>
      </c>
      <c r="D1917" t="inlineStr">
        <is>
          <t>ExportResources</t>
        </is>
      </c>
      <c r="F1917" t="inlineStr">
        <is>
          <t>Get Them! Poster</t>
        </is>
      </c>
      <c r="H1917" t="inlineStr">
        <is>
          <t>Has a game name, but we never matched it to a wiki page.</t>
        </is>
      </c>
      <c r="I1917" t="inlineStr">
        <is>
          <t>Resources</t>
        </is>
      </c>
      <c r="O1917" t="inlineStr">
        <is>
          <t>No wiki page uses this exact name.</t>
        </is>
      </c>
    </row>
    <row r="1918">
      <c r="A1918" t="inlineStr">
        <is>
          <t>/Lotus/Types/Items/ShipDecos/Venus/VentKidPosterI</t>
        </is>
      </c>
      <c r="B1918" t="inlineStr">
        <is>
          <t>Kill It! Poster</t>
        </is>
      </c>
      <c r="C1918" t="inlineStr">
        <is>
          <t>In-game Market as part of the Kubrodon Series 1 K-Drive Scrawl Bundle (125 Platinum).</t>
        </is>
      </c>
      <c r="D1918" t="inlineStr">
        <is>
          <t>ExportResources</t>
        </is>
      </c>
      <c r="F1918" t="inlineStr">
        <is>
          <t>Kill It! Poster</t>
        </is>
      </c>
      <c r="H1918" t="inlineStr">
        <is>
          <t>Has a game name, but we never matched it to a wiki page.</t>
        </is>
      </c>
      <c r="I1918" t="inlineStr">
        <is>
          <t>Resources</t>
        </is>
      </c>
      <c r="O1918" t="inlineStr">
        <is>
          <t>No wiki page uses this exact name.</t>
        </is>
      </c>
    </row>
    <row r="1919">
      <c r="A1919" t="inlineStr">
        <is>
          <t>/Lotus/Types/Items/ShipDecos/Venus/VentKidPosterO</t>
        </is>
      </c>
      <c r="B1919" t="inlineStr">
        <is>
          <t>Slippery Poster</t>
        </is>
      </c>
      <c r="C1919" t="inlineStr">
        <is>
          <t>In-game Market as part of the Kubrodon Series 2 K-Drive Scrawl Bundle (125 Platinum).</t>
        </is>
      </c>
      <c r="D1919" t="inlineStr">
        <is>
          <t>ExportResources</t>
        </is>
      </c>
      <c r="F1919" t="inlineStr">
        <is>
          <t>Slippery Poster</t>
        </is>
      </c>
      <c r="H1919" t="inlineStr">
        <is>
          <t>Has a game name, but we never matched it to a wiki page.</t>
        </is>
      </c>
      <c r="I1919" t="inlineStr">
        <is>
          <t>Resources</t>
        </is>
      </c>
      <c r="O1919" t="inlineStr">
        <is>
          <t>No wiki page uses this exact name.</t>
        </is>
      </c>
    </row>
    <row r="1920">
      <c r="A1920" t="inlineStr">
        <is>
          <t>/Lotus/Types/Items/ShipDecos/Venus/VentKidPosterP</t>
        </is>
      </c>
      <c r="B1920" t="inlineStr">
        <is>
          <t>Sssick!!!! Poster</t>
        </is>
      </c>
      <c r="C1920" t="inlineStr">
        <is>
          <t>In-game Market as part of the Kubrodon Series 2 K-Drive Scrawl Bundle (125 Platinum).</t>
        </is>
      </c>
      <c r="D1920" t="inlineStr">
        <is>
          <t>ExportResources</t>
        </is>
      </c>
      <c r="F1920" t="inlineStr">
        <is>
          <t>Sssick!!!! Poster</t>
        </is>
      </c>
      <c r="H1920" t="inlineStr">
        <is>
          <t>Has a game name, but we never matched it to a wiki page.</t>
        </is>
      </c>
      <c r="I1920" t="inlineStr">
        <is>
          <t>Resources</t>
        </is>
      </c>
      <c r="O1920" t="inlineStr">
        <is>
          <t>No wiki page uses this exact name.</t>
        </is>
      </c>
    </row>
    <row r="1921">
      <c r="A1921" t="inlineStr">
        <is>
          <t>/Lotus/Types/Items/ShipDecos/Venus/VentKidPosterN</t>
        </is>
      </c>
      <c r="B1921" t="inlineStr">
        <is>
          <t>What The...? Poster</t>
        </is>
      </c>
      <c r="C1921" t="inlineStr">
        <is>
          <t>In-game Market as part of the Kubrodon Series 2 K-Drive Scrawl Bundle (125 Platinum).</t>
        </is>
      </c>
      <c r="D1921" t="inlineStr">
        <is>
          <t>ExportResources</t>
        </is>
      </c>
      <c r="F1921" t="inlineStr">
        <is>
          <t>What The...? Poster</t>
        </is>
      </c>
      <c r="H1921" t="inlineStr">
        <is>
          <t>Has a game name, but we never matched it to a wiki page.</t>
        </is>
      </c>
      <c r="I1921" t="inlineStr">
        <is>
          <t>Resources</t>
        </is>
      </c>
      <c r="O1921" t="inlineStr">
        <is>
          <t>No wiki page uses this exact name.</t>
        </is>
      </c>
    </row>
    <row r="1922">
      <c r="A1922" t="inlineStr">
        <is>
          <t>/Lotus/Types/Items/ShipDecos/StickerPictureFrameChromatic</t>
        </is>
      </c>
      <c r="B1922" t="inlineStr">
        <is>
          <t>Display - Chromatic Peely Pix</t>
        </is>
      </c>
      <c r="C1922" t="inlineStr">
        <is>
          <t>In-game Market for 15 Platinum (Customisable Display).</t>
        </is>
      </c>
      <c r="D1922" t="inlineStr">
        <is>
          <t>ExportResources</t>
        </is>
      </c>
      <c r="F1922" t="inlineStr">
        <is>
          <t>Display - Chromatic Peely Pix</t>
        </is>
      </c>
      <c r="H1922" t="inlineStr">
        <is>
          <t>Has a game name, but we never matched it to a wiki page.</t>
        </is>
      </c>
      <c r="I1922" t="inlineStr">
        <is>
          <t>Resources</t>
        </is>
      </c>
      <c r="O1922" t="inlineStr">
        <is>
          <t>No wiki page uses this exact name.</t>
        </is>
      </c>
    </row>
    <row r="1923">
      <c r="A1923" t="inlineStr">
        <is>
          <t>/Lotus/Types/Items/ShipDecos/StickerPictureFrameSparkly</t>
        </is>
      </c>
      <c r="B1923" t="inlineStr">
        <is>
          <t>Display - Sparkly Peely Pix</t>
        </is>
      </c>
      <c r="C1923" t="inlineStr">
        <is>
          <t>In-game Market for 15 Platinum (Customisable Display).</t>
        </is>
      </c>
      <c r="D1923" t="inlineStr">
        <is>
          <t>ExportResources</t>
        </is>
      </c>
      <c r="F1923" t="inlineStr">
        <is>
          <t>Display - Sparkly Peely Pix</t>
        </is>
      </c>
      <c r="H1923" t="inlineStr">
        <is>
          <t>Has a game name, but we never matched it to a wiki page.</t>
        </is>
      </c>
      <c r="I1923" t="inlineStr">
        <is>
          <t>Resources</t>
        </is>
      </c>
      <c r="O1923" t="inlineStr">
        <is>
          <t>No wiki page uses this exact name.</t>
        </is>
      </c>
    </row>
    <row r="1924">
      <c r="A1924" t="inlineStr">
        <is>
          <t>/Lotus/Types/Items/ShipDecos/DominusThraxStatueDeco</t>
        </is>
      </c>
      <c r="B1924" t="inlineStr">
        <is>
          <t>Long Live the King</t>
        </is>
      </c>
      <c r="C1924" t="inlineStr">
        <is>
          <t>Reward for solving the Duviri easter-egg puzzle on warframe.com/the-duviri-paradox (click the hidden coin-like elements on the page); delivered to the in-game Inbox as "Long Live The King".</t>
        </is>
      </c>
      <c r="D1924" t="inlineStr">
        <is>
          <t>ExportResources</t>
        </is>
      </c>
      <c r="F1924" t="inlineStr">
        <is>
          <t>Long Live the King</t>
        </is>
      </c>
      <c r="H1924" t="inlineStr">
        <is>
          <t>Has a game name, but we never matched it to a wiki page.</t>
        </is>
      </c>
      <c r="I1924" t="inlineStr">
        <is>
          <t>Resources</t>
        </is>
      </c>
      <c r="M1924" t="inlineStr">
        <is>
          <t>User linked Otak/Cambion quotes — Dominus Thrax statue acquisition not confirmed. Needs more research.</t>
        </is>
      </c>
      <c r="N1924" t="inlineStr">
        <is>
          <t>Otak/Quotes | Cambion Drift/Quotes</t>
        </is>
      </c>
      <c r="O1924" t="inlineStr">
        <is>
          <t>User research reviewed; not solid enough to archive yet.</t>
        </is>
      </c>
    </row>
    <row r="1925">
      <c r="A1925" t="inlineStr">
        <is>
          <t>/Lotus/Types/Items/ShipDecos/MagnoliaTree</t>
        </is>
      </c>
      <c r="B1925" t="inlineStr">
        <is>
          <t>Miniature Magnolia Tree</t>
        </is>
      </c>
      <c r="C1925" t="inlineStr">
        <is>
          <t>In-game Market for 20 Platinum.</t>
        </is>
      </c>
      <c r="D1925" t="inlineStr">
        <is>
          <t>ExportResources</t>
        </is>
      </c>
      <c r="F1925" t="inlineStr">
        <is>
          <t>Miniature Magnolia Tree</t>
        </is>
      </c>
      <c r="H1925" t="inlineStr">
        <is>
          <t>Has a game name, but we never matched it to a wiki page.</t>
        </is>
      </c>
      <c r="I1925" t="inlineStr">
        <is>
          <t>Resources</t>
        </is>
      </c>
      <c r="O1925" t="inlineStr">
        <is>
          <t>No wiki page uses this exact name.</t>
        </is>
      </c>
    </row>
    <row r="1926">
      <c r="A1926" t="inlineStr">
        <is>
          <t>/Lotus/Types/Items/ShipDecos/ConclaveOroMoonOrnament</t>
        </is>
      </c>
      <c r="B1926" t="inlineStr">
        <is>
          <t>Moon Oro Ornament</t>
        </is>
      </c>
      <c r="C1926" t="inlineStr">
        <is>
          <t>Conclave (PvP) reward.</t>
        </is>
      </c>
      <c r="D1926" t="inlineStr">
        <is>
          <t>ExportResources</t>
        </is>
      </c>
      <c r="F1926" t="inlineStr">
        <is>
          <t>Moon Oro Ornament</t>
        </is>
      </c>
      <c r="H1926" t="inlineStr">
        <is>
          <t>Has a game name, but we never matched it to a wiki page.</t>
        </is>
      </c>
      <c r="I1926" t="inlineStr">
        <is>
          <t>Resources</t>
        </is>
      </c>
      <c r="O1926" t="inlineStr">
        <is>
          <t>No wiki page uses this exact name.</t>
        </is>
      </c>
    </row>
    <row r="1927">
      <c r="A1927" t="inlineStr">
        <is>
          <t>/Lotus/Types/Items/ShipDecos/SentientWarriorBobbleHead</t>
        </is>
      </c>
      <c r="B1927" t="inlineStr">
        <is>
          <t>Noggle Statue - Battalyst</t>
        </is>
      </c>
      <c r="C1927" t="inlineStr">
        <is>
          <t>In-game Market for 35 Platinum.</t>
        </is>
      </c>
      <c r="D1927" t="inlineStr">
        <is>
          <t>ExportResources</t>
        </is>
      </c>
      <c r="F1927" t="inlineStr">
        <is>
          <t>Noggle Statue - Battalyst</t>
        </is>
      </c>
      <c r="H1927" t="inlineStr">
        <is>
          <t>Has a game name, but we never matched it to a wiki page.</t>
        </is>
      </c>
      <c r="I1927" t="inlineStr">
        <is>
          <t>Resources</t>
        </is>
      </c>
      <c r="O1927" t="inlineStr">
        <is>
          <t>No wiki page uses this exact name.</t>
        </is>
      </c>
    </row>
    <row r="1928">
      <c r="A1928" t="inlineStr">
        <is>
          <t>/Lotus/Types/Items/ShipDecos/SentientMeleeWarriorBobbleHead</t>
        </is>
      </c>
      <c r="B1928" t="inlineStr">
        <is>
          <t>Noggle Statue - Conculyst</t>
        </is>
      </c>
      <c r="C1928" t="inlineStr">
        <is>
          <t>In-game Market for 35 Platinum.</t>
        </is>
      </c>
      <c r="D1928" t="inlineStr">
        <is>
          <t>ExportResources</t>
        </is>
      </c>
      <c r="F1928" t="inlineStr">
        <is>
          <t>Noggle Statue - Conculyst</t>
        </is>
      </c>
      <c r="H1928" t="inlineStr">
        <is>
          <t>Has a game name, but we never matched it to a wiki page.</t>
        </is>
      </c>
      <c r="I1928" t="inlineStr">
        <is>
          <t>Resources</t>
        </is>
      </c>
      <c r="O1928" t="inlineStr">
        <is>
          <t>No wiki page uses this exact name.</t>
        </is>
      </c>
    </row>
    <row r="1929">
      <c r="A1929" t="inlineStr">
        <is>
          <t>/Lotus/Types/Items/ShipDecos/GrineerMarineAltArcticBobbleHead</t>
        </is>
      </c>
      <c r="B1929" t="inlineStr">
        <is>
          <t>Noggle Statue - Elite Lancer</t>
        </is>
      </c>
      <c r="C1929" t="inlineStr">
        <is>
          <t>In-game Market for 35 Platinum.</t>
        </is>
      </c>
      <c r="D1929" t="inlineStr">
        <is>
          <t>ExportResources</t>
        </is>
      </c>
      <c r="F1929" t="inlineStr">
        <is>
          <t>Noggle Statue - Elite Lancer</t>
        </is>
      </c>
      <c r="H1929" t="inlineStr">
        <is>
          <t>Has a game name, but we never matched it to a wiki page.</t>
        </is>
      </c>
      <c r="I1929" t="inlineStr">
        <is>
          <t>Resources</t>
        </is>
      </c>
      <c r="O1929" t="inlineStr">
        <is>
          <t>No wiki page uses this exact name.</t>
        </is>
      </c>
    </row>
    <row r="1930">
      <c r="A1930" t="inlineStr">
        <is>
          <t>/Lotus/Types/Items/ShipDecos/LokiVervBobbleHead</t>
        </is>
      </c>
      <c r="B1930" t="inlineStr">
        <is>
          <t>Noggle Statue - Loki Verv</t>
        </is>
      </c>
      <c r="C1930" t="inlineStr">
        <is>
          <t>In-game Market for 35 Platinum.</t>
        </is>
      </c>
      <c r="D1930" t="inlineStr">
        <is>
          <t>ExportResources</t>
        </is>
      </c>
      <c r="F1930" t="inlineStr">
        <is>
          <t>Noggle Statue - Loki Verv</t>
        </is>
      </c>
      <c r="H1930" t="inlineStr">
        <is>
          <t>Has a game name, but we never matched it to a wiki page.</t>
        </is>
      </c>
      <c r="I1930" t="inlineStr">
        <is>
          <t>Resources</t>
        </is>
      </c>
      <c r="O1930" t="inlineStr">
        <is>
          <t>No wiki page uses this exact name.</t>
        </is>
      </c>
    </row>
    <row r="1931">
      <c r="A1931" t="inlineStr">
        <is>
          <t>/Lotus/Types/Items/ShipDecos/MirageTennobaumBobbleHead</t>
        </is>
      </c>
      <c r="B1931" t="inlineStr">
        <is>
          <t>Noggle Statue - Tennobaum Mirage</t>
        </is>
      </c>
      <c r="C1931" t="inlineStr">
        <is>
          <t>In-game Market for 35 Platinum.</t>
        </is>
      </c>
      <c r="D1931" t="inlineStr">
        <is>
          <t>ExportResources</t>
        </is>
      </c>
      <c r="F1931" t="inlineStr">
        <is>
          <t>Noggle Statue - Tennobaum Mirage</t>
        </is>
      </c>
      <c r="H1931" t="inlineStr">
        <is>
          <t>Has a game name, but we never matched it to a wiki page.</t>
        </is>
      </c>
      <c r="I1931" t="inlineStr">
        <is>
          <t>Resources</t>
        </is>
      </c>
      <c r="O1931" t="inlineStr">
        <is>
          <t>No wiki page uses this exact name.</t>
        </is>
      </c>
    </row>
    <row r="1932">
      <c r="A1932" t="inlineStr">
        <is>
          <t>/Lotus/Types/Items/ShipDecos/ConclaveOroSunOrnament</t>
        </is>
      </c>
      <c r="B1932" t="inlineStr">
        <is>
          <t>Sun Oro Ornament</t>
        </is>
      </c>
      <c r="C1932" t="inlineStr">
        <is>
          <t>Conclave (PvP) reward.</t>
        </is>
      </c>
      <c r="D1932" t="inlineStr">
        <is>
          <t>ExportResources</t>
        </is>
      </c>
      <c r="F1932" t="inlineStr">
        <is>
          <t>Sun Oro Ornament</t>
        </is>
      </c>
      <c r="H1932" t="inlineStr">
        <is>
          <t>Has a game name, but we never matched it to a wiki page.</t>
        </is>
      </c>
      <c r="I1932" t="inlineStr">
        <is>
          <t>Resources</t>
        </is>
      </c>
      <c r="O1932" t="inlineStr">
        <is>
          <t>No wiki page uses this exact name.</t>
        </is>
      </c>
    </row>
    <row r="1933">
      <c r="A1933" t="inlineStr">
        <is>
          <t>/Lotus/Types/Items/ShipDecos/TeshinBust</t>
        </is>
      </c>
      <c r="B1933" t="inlineStr">
        <is>
          <t>Teshin Statue</t>
        </is>
      </c>
      <c r="C1933" t="inlineStr">
        <is>
          <t>Purchased from Teshin's Steel Path Honor Store for 35 Steel Essence.</t>
        </is>
      </c>
      <c r="D1933" t="inlineStr">
        <is>
          <t>ExportResources</t>
        </is>
      </c>
      <c r="F1933" t="inlineStr">
        <is>
          <t>Teshin Statue</t>
        </is>
      </c>
      <c r="H1933" t="inlineStr">
        <is>
          <t>Has a game name, but we never matched it to a wiki page.</t>
        </is>
      </c>
      <c r="I1933" t="inlineStr">
        <is>
          <t>Resources</t>
        </is>
      </c>
      <c r="O1933" t="inlineStr">
        <is>
          <t>No wiki page uses this exact name.</t>
        </is>
      </c>
    </row>
    <row r="1934">
      <c r="A1934" t="inlineStr">
        <is>
          <t>/Lotus/Types/Items/ShipDecos/7thAnniversaryPoster</t>
        </is>
      </c>
      <c r="B1934" t="inlineStr">
        <is>
          <t>Year 7 Anniversary Poster</t>
        </is>
      </c>
      <c r="C1934" t="inlineStr">
        <is>
          <t>Login reward during Warframe's 7th Anniversary celebration — no longer obtainable.</t>
        </is>
      </c>
      <c r="D1934" t="inlineStr">
        <is>
          <t>ExportResources</t>
        </is>
      </c>
      <c r="F1934" t="inlineStr">
        <is>
          <t>Year 7 Anniversary Poster</t>
        </is>
      </c>
      <c r="H1934" t="inlineStr">
        <is>
          <t>Has a game name, but we never matched it to a wiki page.</t>
        </is>
      </c>
      <c r="I1934" t="inlineStr">
        <is>
          <t>Resources</t>
        </is>
      </c>
      <c r="O1934" t="inlineStr">
        <is>
          <t>No wiki page uses this exact name.</t>
        </is>
      </c>
    </row>
    <row r="1935">
      <c r="A1935" t="inlineStr">
        <is>
          <t>/Lotus/Types/Items/ShipDecos/8thAnniversaryPoster</t>
        </is>
      </c>
      <c r="B1935" t="inlineStr">
        <is>
          <t>Year 8 Anniversary Poster</t>
        </is>
      </c>
      <c r="C1935" t="inlineStr">
        <is>
          <t>Login reward during Warframe's 8th Anniversary celebration — no longer obtainable.</t>
        </is>
      </c>
      <c r="D1935" t="inlineStr">
        <is>
          <t>ExportResources</t>
        </is>
      </c>
      <c r="F1935" t="inlineStr">
        <is>
          <t>Year 8 Anniversary Poster</t>
        </is>
      </c>
      <c r="H1935" t="inlineStr">
        <is>
          <t>Has a game name, but we never matched it to a wiki page.</t>
        </is>
      </c>
      <c r="I1935" t="inlineStr">
        <is>
          <t>Resources</t>
        </is>
      </c>
      <c r="O1935" t="inlineStr">
        <is>
          <t>No wiki page uses this exact name.</t>
        </is>
      </c>
    </row>
    <row r="1936">
      <c r="A1936" t="inlineStr">
        <is>
          <t>/Lotus/Types/Items/ShipDecos/OculystStatue</t>
        </is>
      </c>
      <c r="B1936" t="inlineStr">
        <is>
          <t>The New War Orbiter Decoration</t>
        </is>
      </c>
      <c r="C1936" t="inlineStr">
        <is>
          <t>Was part of the TennoCon 2020 Digital Pack — no longer obtainable.</t>
        </is>
      </c>
      <c r="D1936" t="inlineStr">
        <is>
          <t>ExportResources</t>
        </is>
      </c>
      <c r="F1936" t="inlineStr">
        <is>
          <t>The New War Orbiter Decoration</t>
        </is>
      </c>
      <c r="H1936" t="inlineStr">
        <is>
          <t>Has a game name, but we never matched it to a wiki page.</t>
        </is>
      </c>
      <c r="I1936" t="inlineStr">
        <is>
          <t>Resources</t>
        </is>
      </c>
      <c r="M1936" t="inlineStr">
        <is>
          <t>User linked Orbiter Decorations — specific New War deco set acquisition not pinned. Needs more research.</t>
        </is>
      </c>
      <c r="N1936" t="inlineStr">
        <is>
          <t>Decorations/Orbiter Decorations</t>
        </is>
      </c>
      <c r="O1936" t="inlineStr">
        <is>
          <t>User research reviewed; not solid enough to archive yet.</t>
        </is>
      </c>
    </row>
    <row r="1937">
      <c r="A1937" t="inlineStr">
        <is>
          <t>/Lotus/Types/Items/ShipDecos/StJudePoster</t>
        </is>
      </c>
      <c r="B1937" t="inlineStr">
        <is>
          <t>Level Up for St. Jude</t>
        </is>
      </c>
      <c r="C1937" t="inlineStr">
        <is>
          <t>Limited-time Level Up for St. Jude 2026 Childhood Cancer Awareness Month campaign (see Bombyx Syandana wiki page linking the campaign).</t>
        </is>
      </c>
      <c r="D1937" t="inlineStr">
        <is>
          <t>ExportResources</t>
        </is>
      </c>
      <c r="F1937" t="inlineStr">
        <is>
          <t>Level Up for St. Jude</t>
        </is>
      </c>
      <c r="H1937" t="inlineStr">
        <is>
          <t>Has a game name, but we never matched it to a wiki page.</t>
        </is>
      </c>
      <c r="I1937" t="inlineStr">
        <is>
          <t>Resources</t>
        </is>
      </c>
      <c r="M1937" t="inlineStr">
        <is>
          <t>User linked Bombyx Syandana / St. Jude campaign — poster acquisition not confirmed on that page. Needs more research.</t>
        </is>
      </c>
      <c r="N1937" t="inlineStr">
        <is>
          <t>Bombyx Syandana</t>
        </is>
      </c>
      <c r="O1937" t="inlineStr">
        <is>
          <t>User research reviewed; not solid enough to archive yet.</t>
        </is>
      </c>
    </row>
    <row r="1938">
      <c r="A1938" t="inlineStr">
        <is>
          <t>/Lotus/Types/Items/ShipDecos/LisetPropSUPosters</t>
        </is>
      </c>
      <c r="B1938" t="inlineStr">
        <is>
          <t>Solaris Industrial Strip</t>
        </is>
      </c>
      <c r="C1938" t="inlineStr">
        <is>
          <t>Could not find in-game or online — omit from the program for now unless a solid source turns up. (Jacob)</t>
        </is>
      </c>
      <c r="D1938" t="inlineStr">
        <is>
          <t>ExportResources</t>
        </is>
      </c>
      <c r="F1938" t="inlineStr">
        <is>
          <t>Solaris Industrial Strip</t>
        </is>
      </c>
      <c r="H1938" t="inlineStr">
        <is>
          <t>Has a game name, but we never matched it to a wiki page.</t>
        </is>
      </c>
      <c r="I1938" t="inlineStr">
        <is>
          <t>Resources</t>
        </is>
      </c>
      <c r="O1938" t="inlineStr">
        <is>
          <t>No wiki page uses this exact name.</t>
        </is>
      </c>
    </row>
    <row r="1939">
      <c r="A1939" t="inlineStr">
        <is>
          <t>/Lotus/Types/Items/MiscItems/HekNavCode</t>
        </is>
      </c>
      <c r="B1939" t="inlineStr">
        <is>
          <t>Vay Hek Nav Coordinate</t>
        </is>
      </c>
      <c r="C1939" t="inlineStr">
        <is>
          <t>Obsolete Vay Hek access material from the Update 13 Frequency Triangulator era. After Update 15.13 the Earth node no longer needs a key (MR 5). Related Beacons left drop tables in Update 18.10 — not obtainable from missions anymore. (Councilor Vay Hek Notes; Vay Hek Frequency Triangulator / Beacons patch history.)</t>
        </is>
      </c>
      <c r="E1939" t="inlineStr">
        <is>
          <t>HelminthCategory = "Biotics",</t>
        </is>
      </c>
      <c r="F1939" t="inlineStr">
        <is>
          <t>Vay Hek Nav Coordinate</t>
        </is>
      </c>
      <c r="H1939" t="inlineStr">
        <is>
          <t>Has a game name, but we never matched it to a wiki page.</t>
        </is>
      </c>
      <c r="I1939" t="inlineStr">
        <is>
          <t>Resources</t>
        </is>
      </c>
      <c r="O1939" t="inlineStr">
        <is>
          <t>No wiki page uses this exact name.</t>
        </is>
      </c>
    </row>
    <row r="1940">
      <c r="A1940" t="inlineStr">
        <is>
          <t>/Lotus/Types/Items/ShipDecos/ZarimanApartment/ZARxPrpFurnitureGroundLockerShortA</t>
        </is>
      </c>
      <c r="B1940" t="inlineStr">
        <is>
          <t>Zariman Locker (Low, Short)</t>
        </is>
      </c>
      <c r="C1940" t="inlineStr">
        <is>
          <t>Could not find this item in-game or on wiki catalogs — omit from the program for now unless a solid source turns up. (Jacob)</t>
        </is>
      </c>
      <c r="E1940" t="inlineStr">
        <is>
          <t>HelminthCost = 35,</t>
        </is>
      </c>
      <c r="F1940" t="inlineStr">
        <is>
          <t>Zariman Locker (Low, Short)</t>
        </is>
      </c>
      <c r="H1940" t="inlineStr">
        <is>
          <t>Has a game name, but we never matched it to a wiki page.</t>
        </is>
      </c>
      <c r="I1940" t="inlineStr">
        <is>
          <t>Resources</t>
        </is>
      </c>
      <c r="O1940" t="inlineStr">
        <is>
          <t>No wiki page uses this exact name.</t>
        </is>
      </c>
    </row>
    <row r="1941">
      <c r="A1941" t="inlineStr">
        <is>
          <t>/Lotus/Types/Items/ShipDecos/NewWar/LisetPropZarBag</t>
        </is>
      </c>
      <c r="B1941" t="inlineStr">
        <is>
          <t>Zariman School Bag</t>
        </is>
      </c>
      <c r="C1941" t="inlineStr">
        <is>
          <t>In-game Market for 35 Platinum (confirmed by Jacob).</t>
        </is>
      </c>
      <c r="E1941" t="inlineStr">
        <is>
          <t>Image = "TasomaExtract.png",</t>
        </is>
      </c>
      <c r="F1941" t="inlineStr">
        <is>
          <t>Zariman School Bag</t>
        </is>
      </c>
      <c r="H1941" t="inlineStr">
        <is>
          <t>Has a game name, but we never matched it to a wiki page.</t>
        </is>
      </c>
      <c r="I1941" t="inlineStr">
        <is>
          <t>Resources</t>
        </is>
      </c>
      <c r="O1941" t="inlineStr">
        <is>
          <t>No wiki page uses this exact name.</t>
        </is>
      </c>
    </row>
    <row r="1942">
      <c r="A1942" t="inlineStr">
        <is>
          <t>/Lotus/Types/Items/ShipDecos/NewWar/LisetPropCabinGarbageBin</t>
        </is>
      </c>
      <c r="B1942" t="inlineStr">
        <is>
          <t>Zariman Waste Bin</t>
        </is>
      </c>
      <c r="C1942" t="inlineStr">
        <is>
          <t>In-game Market for 35 Platinum (confirmed by Jacob).</t>
        </is>
      </c>
      <c r="E1942" t="inlineStr">
        <is>
          <t>InternalName = "/Lotus/Types/Gameplay/Duviri/Resource/DuviriMushroomItem",</t>
        </is>
      </c>
      <c r="F1942" t="inlineStr">
        <is>
          <t>Zariman Waste Bin</t>
        </is>
      </c>
      <c r="H1942" t="inlineStr">
        <is>
          <t>Has a game name, but we never matched it to a wiki page.</t>
        </is>
      </c>
      <c r="I1942" t="inlineStr">
        <is>
          <t>Resources</t>
        </is>
      </c>
      <c r="O1942" t="inlineStr">
        <is>
          <t>No wiki page uses this exact name.</t>
        </is>
      </c>
    </row>
    <row r="1943">
      <c r="A1943" t="inlineStr">
        <is>
          <t>/Lotus/Types/Items/ShipDecos/TennoCon2026CommunityArtShowcaseTrophy</t>
        </is>
      </c>
      <c r="B1943" t="inlineStr">
        <is>
          <t>TennoCon 2026 Community Art Showcase Award</t>
        </is>
      </c>
      <c r="C1943" t="inlineStr">
        <is>
          <t>Awarded to featured finalists in the TennoCon 2026 Community Art Showcase. (wiki Orbiter Decorations TennoCon Art Show rule; DE TennoCon 2026 recap)</t>
        </is>
      </c>
      <c r="E1943" t="inlineStr">
        <is>
          <t>ContainerImage = "TepaDecoration.png",</t>
        </is>
      </c>
      <c r="F1943" t="inlineStr">
        <is>
          <t>TennoCon 2026 Community Art Showcase Award</t>
        </is>
      </c>
      <c r="H1943" t="inlineStr">
        <is>
          <t>Has a game name, but we never matched it to a wiki page.</t>
        </is>
      </c>
      <c r="I1943" t="inlineStr">
        <is>
          <t>Resources</t>
        </is>
      </c>
      <c r="O1943" t="inlineStr">
        <is>
          <t>No wiki page uses this exact name.</t>
        </is>
      </c>
    </row>
    <row r="1944">
      <c r="A1944" t="inlineStr">
        <is>
          <t>/Lotus/Types/Items/MiscItems/UmbraEchoes</t>
        </is>
      </c>
      <c r="B1944" t="inlineStr">
        <is>
          <t>Echoes Of Umbra</t>
        </is>
      </c>
      <c r="C1944" t="inlineStr">
        <is>
          <t>Omit from the app. Planned Operator gear that would let you fight alongside your Warframe on certain mission types — feature was scrapped and never shipped as obtainable content. (Jacob; related Somatic Fibers / Prime Time era notes on cancelled autonomous-Warframe plans.)</t>
        </is>
      </c>
      <c r="D1944" t="inlineStr">
        <is>
          <t>ExportResources</t>
        </is>
      </c>
      <c r="F1944" t="inlineStr">
        <is>
          <t>Echoes Of Umbra</t>
        </is>
      </c>
      <c r="H1944" t="inlineStr">
        <is>
          <t>Has a game name, but we never matched it to a wiki page.</t>
        </is>
      </c>
      <c r="I1944" t="inlineStr">
        <is>
          <t>Resources</t>
        </is>
      </c>
      <c r="O1944" t="inlineStr">
        <is>
          <t>No wiki page uses this exact name.</t>
        </is>
      </c>
    </row>
    <row r="1945">
      <c r="A1945" t="inlineStr">
        <is>
          <t>/Lotus/Upgrades/Skins/Sigils/SparkSigil</t>
        </is>
      </c>
      <c r="B1945" t="inlineStr">
        <is>
          <t>Flickering Sigil</t>
        </is>
      </c>
      <c r="C1945" t="inlineStr">
        <is>
          <t>The Flickering Sigil is a legacy non-tradable sigil. The export records a 75-Platinum historical cost and excludes the exact item from the current Market; existing copies are owned-only. (https://wiki.warframe.com/w/Flickering_Sigil)</t>
        </is>
      </c>
      <c r="D1945" t="inlineStr">
        <is>
          <t>ExportCustoms</t>
        </is>
      </c>
      <c r="F1945" t="inlineStr">
        <is>
          <t>Flickering Sigil</t>
        </is>
      </c>
      <c r="H1945" t="inlineStr">
        <is>
          <t>Has a game name, but we never matched it to a wiki page.</t>
        </is>
      </c>
      <c r="I1945" t="inlineStr">
        <is>
          <t>Customs</t>
        </is>
      </c>
      <c r="J1945" t="inlineStr">
        <is>
          <t>ExportCustoms_ground_truth</t>
        </is>
      </c>
      <c r="K1945" t="inlineStr">
        <is>
          <t>name or path</t>
        </is>
      </c>
      <c r="O1945" t="inlineStr">
        <is>
          <t>No wiki page uses this exact name.</t>
        </is>
      </c>
    </row>
    <row r="1946">
      <c r="A1946" t="inlineStr">
        <is>
          <t>/Lotus/Types/Restoratives/Consumable/Eidolon/LandscapeTrapLightGear</t>
        </is>
      </c>
      <c r="B1946" t="inlineStr">
        <is>
          <t>Beckonsnare</t>
        </is>
      </c>
      <c r="C1946" t="inlineStr">
        <is>
          <t>The export identifies Beckonsnare as a legacy conservation trap with a 500-Credit base cost, but excludes it from the Market and records no current vendor, drop, or quest route. Treat it as an owned-only legacy item. (https://wiki.warframe.com/w/Beckonsnare)</t>
        </is>
      </c>
      <c r="D1946" t="inlineStr">
        <is>
          <t>ExportGear</t>
        </is>
      </c>
      <c r="F1946" t="inlineStr">
        <is>
          <t>Beckonsnare</t>
        </is>
      </c>
      <c r="H1946" t="inlineStr">
        <is>
          <t>Has a game name, but we never matched it to a wiki page.</t>
        </is>
      </c>
      <c r="I1946" t="inlineStr">
        <is>
          <t>Gear</t>
        </is>
      </c>
      <c r="O1946" t="inlineStr">
        <is>
          <t>No wiki page uses this exact name.</t>
        </is>
      </c>
    </row>
    <row r="1947">
      <c r="A1947" t="inlineStr">
        <is>
          <t>/Lotus/Types/Restoratives/Consumable/MacheteWomanBall</t>
        </is>
      </c>
      <c r="B1947" t="inlineStr">
        <is>
          <t>Scorpion Specter</t>
        </is>
      </c>
      <c r="C1947" t="inlineStr">
        <is>
          <t>The export identifies Scorpion Specter as a legacy, non-tradable specter item excluded from the Market. No current player-facing source is recorded; existing copies are owned-only. (https://wiki.warframe.com/w/Scorpion_Specter)</t>
        </is>
      </c>
      <c r="D1947" t="inlineStr">
        <is>
          <t>ExportGear</t>
        </is>
      </c>
      <c r="F1947" t="inlineStr">
        <is>
          <t>Scorpion Specter</t>
        </is>
      </c>
      <c r="H1947" t="inlineStr">
        <is>
          <t>Has a game name, but we never matched it to a wiki page.</t>
        </is>
      </c>
      <c r="I1947" t="inlineStr">
        <is>
          <t>Gear</t>
        </is>
      </c>
      <c r="O1947" t="inlineStr">
        <is>
          <t>No wiki page uses this exact name.</t>
        </is>
      </c>
    </row>
    <row r="1948">
      <c r="A1948" t="inlineStr">
        <is>
          <t>/Lotus/Upgrades/Skins/Sigils/AllianceSigilBasic</t>
        </is>
      </c>
      <c r="B1948" t="inlineStr">
        <is>
          <t>Alliance Sigil</t>
        </is>
      </c>
      <c r="C1948" t="inlineStr">
        <is>
          <t>May exist in-game as a sigil, but no concrete acquisition source found. Leave in app with “please report known acquisition” (report button).</t>
        </is>
      </c>
      <c r="D1948" t="inlineStr">
        <is>
          <t>ExportCustoms</t>
        </is>
      </c>
      <c r="F1948" t="inlineStr">
        <is>
          <t>Alliance Sigil</t>
        </is>
      </c>
      <c r="H1948" t="inlineStr">
        <is>
          <t>Has a game name, but we never matched it to a wiki page.</t>
        </is>
      </c>
      <c r="I1948" t="inlineStr">
        <is>
          <t>Customs</t>
        </is>
      </c>
      <c r="J1948" t="inlineStr">
        <is>
          <t>ExportCustoms_ground_truth</t>
        </is>
      </c>
      <c r="K1948" t="inlineStr">
        <is>
          <t>name or path</t>
        </is>
      </c>
      <c r="O1948" t="inlineStr">
        <is>
          <t>No wiki page uses this exact name.</t>
        </is>
      </c>
    </row>
    <row r="1949">
      <c r="A1949" t="inlineStr">
        <is>
          <t>/Lotus/Upgrades/Skins/Sigils/FireSigil</t>
        </is>
      </c>
      <c r="B1949" t="inlineStr">
        <is>
          <t>Flaming Sigil</t>
        </is>
      </c>
      <c r="C1949" t="inlineStr">
        <is>
          <t>May exist in-game as a sigil, but no concrete acquisition source found. Leave in app with “please report known acquisition” (report button).</t>
        </is>
      </c>
      <c r="D1949" t="inlineStr">
        <is>
          <t>ExportCustoms</t>
        </is>
      </c>
      <c r="F1949" t="inlineStr">
        <is>
          <t>Flaming Sigil</t>
        </is>
      </c>
      <c r="H1949" t="inlineStr">
        <is>
          <t>Has a game name, but we never matched it to a wiki page.</t>
        </is>
      </c>
      <c r="I1949" t="inlineStr">
        <is>
          <t>Customs</t>
        </is>
      </c>
      <c r="J1949" t="inlineStr">
        <is>
          <t>ExportCustoms_ground_truth</t>
        </is>
      </c>
      <c r="K1949" t="inlineStr">
        <is>
          <t>name or path</t>
        </is>
      </c>
      <c r="O1949" t="inlineStr">
        <is>
          <t>No wiki page uses this exact name.</t>
        </is>
      </c>
    </row>
    <row r="1950">
      <c r="A1950" t="inlineStr">
        <is>
          <t>/Lotus/Upgrades/Skins/Sigils/FormaSigil</t>
        </is>
      </c>
      <c r="B1950" t="inlineStr">
        <is>
          <t>Forma Sigil</t>
        </is>
      </c>
      <c r="C1950" t="inlineStr">
        <is>
          <t>May exist in-game as a sigil, but no concrete acquisition source found. Leave in app with “please report known acquisition” (report button).</t>
        </is>
      </c>
      <c r="D1950" t="inlineStr">
        <is>
          <t>ExportCustoms</t>
        </is>
      </c>
      <c r="F1950" t="inlineStr">
        <is>
          <t>Forma Sigil</t>
        </is>
      </c>
      <c r="H1950" t="inlineStr">
        <is>
          <t>Has a game name, but we never matched it to a wiki page.</t>
        </is>
      </c>
      <c r="I1950" t="inlineStr">
        <is>
          <t>Customs</t>
        </is>
      </c>
      <c r="J1950" t="inlineStr">
        <is>
          <t>ExportCustoms_ground_truth</t>
        </is>
      </c>
      <c r="K1950" t="inlineStr">
        <is>
          <t>name or path</t>
        </is>
      </c>
      <c r="O1950" t="inlineStr">
        <is>
          <t>No wiki page uses this exact name.</t>
        </is>
      </c>
    </row>
    <row r="1951">
      <c r="A1951" t="inlineStr">
        <is>
          <t>/Lotus/Upgrades/Skins/Sigils/TwoToneSigil</t>
        </is>
      </c>
      <c r="B1951" t="inlineStr">
        <is>
          <t>Glyphed Sigil</t>
        </is>
      </c>
      <c r="C1951" t="inlineStr">
        <is>
          <t>May exist in-game as a sigil, but no concrete acquisition source found. Leave in app with “please report known acquisition” (report button). Not the wiki Glyphed Clan Sigil.</t>
        </is>
      </c>
      <c r="D1951" t="inlineStr">
        <is>
          <t>ExportCustoms</t>
        </is>
      </c>
      <c r="F1951" t="inlineStr">
        <is>
          <t>Glyphed Sigil</t>
        </is>
      </c>
      <c r="H1951" t="inlineStr">
        <is>
          <t>Has a game name, but we never matched it to a wiki page.</t>
        </is>
      </c>
      <c r="I1951" t="inlineStr">
        <is>
          <t>Customs</t>
        </is>
      </c>
      <c r="J1951" t="inlineStr">
        <is>
          <t>ExportCustoms_ground_truth</t>
        </is>
      </c>
      <c r="K1951" t="inlineStr">
        <is>
          <t>name or path</t>
        </is>
      </c>
      <c r="M1951" t="inlineStr">
        <is>
          <t>Packages ShowInMarket 0 / PremiumPrice 75; no solid wiki acquisition yet. Needs more research.</t>
        </is>
      </c>
      <c r="O1951" t="inlineStr">
        <is>
          <t>User research reviewed; not solid enough to archive yet.</t>
        </is>
      </c>
    </row>
    <row r="1952">
      <c r="A1952" t="inlineStr">
        <is>
          <t>/Lotus/Types/Items/Plants/MiscItems/OroFungusAPlantItem</t>
        </is>
      </c>
      <c r="B1952" t="inlineStr">
        <is>
          <t>Cerulean Fungus Extract</t>
        </is>
      </c>
      <c r="C1952" t="inlineStr">
        <is>
          <t>Omit from the app. Scrapped item from ~2010. (Jacob)</t>
        </is>
      </c>
      <c r="D1952" t="inlineStr">
        <is>
          <t>ExportResources</t>
        </is>
      </c>
      <c r="G1952" t="inlineStr">
        <is>
          <t>Cerulean Fungus Extract</t>
        </is>
      </c>
      <c r="H1952" t="inlineStr">
        <is>
          <t>We know the wiki page name, but we never saved the 'where to get it' text from that page.</t>
        </is>
      </c>
      <c r="I1952" t="inlineStr">
        <is>
          <t>Resources</t>
        </is>
      </c>
      <c r="J1952" t="inlineStr">
        <is>
          <t>Resources_data</t>
        </is>
      </c>
      <c r="K1952" t="inlineStr">
        <is>
          <t>Resources/data</t>
        </is>
      </c>
      <c r="L1952" t="inlineStr">
        <is>
          <t>listed, no place</t>
        </is>
      </c>
      <c r="O1952" t="inlineStr">
        <is>
          <t>No exact official Wiki page or structured page entry in the fresh local snapshot states where this item is obtained.</t>
        </is>
      </c>
    </row>
    <row r="1953">
      <c r="A1953" t="inlineStr">
        <is>
          <t>/Lotus/Types/Items/ShipDecos/Venus/SUCoolantPodA</t>
        </is>
      </c>
      <c r="B1953" t="inlineStr">
        <is>
          <t>Fortuna-Model Coolant Pod Decoration</t>
        </is>
      </c>
      <c r="C1953" t="inlineStr">
        <is>
          <t>Clan Dojo Solaris decoration — research/replicate in the Clan Dojo (wiki Decorations/DojoDecorations/Solaris lists Solaris Coolant Pod). Confirm this Fortuna-Model uniqueName is that dojo piece. (Jacob)</t>
        </is>
      </c>
      <c r="D1953" t="inlineStr">
        <is>
          <t>ExportResources</t>
        </is>
      </c>
      <c r="F1953" t="inlineStr">
        <is>
          <t>Fortuna-Model Coolant Pod Decoration</t>
        </is>
      </c>
      <c r="H1953" t="inlineStr">
        <is>
          <t>Has a game name, but we never matched it to a wiki page.</t>
        </is>
      </c>
      <c r="I1953" t="inlineStr">
        <is>
          <t>Resources</t>
        </is>
      </c>
      <c r="O1953" t="inlineStr">
        <is>
          <t>No wiki page uses this exact name.</t>
        </is>
      </c>
    </row>
    <row r="1954">
      <c r="A1954" t="inlineStr">
        <is>
          <t>/Lotus/Types/Gameplay/Venus/Resources/VenusMushroomItem</t>
        </is>
      </c>
      <c r="B1954" t="inlineStr">
        <is>
          <t>Frostcap</t>
        </is>
      </c>
      <c r="C1954" t="inlineStr">
        <is>
          <t>Omit from the app. Scrapped or future item — not currently obtainable. (Jacob)</t>
        </is>
      </c>
      <c r="D1954" t="inlineStr">
        <is>
          <t>ExportResources</t>
        </is>
      </c>
      <c r="G1954" t="inlineStr">
        <is>
          <t>Frostcap</t>
        </is>
      </c>
      <c r="H1954" t="inlineStr">
        <is>
          <t>We know the wiki page name, but we never saved the 'where to get it' text from that page.</t>
        </is>
      </c>
      <c r="I1954" t="inlineStr">
        <is>
          <t>Resources</t>
        </is>
      </c>
      <c r="J1954" t="inlineStr">
        <is>
          <t>Resources_data</t>
        </is>
      </c>
      <c r="K1954" t="inlineStr">
        <is>
          <t>Resources/data</t>
        </is>
      </c>
      <c r="L1954" t="inlineStr">
        <is>
          <t>listed, no place</t>
        </is>
      </c>
      <c r="O1954" t="inlineStr">
        <is>
          <t>No exact official Wiki page or structured page entry in the fresh local snapshot states where this item is obtained.</t>
        </is>
      </c>
    </row>
    <row r="1955">
      <c r="A1955" t="inlineStr">
        <is>
          <t>/Lotus/Types/Items/Plants/MiscItems/OroPorcelainBushAPlantItem</t>
        </is>
      </c>
      <c r="B1955" t="inlineStr">
        <is>
          <t>Ghost Brush Extract</t>
        </is>
      </c>
      <c r="C1955" t="inlineStr">
        <is>
          <t>Omit from the app. Unreleased item. (Jacob)</t>
        </is>
      </c>
      <c r="D1955" t="inlineStr">
        <is>
          <t>ExportResources</t>
        </is>
      </c>
      <c r="G1955" t="inlineStr">
        <is>
          <t>Ghost Brush Extract</t>
        </is>
      </c>
      <c r="H1955" t="inlineStr">
        <is>
          <t>We know the wiki page name, but we never saved the 'where to get it' text from that page.</t>
        </is>
      </c>
      <c r="I1955" t="inlineStr">
        <is>
          <t>Resources</t>
        </is>
      </c>
      <c r="J1955" t="inlineStr">
        <is>
          <t>Resources_data</t>
        </is>
      </c>
      <c r="K1955" t="inlineStr">
        <is>
          <t>Resources/data</t>
        </is>
      </c>
      <c r="L1955" t="inlineStr">
        <is>
          <t>listed, no place</t>
        </is>
      </c>
      <c r="O1955" t="inlineStr">
        <is>
          <t>No exact official Wiki page or structured page entry in the fresh local snapshot states where this item is obtained.</t>
        </is>
      </c>
    </row>
    <row r="1956">
      <c r="A1956" t="inlineStr">
        <is>
          <t>/Lotus/Types/Items/ShipDecos/LisetPropGrineerCrewship</t>
        </is>
      </c>
      <c r="B1956" t="inlineStr">
        <is>
          <t>Grineer Crewship Decoration</t>
        </is>
      </c>
      <c r="C1956" t="inlineStr">
        <is>
          <t>Omit from the app. Scrapped or future item — not currently obtainable. (Jacob)</t>
        </is>
      </c>
      <c r="D1956" t="inlineStr">
        <is>
          <t>ExportResources</t>
        </is>
      </c>
      <c r="F1956" t="inlineStr">
        <is>
          <t>Grineer Crewship Decoration</t>
        </is>
      </c>
      <c r="H1956" t="inlineStr">
        <is>
          <t>Has a game name, but we never matched it to a wiki page.</t>
        </is>
      </c>
      <c r="I1956" t="inlineStr">
        <is>
          <t>Resources</t>
        </is>
      </c>
      <c r="O1956" t="inlineStr">
        <is>
          <t>No wiki page uses this exact name.</t>
        </is>
      </c>
    </row>
    <row r="1957">
      <c r="A1957" t="inlineStr">
        <is>
          <t>/Lotus/Types/Items/ShipDecos/Props/LisetPropDUVxKitchenBowlA</t>
        </is>
      </c>
      <c r="B1957" t="inlineStr">
        <is>
          <t>Kitchen Bowl</t>
        </is>
      </c>
      <c r="C1957" t="inlineStr">
        <is>
          <t>Omit from the app. Scrapped item. (Jacob)</t>
        </is>
      </c>
      <c r="D1957" t="inlineStr">
        <is>
          <t>ExportResources</t>
        </is>
      </c>
      <c r="F1957" t="inlineStr">
        <is>
          <t>Kitchen Bowl</t>
        </is>
      </c>
      <c r="H1957" t="inlineStr">
        <is>
          <t>Has a game name, but we never matched it to a wiki page.</t>
        </is>
      </c>
      <c r="I1957" t="inlineStr">
        <is>
          <t>Resources</t>
        </is>
      </c>
      <c r="O1957" t="inlineStr">
        <is>
          <t>No wiki page uses this exact name.</t>
        </is>
      </c>
    </row>
    <row r="1958">
      <c r="A1958" t="inlineStr">
        <is>
          <t>/Lotus/Types/Items/ShipDecos/Props/Seasonal/Movember2026MasterMustacheFrame</t>
        </is>
      </c>
      <c r="B1958" t="inlineStr">
        <is>
          <t>Movember Master Moustache Display Frame</t>
        </is>
      </c>
      <c r="C1958" t="inlineStr">
        <is>
          <t>Possible future Movember / November 2026 item. Leave in app with similar “coming / unreleased seasonal” wording. (Jacob)</t>
        </is>
      </c>
      <c r="D1958" t="inlineStr">
        <is>
          <t>ExportResources</t>
        </is>
      </c>
      <c r="F1958" t="inlineStr">
        <is>
          <t>Movember Master Moustache Display Frame</t>
        </is>
      </c>
      <c r="H1958" t="inlineStr">
        <is>
          <t>Has a game name, but we never matched it to a wiki page.</t>
        </is>
      </c>
      <c r="I1958" t="inlineStr">
        <is>
          <t>Resources</t>
        </is>
      </c>
      <c r="O1958" t="inlineStr">
        <is>
          <t>No wiki page uses this exact name.</t>
        </is>
      </c>
    </row>
    <row r="1959">
      <c r="A1959" t="inlineStr">
        <is>
          <t>/Lotus/Types/Items/ShipDecos/Props/Seasonal/Movember2026ShopkeepMustacheFrame</t>
        </is>
      </c>
      <c r="B1959" t="inlineStr">
        <is>
          <t>Movember Shopkeep Moustache Display Frame</t>
        </is>
      </c>
      <c r="C1959" t="inlineStr">
        <is>
          <t>Possible future Movember / November 2026 item. Leave in app with similar “coming / unreleased seasonal” wording. (Jacob)</t>
        </is>
      </c>
      <c r="D1959" t="inlineStr">
        <is>
          <t>ExportResources</t>
        </is>
      </c>
      <c r="F1959" t="inlineStr">
        <is>
          <t>Movember Shopkeep Moustache Display Frame</t>
        </is>
      </c>
      <c r="H1959" t="inlineStr">
        <is>
          <t>Has a game name, but we never matched it to a wiki page.</t>
        </is>
      </c>
      <c r="I1959" t="inlineStr">
        <is>
          <t>Resources</t>
        </is>
      </c>
      <c r="O1959" t="inlineStr">
        <is>
          <t>No wiki page uses this exact name.</t>
        </is>
      </c>
    </row>
    <row r="1960">
      <c r="A1960" t="inlineStr">
        <is>
          <t>/Lotus/Types/Items/ShipDecos/Movember2026SiriusOrionDisplay</t>
        </is>
      </c>
      <c r="B1960" t="inlineStr">
        <is>
          <t>Movember Sirius and Orion Community Display</t>
        </is>
      </c>
      <c r="C1960" t="inlineStr">
        <is>
          <t>Possible future Movember / November 2026 item. Leave in app with similar “coming / unreleased seasonal” wording. (Jacob)</t>
        </is>
      </c>
      <c r="D1960" t="inlineStr">
        <is>
          <t>ExportResources</t>
        </is>
      </c>
      <c r="F1960" t="inlineStr">
        <is>
          <t>Movember Sirius and Orion Community Display</t>
        </is>
      </c>
      <c r="H1960" t="inlineStr">
        <is>
          <t>Has a game name, but we never matched it to a wiki page.</t>
        </is>
      </c>
      <c r="I1960" t="inlineStr">
        <is>
          <t>Resources</t>
        </is>
      </c>
      <c r="O1960" t="inlineStr">
        <is>
          <t>No wiki page uses this exact name.</t>
        </is>
      </c>
    </row>
    <row r="1961">
      <c r="A1961" t="inlineStr">
        <is>
          <t>/Lotus/Types/Items/ShipDecos/Props/Seasonal/Movember2026TuskerMustacheFrame</t>
        </is>
      </c>
      <c r="B1961" t="inlineStr">
        <is>
          <t>Movember Tusker Moustache Display Frame</t>
        </is>
      </c>
      <c r="C1961" t="inlineStr">
        <is>
          <t>Possible future Movember / November 2026 item. Leave in app with similar “coming / unreleased seasonal” wording. (Jacob)</t>
        </is>
      </c>
      <c r="D1961" t="inlineStr">
        <is>
          <t>ExportResources</t>
        </is>
      </c>
      <c r="F1961" t="inlineStr">
        <is>
          <t>Movember Tusker Moustache Display Frame</t>
        </is>
      </c>
      <c r="H1961" t="inlineStr">
        <is>
          <t>Has a game name, but we never matched it to a wiki page.</t>
        </is>
      </c>
      <c r="I1961" t="inlineStr">
        <is>
          <t>Resources</t>
        </is>
      </c>
      <c r="O1961" t="inlineStr">
        <is>
          <t>No wiki page uses this exact name.</t>
        </is>
      </c>
    </row>
    <row r="1962">
      <c r="A1962" t="inlineStr">
        <is>
          <t>/Lotus/Types/Items/ShipDecos/1999OnlyneWallPoster</t>
        </is>
      </c>
      <c r="B1962" t="inlineStr">
        <is>
          <t>On-lyne Poster Collage</t>
        </is>
      </c>
      <c r="C1962" t="inlineStr">
        <is>
          <t>Omit from the app. No linked item found; possible past/future bundle only. (Jacob)</t>
        </is>
      </c>
      <c r="D1962" t="inlineStr">
        <is>
          <t>ExportResources</t>
        </is>
      </c>
      <c r="F1962" t="inlineStr">
        <is>
          <t>On-lyne Poster Collage</t>
        </is>
      </c>
      <c r="H1962" t="inlineStr">
        <is>
          <t>Has a game name, but we never matched it to a wiki page.</t>
        </is>
      </c>
      <c r="I1962" t="inlineStr">
        <is>
          <t>Resources</t>
        </is>
      </c>
      <c r="O1962" t="inlineStr">
        <is>
          <t>No wiki page uses this exact name.</t>
        </is>
      </c>
    </row>
    <row r="1963">
      <c r="A1963" t="inlineStr">
        <is>
          <t>/Lotus/Types/Items/ShipDecos/LisetPropGlassTreasureBox</t>
        </is>
      </c>
      <c r="B1963" t="inlineStr">
        <is>
          <t>Onkko's Coffer</t>
        </is>
      </c>
      <c r="C1963" t="inlineStr">
        <is>
          <t>Omit from the app. Quest story prop (Saya/Onkko), not a player-collectible Orbiter decoration. (Jacob)</t>
        </is>
      </c>
      <c r="D1963" t="inlineStr">
        <is>
          <t>ExportResources</t>
        </is>
      </c>
      <c r="F1963" t="inlineStr">
        <is>
          <t>Onkko's Coffer</t>
        </is>
      </c>
      <c r="H1963" t="inlineStr">
        <is>
          <t>Has a game name, but we never matched it to a wiki page.</t>
        </is>
      </c>
      <c r="I1963" t="inlineStr">
        <is>
          <t>Resources</t>
        </is>
      </c>
      <c r="M1963" t="inlineStr">
        <is>
          <t>Appears in Saya/Onkko quest story as a Shatter-Lock coffer — confirm if player-owned deco vs quest prop. Needs more research.</t>
        </is>
      </c>
      <c r="N1963" t="inlineStr">
        <is>
          <t>Saya | Onkko</t>
        </is>
      </c>
      <c r="O1963" t="inlineStr">
        <is>
          <t>User research reviewed; not solid enough to archive yet.</t>
        </is>
      </c>
    </row>
    <row r="1964">
      <c r="A1964" t="inlineStr">
        <is>
          <t>/Lotus/Types/Gameplay/Venus/Resources/OrokinSensorItem</t>
        </is>
      </c>
      <c r="B1964" t="inlineStr">
        <is>
          <t>Orokin Monitor</t>
        </is>
      </c>
      <c r="C1964" t="inlineStr">
        <is>
          <t>Omit from the app. Listed historically (e.g. Overframe) but not available in-game now — planned or scrapped. (Jacob)</t>
        </is>
      </c>
      <c r="D1964" t="inlineStr">
        <is>
          <t>ExportResources</t>
        </is>
      </c>
      <c r="G1964" t="inlineStr">
        <is>
          <t>Orokin Monitor</t>
        </is>
      </c>
      <c r="H1964" t="inlineStr">
        <is>
          <t>We know the wiki page name, but we never saved the 'where to get it' text from that page.</t>
        </is>
      </c>
      <c r="I1964" t="inlineStr">
        <is>
          <t>Resources</t>
        </is>
      </c>
      <c r="J1964" t="inlineStr">
        <is>
          <t>Resources_data</t>
        </is>
      </c>
      <c r="K1964" t="inlineStr">
        <is>
          <t>Resources/data</t>
        </is>
      </c>
      <c r="L1964" t="inlineStr">
        <is>
          <t>listed, no place</t>
        </is>
      </c>
      <c r="O1964" t="inlineStr">
        <is>
          <t>No exact official Wiki page or structured page entry in the fresh local snapshot states where this item is obtained.</t>
        </is>
      </c>
    </row>
    <row r="1965">
      <c r="A1965" t="inlineStr">
        <is>
          <t>/Lotus/Types/Items/ShipDecos/AmazingEternals/TAExRocketShipTennoBaumToyDeco</t>
        </is>
      </c>
      <c r="B1965" t="inlineStr">
        <is>
          <t>Rocketship Lua Toy</t>
        </is>
      </c>
      <c r="C1965" t="inlineStr">
        <is>
          <t>Omit from the app. Not a Tennobaum 2024 milestone toy; not currently in-game (planned or scrapped). (Jacob)</t>
        </is>
      </c>
      <c r="D1965" t="inlineStr">
        <is>
          <t>ExportResources</t>
        </is>
      </c>
      <c r="F1965" t="inlineStr">
        <is>
          <t>Rocketship Lua Toy</t>
        </is>
      </c>
      <c r="H1965" t="inlineStr">
        <is>
          <t>Has a game name, but we never matched it to a wiki page.</t>
        </is>
      </c>
      <c r="I1965" t="inlineStr">
        <is>
          <t>Resources</t>
        </is>
      </c>
      <c r="O1965" t="inlineStr">
        <is>
          <t>No wiki page uses this exact name.</t>
        </is>
      </c>
    </row>
    <row r="1966">
      <c r="A1966" t="inlineStr">
        <is>
          <t>/Lotus/Types/Items/ShipDecos/Vignettes/Enemies/RopalolystAFItem</t>
        </is>
      </c>
      <c r="B1966" t="inlineStr">
        <is>
          <t>Ropalolyst Articula</t>
        </is>
      </c>
      <c r="C1966" t="inlineStr">
        <is>
          <t>Omit from the app. Not currently in-game (scrapped or planned). (Jacob)</t>
        </is>
      </c>
      <c r="D1966" t="inlineStr">
        <is>
          <t>ExportResources</t>
        </is>
      </c>
      <c r="F1966" t="inlineStr">
        <is>
          <t>Ropalolyst Articula</t>
        </is>
      </c>
      <c r="H1966" t="inlineStr">
        <is>
          <t>Has a game name, but we never matched it to a wiki page.</t>
        </is>
      </c>
      <c r="I1966" t="inlineStr">
        <is>
          <t>Resources</t>
        </is>
      </c>
      <c r="O1966" t="inlineStr">
        <is>
          <t>No wiki page uses this exact name.</t>
        </is>
      </c>
    </row>
    <row r="1967">
      <c r="A1967" t="inlineStr">
        <is>
          <t>/Lotus/Types/Items/Fish/Eidolon/HolidayGrineerBootItem</t>
        </is>
      </c>
      <c r="B1967" t="inlineStr">
        <is>
          <t>STOCKING</t>
        </is>
      </c>
      <c r="C1967" t="inlineStr">
        <is>
          <t>Omit from the app. Possible planned holiday fishing-boot skin; not currently in-game. (Jacob)</t>
        </is>
      </c>
      <c r="D1967" t="inlineStr">
        <is>
          <t>ExportResources</t>
        </is>
      </c>
      <c r="F1967" t="inlineStr">
        <is>
          <t>STOCKING</t>
        </is>
      </c>
      <c r="H1967" t="inlineStr">
        <is>
          <t>Has a game name, but we never matched it to a wiki page.</t>
        </is>
      </c>
      <c r="I1967" t="inlineStr">
        <is>
          <t>Resources</t>
        </is>
      </c>
      <c r="M1967" t="inlineStr">
        <is>
          <t>User linked quote/update pages — no clear decoration acquisition confirmed. Needs more research.</t>
        </is>
      </c>
      <c r="N1967" t="inlineStr">
        <is>
          <t>Corpus/Quotes | Corrupted/Quotes | Narmer/Quotes | Update 27</t>
        </is>
      </c>
      <c r="O1967" t="inlineStr">
        <is>
          <t>User research reviewed; not solid enough to archive yet.</t>
        </is>
      </c>
    </row>
    <row r="1968">
      <c r="A1968" t="inlineStr">
        <is>
          <t>/Lotus/Types/Items/ShipDecos/LisetTickerSign</t>
        </is>
      </c>
      <c r="B1968" t="inlineStr">
        <is>
          <t>Scrolling Sign Decoration</t>
        </is>
      </c>
      <c r="C1968" t="inlineStr">
        <is>
          <t>Discord Nitro Game Perks — Saryn Nitro Bundle “Scrolling Ship Decoration” (PC; promotion ended). https://www.warframe.com/en/news/get-saryn-and-a-suite-of-skins-with-discord-nitro-game-perks</t>
        </is>
      </c>
      <c r="D1968" t="inlineStr">
        <is>
          <t>ExportResources</t>
        </is>
      </c>
      <c r="F1968" t="inlineStr">
        <is>
          <t>Scrolling Sign Decoration</t>
        </is>
      </c>
      <c r="H1968" t="inlineStr">
        <is>
          <t>Has a game name, but we never matched it to a wiki page.</t>
        </is>
      </c>
      <c r="I1968" t="inlineStr">
        <is>
          <t>Resources</t>
        </is>
      </c>
      <c r="O1968" t="inlineStr">
        <is>
          <t>No wiki page uses this exact name.</t>
        </is>
      </c>
    </row>
    <row r="1969">
      <c r="A1969" t="inlineStr">
        <is>
          <t>/Lotus/Types/Items/Plants/MiscItems/IresPlantItem</t>
        </is>
      </c>
      <c r="B1969" t="inlineStr">
        <is>
          <t>Skateweed Extract</t>
        </is>
      </c>
      <c r="C1969" t="inlineStr">
        <is>
          <t>Omit from the app. Does not currently exist in-game. (Jacob)</t>
        </is>
      </c>
      <c r="D1969" t="inlineStr">
        <is>
          <t>ExportResources</t>
        </is>
      </c>
      <c r="G1969" t="inlineStr">
        <is>
          <t>Skateweed Extract</t>
        </is>
      </c>
      <c r="H1969" t="inlineStr">
        <is>
          <t>We know the wiki page name, but we never saved the 'where to get it' text from that page.</t>
        </is>
      </c>
      <c r="I1969" t="inlineStr">
        <is>
          <t>Resources</t>
        </is>
      </c>
      <c r="J1969" t="inlineStr">
        <is>
          <t>Resources_data</t>
        </is>
      </c>
      <c r="K1969" t="inlineStr">
        <is>
          <t>Resources/data</t>
        </is>
      </c>
      <c r="L1969" t="inlineStr">
        <is>
          <t>listed, no place</t>
        </is>
      </c>
      <c r="O1969" t="inlineStr">
        <is>
          <t>No exact official Wiki page or structured page entry in the fresh local snapshot states where this item is obtained.</t>
        </is>
      </c>
    </row>
    <row r="1970">
      <c r="A1970" t="inlineStr">
        <is>
          <t>/Lotus/Types/Items/ShipDecos/Venus/SUFoodSet</t>
        </is>
      </c>
      <c r="B1970" t="inlineStr">
        <is>
          <t>Solaris Canteen Tray Decoration</t>
        </is>
      </c>
      <c r="C1970" t="inlineStr">
        <is>
          <t>Omit from the app for now. Not in Market or in-game stores (placeholder/scrapped). (Jacob)</t>
        </is>
      </c>
      <c r="D1970" t="inlineStr">
        <is>
          <t>ExportResources</t>
        </is>
      </c>
      <c r="F1970" t="inlineStr">
        <is>
          <t>Solaris Canteen Tray Decoration</t>
        </is>
      </c>
      <c r="H1970" t="inlineStr">
        <is>
          <t>Has a game name, but we never matched it to a wiki page.</t>
        </is>
      </c>
      <c r="I1970" t="inlineStr">
        <is>
          <t>Resources</t>
        </is>
      </c>
      <c r="O1970" t="inlineStr">
        <is>
          <t>No wiki page uses this exact name.</t>
        </is>
      </c>
    </row>
    <row r="1971">
      <c r="A1971" t="inlineStr">
        <is>
          <t>/Lotus/Types/Gameplay/Duviri/Resource/DuviriEndlessItem</t>
        </is>
      </c>
      <c r="B1971" t="inlineStr">
        <is>
          <t>Tertium</t>
        </is>
      </c>
      <c r="C1971" t="inlineStr">
        <is>
          <t>Omit from the app. No known item connection — scrapped or planned. (Jacob)</t>
        </is>
      </c>
      <c r="E1971" t="inlineStr">
        <is>
          <t>Description = "Duviri citizens plagued by nightmares seek Tasoma, because its stalks can be crushed to create juice that invites pleasant dreams. Unfortunately, it is difficult to forage Tasoma as it only grows in caves.\r\n\r\nLocation: Duviri",</t>
        </is>
      </c>
      <c r="F1971" t="inlineStr">
        <is>
          <t>Tertium</t>
        </is>
      </c>
      <c r="H1971" t="inlineStr">
        <is>
          <t>Has a game name, but we never matched it to a wiki page.</t>
        </is>
      </c>
      <c r="I1971" t="inlineStr">
        <is>
          <t>Resources</t>
        </is>
      </c>
      <c r="O1971" t="inlineStr">
        <is>
          <t>No wiki page uses this exact name.</t>
        </is>
      </c>
    </row>
    <row r="1972">
      <c r="A1972" t="inlineStr">
        <is>
          <t>/Lotus/Types/Gameplay/Duviri/Resource/DuviriMushroomSeed</t>
        </is>
      </c>
      <c r="B1972" t="inlineStr">
        <is>
          <t>Tasoma Spore</t>
        </is>
      </c>
      <c r="C1972" t="inlineStr">
        <is>
          <t>Omit from the app. Not findable in-game (Jacob). Export DuviriMushroomSeed is Market/Codex-hidden — not the same as Tasoma Extract.</t>
        </is>
      </c>
      <c r="D1972" t="inlineStr">
        <is>
          <t>ExportResources</t>
        </is>
      </c>
      <c r="F1972" t="inlineStr">
        <is>
          <t>Tasoma Spore</t>
        </is>
      </c>
      <c r="H1972" t="inlineStr">
        <is>
          <t>Has a game name, but we never matched it to a wiki page.</t>
        </is>
      </c>
      <c r="I1972" t="inlineStr">
        <is>
          <t>Resources</t>
        </is>
      </c>
      <c r="O1972" t="inlineStr">
        <is>
          <t>No wiki page uses this exact name.</t>
        </is>
      </c>
    </row>
    <row r="1973">
      <c r="A1973" t="inlineStr">
        <is>
          <t>/Lotus/Types/Items/ShipDecos/GrineerMarineArcticBobbleHead</t>
        </is>
      </c>
      <c r="B1973" t="inlineStr">
        <is>
          <t>Noggle Statue - Arid Lancer</t>
        </is>
      </c>
      <c r="C1973" t="inlineStr">
        <is>
          <t>Omit from the app. Not findable in-game (Jacob). GrineerMarineArcticBobbleHead is Market-hidden; wiki Market 35p is Elite Arid Lancer (different asset).</t>
        </is>
      </c>
      <c r="D1973" t="inlineStr">
        <is>
          <t>ExportResources</t>
        </is>
      </c>
      <c r="F1973" t="inlineStr">
        <is>
          <t>Noggle Statue - Arid Lancer</t>
        </is>
      </c>
      <c r="H1973" t="inlineStr">
        <is>
          <t>Has a game name, but we never matched it to a wiki page.</t>
        </is>
      </c>
      <c r="I1973" t="inlineStr">
        <is>
          <t>Resources</t>
        </is>
      </c>
      <c r="O1973" t="inlineStr">
        <is>
          <t>No wiki page uses this exact name.</t>
        </is>
      </c>
    </row>
  </sheetData>
  <autoFilter ref="A1:O1973"/>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2026-10-15T00:06:53Z</dcterms:created>
  <dcterms:modified xmlns:dcterms="http://purl.org/dc/terms/" xmlns:xsi="http://www.w3.org/2001/XMLSchema-instance" xsi:type="dcterms:W3CDTF">2026-10-18T19:46:49Z</dcterms:modified>
  <cp:revision>9</cp:revision>
</cp:coreProperties>
</file>